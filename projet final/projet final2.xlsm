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wwyy\OneDrive\Bureau\"/>
    </mc:Choice>
  </mc:AlternateContent>
  <xr:revisionPtr revIDLastSave="0" documentId="13_ncr:1_{F52C97F6-8C34-4184-9AE4-50CE56E4E438}" xr6:coauthVersionLast="47" xr6:coauthVersionMax="47" xr10:uidLastSave="{00000000-0000-0000-0000-000000000000}"/>
  <bookViews>
    <workbookView xWindow="28680" yWindow="-120" windowWidth="29040" windowHeight="16440" xr2:uid="{1EF2AEB6-D772-4049-B371-37011BA76B7E}"/>
  </bookViews>
  <sheets>
    <sheet name="conditions init+ trajectoires" sheetId="1" r:id="rId1"/>
    <sheet name="simulations en mouvement" sheetId="2" r:id="rId2"/>
  </sheets>
  <definedNames>
    <definedName name="Aarseth_1">'conditions init+ trajectoires'!$H$22</definedName>
    <definedName name="Aarseth_2">'conditions init+ trajectoires'!$H$30</definedName>
    <definedName name="Aarseth_3">'conditions init+ trajectoires'!$H$38</definedName>
    <definedName name="ai_x">'conditions init+ trajectoires'!$H$12</definedName>
    <definedName name="ai_y">'conditions init+ trajectoires'!$I$12</definedName>
    <definedName name="bt">'conditions init+ trajectoires'!$H$4</definedName>
    <definedName name="dimmantion_vaiseau">'conditions init+ trajectoires'!$H$13</definedName>
    <definedName name="incantation">'conditions init+ trajectoires'!$AK$4:$AK$1004</definedName>
    <definedName name="M_4">'conditions init+ trajectoires'!$H$46</definedName>
    <definedName name="Masse_1">'conditions init+ trajectoires'!$H$21</definedName>
    <definedName name="Masse_2">'conditions init+ trajectoires'!$H$29</definedName>
    <definedName name="Masse_3">'conditions init+ trajectoires'!$H$37</definedName>
    <definedName name="pi_x">'conditions init+ trajectoires'!$H$10</definedName>
    <definedName name="pi_y">'conditions init+ trajectoires'!$I$10</definedName>
    <definedName name="pxj">'conditions init+ trajectoires'!$AN$4:$AN$1004</definedName>
    <definedName name="pyj">'conditions init+ trajectoires'!$AO$4:$AO$1004</definedName>
    <definedName name="q_1x">'conditions init+ trajectoires'!$H$17</definedName>
    <definedName name="q_1y">'conditions init+ trajectoires'!$I$17</definedName>
    <definedName name="q_2x">'conditions init+ trajectoires'!$H$25</definedName>
    <definedName name="q_2y">'conditions init+ trajectoires'!$I$25</definedName>
    <definedName name="q_3x">'conditions init+ trajectoires'!$H$33</definedName>
    <definedName name="q_3y">'conditions init+ trajectoires'!$I$33</definedName>
    <definedName name="q_4x">'conditions init+ trajectoires'!$H$42</definedName>
    <definedName name="q_4y">'conditions init+ trajectoires'!$I$42</definedName>
    <definedName name="r_1">'conditions init+ trajectoires'!$H$18</definedName>
    <definedName name="r_2">'conditions init+ trajectoires'!$H$26</definedName>
    <definedName name="r_3">'conditions init+ trajectoires'!$H$34</definedName>
    <definedName name="r_4">'conditions init+ trajectoires'!$H$43</definedName>
    <definedName name="V_4">'conditions init+ trajectoires'!$H$45</definedName>
    <definedName name="vi_x">'conditions init+ trajectoires'!$H$11</definedName>
    <definedName name="vi_y">'conditions init+ trajectoires'!$I$11</definedName>
    <definedName name="Volume_1">'conditions init+ trajectoires'!$H$20</definedName>
    <definedName name="Volume_2">'conditions init+ trajectoires'!$H$28</definedName>
    <definedName name="Volume_3">'conditions init+ trajectoires'!$H$36</definedName>
    <definedName name="vxj">'conditions init+ trajectoires'!$AQ$4:$AQ$1004</definedName>
    <definedName name="vyj">'conditions init+ trajectoires'!$AR$4:$AR$1004</definedName>
    <definedName name="λ_4">'conditions init+ trajectoires'!$H$47</definedName>
    <definedName name="ρ_1">'conditions init+ trajectoires'!$H$19</definedName>
    <definedName name="ρ_2">'conditions init+ trajectoires'!$H$27</definedName>
    <definedName name="ρ_3">'conditions init+ trajectoires'!$H$35</definedName>
    <definedName name="ρ_4">'conditions init+ trajectoires'!$H$44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2" l="1"/>
  <c r="BK7" i="1"/>
  <c r="BL4" i="1"/>
  <c r="BK5" i="1"/>
  <c r="BL8" i="1"/>
  <c r="BL7" i="1"/>
  <c r="BL5" i="1"/>
  <c r="BL6" i="1"/>
  <c r="BK6" i="1"/>
  <c r="BK8" i="1" s="1"/>
  <c r="BK4" i="1" l="1"/>
  <c r="B2" i="2" l="1"/>
  <c r="C2" i="2"/>
  <c r="AR4" i="1"/>
  <c r="AQ4" i="1"/>
  <c r="AO4" i="1"/>
  <c r="AN4" i="1"/>
  <c r="BG4" i="1" l="1"/>
  <c r="BH4" i="1"/>
  <c r="BI4" i="1"/>
  <c r="AJ4" i="1"/>
  <c r="AI4" i="1"/>
  <c r="AH4" i="1"/>
  <c r="AG4" i="1"/>
  <c r="AF4" i="1"/>
  <c r="AE4" i="1"/>
  <c r="AC1" i="1"/>
  <c r="AD5" i="1" s="1"/>
  <c r="AJ5" i="1" l="1"/>
  <c r="AI5" i="1"/>
  <c r="AH5" i="1"/>
  <c r="AG5" i="1"/>
  <c r="AF5" i="1"/>
  <c r="AE5" i="1"/>
  <c r="AD6" i="1"/>
  <c r="H22" i="1"/>
  <c r="H20" i="1"/>
  <c r="H21" i="1" s="1"/>
  <c r="AX4" i="1" s="1"/>
  <c r="AY4" i="1" l="1"/>
  <c r="AF6" i="1"/>
  <c r="AI6" i="1"/>
  <c r="AD7" i="1"/>
  <c r="AJ6" i="1"/>
  <c r="AH6" i="1"/>
  <c r="AE6" i="1"/>
  <c r="AG6" i="1"/>
  <c r="H30" i="1"/>
  <c r="H36" i="1"/>
  <c r="H37" i="1" s="1"/>
  <c r="H28" i="1"/>
  <c r="H29" i="1" s="1"/>
  <c r="H38" i="1"/>
  <c r="BD4" i="1" l="1"/>
  <c r="BB4" i="1"/>
  <c r="BA4" i="1"/>
  <c r="BE4" i="1"/>
  <c r="AG7" i="1"/>
  <c r="AD8" i="1"/>
  <c r="AI7" i="1"/>
  <c r="AJ7" i="1"/>
  <c r="AE7" i="1"/>
  <c r="AH7" i="1"/>
  <c r="AF7" i="1"/>
  <c r="AT4" i="1" l="1"/>
  <c r="AN5" i="1" s="1"/>
  <c r="AU4" i="1"/>
  <c r="AR5" i="1" s="1"/>
  <c r="AI8" i="1"/>
  <c r="AG8" i="1"/>
  <c r="AH8" i="1"/>
  <c r="AF8" i="1"/>
  <c r="AE8" i="1"/>
  <c r="AD9" i="1"/>
  <c r="AJ8" i="1"/>
  <c r="AO5" i="1" l="1"/>
  <c r="AQ5" i="1"/>
  <c r="AD10" i="1"/>
  <c r="AJ9" i="1"/>
  <c r="AE9" i="1"/>
  <c r="AF9" i="1"/>
  <c r="AI9" i="1"/>
  <c r="AG9" i="1"/>
  <c r="AH9" i="1"/>
  <c r="BG5" i="1" l="1"/>
  <c r="BI5" i="1"/>
  <c r="BH5" i="1"/>
  <c r="AD11" i="1"/>
  <c r="AG10" i="1"/>
  <c r="AF10" i="1"/>
  <c r="AJ10" i="1"/>
  <c r="AI10" i="1"/>
  <c r="AH10" i="1"/>
  <c r="AE10" i="1"/>
  <c r="BB5" i="1" l="1"/>
  <c r="BA5" i="1"/>
  <c r="BE5" i="1"/>
  <c r="BD5" i="1"/>
  <c r="AY5" i="1"/>
  <c r="AX5" i="1"/>
  <c r="AH11" i="1"/>
  <c r="AG11" i="1"/>
  <c r="AF11" i="1"/>
  <c r="AI11" i="1"/>
  <c r="AE11" i="1"/>
  <c r="AD12" i="1"/>
  <c r="AJ11" i="1"/>
  <c r="AU5" i="1" l="1"/>
  <c r="AO6" i="1" s="1"/>
  <c r="AT5" i="1"/>
  <c r="AH12" i="1"/>
  <c r="AE12" i="1"/>
  <c r="AD13" i="1"/>
  <c r="AG12" i="1"/>
  <c r="AJ12" i="1"/>
  <c r="AI12" i="1"/>
  <c r="AF12" i="1"/>
  <c r="AR6" i="1" l="1"/>
  <c r="AQ6" i="1"/>
  <c r="AN6" i="1"/>
  <c r="AD14" i="1"/>
  <c r="AJ13" i="1"/>
  <c r="AI13" i="1"/>
  <c r="AH13" i="1"/>
  <c r="AG13" i="1"/>
  <c r="AF13" i="1"/>
  <c r="AE13" i="1"/>
  <c r="BI6" i="1" l="1"/>
  <c r="BG6" i="1"/>
  <c r="AY6" i="1" s="1"/>
  <c r="BH6" i="1"/>
  <c r="BB6" i="1" s="1"/>
  <c r="AG14" i="1"/>
  <c r="AI14" i="1"/>
  <c r="AF14" i="1"/>
  <c r="AE14" i="1"/>
  <c r="AD15" i="1"/>
  <c r="AJ14" i="1"/>
  <c r="AH14" i="1"/>
  <c r="BA6" i="1" l="1"/>
  <c r="AX6" i="1"/>
  <c r="BD6" i="1"/>
  <c r="BE6" i="1"/>
  <c r="AU6" i="1" s="1"/>
  <c r="AG15" i="1"/>
  <c r="AF15" i="1"/>
  <c r="AE15" i="1"/>
  <c r="AJ15" i="1"/>
  <c r="AD16" i="1"/>
  <c r="AI15" i="1"/>
  <c r="AH15" i="1"/>
  <c r="AO7" i="1" l="1"/>
  <c r="AR7" i="1"/>
  <c r="AT6" i="1"/>
  <c r="AD17" i="1"/>
  <c r="AJ16" i="1"/>
  <c r="AI16" i="1"/>
  <c r="AH16" i="1"/>
  <c r="AG16" i="1"/>
  <c r="AF16" i="1"/>
  <c r="AE16" i="1"/>
  <c r="AN7" i="1" l="1"/>
  <c r="AQ7" i="1"/>
  <c r="AF17" i="1"/>
  <c r="AE17" i="1"/>
  <c r="AD18" i="1"/>
  <c r="AH17" i="1"/>
  <c r="AJ17" i="1"/>
  <c r="AG17" i="1"/>
  <c r="AI17" i="1"/>
  <c r="BG7" i="1" l="1"/>
  <c r="AY7" i="1" s="1"/>
  <c r="BI7" i="1"/>
  <c r="BE7" i="1" s="1"/>
  <c r="BH7" i="1"/>
  <c r="AI18" i="1"/>
  <c r="AJ18" i="1"/>
  <c r="AH18" i="1"/>
  <c r="AG18" i="1"/>
  <c r="AD19" i="1"/>
  <c r="AF18" i="1"/>
  <c r="AE18" i="1"/>
  <c r="AX7" i="1" l="1"/>
  <c r="BD7" i="1"/>
  <c r="BA7" i="1"/>
  <c r="BB7" i="1"/>
  <c r="AU7" i="1" s="1"/>
  <c r="AD20" i="1"/>
  <c r="AJ19" i="1"/>
  <c r="AI19" i="1"/>
  <c r="AH19" i="1"/>
  <c r="AG19" i="1"/>
  <c r="AF19" i="1"/>
  <c r="AE19" i="1"/>
  <c r="AT7" i="1" l="1"/>
  <c r="AR8" i="1"/>
  <c r="AO8" i="1"/>
  <c r="AQ8" i="1"/>
  <c r="AN8" i="1"/>
  <c r="AE20" i="1"/>
  <c r="AG20" i="1"/>
  <c r="AI20" i="1"/>
  <c r="AH20" i="1"/>
  <c r="AD21" i="1"/>
  <c r="AJ20" i="1"/>
  <c r="AF20" i="1"/>
  <c r="BG8" i="1" l="1"/>
  <c r="AX8" i="1" s="1"/>
  <c r="BI8" i="1"/>
  <c r="BD8" i="1" s="1"/>
  <c r="BH8" i="1"/>
  <c r="BA8" i="1" s="1"/>
  <c r="AE21" i="1"/>
  <c r="AH21" i="1"/>
  <c r="AG21" i="1"/>
  <c r="AF21" i="1"/>
  <c r="AD22" i="1"/>
  <c r="AJ21" i="1"/>
  <c r="AI21" i="1"/>
  <c r="AT8" i="1" l="1"/>
  <c r="BE8" i="1"/>
  <c r="BB8" i="1"/>
  <c r="AY8" i="1"/>
  <c r="AD23" i="1"/>
  <c r="AJ22" i="1"/>
  <c r="AI22" i="1"/>
  <c r="AH22" i="1"/>
  <c r="AG22" i="1"/>
  <c r="AF22" i="1"/>
  <c r="AE22" i="1"/>
  <c r="AU8" i="1" l="1"/>
  <c r="AQ9" i="1"/>
  <c r="AN9" i="1"/>
  <c r="AJ23" i="1"/>
  <c r="AE23" i="1"/>
  <c r="AI23" i="1"/>
  <c r="AG23" i="1"/>
  <c r="AF23" i="1"/>
  <c r="AD24" i="1"/>
  <c r="AH23" i="1"/>
  <c r="AO9" i="1" l="1"/>
  <c r="BH9" i="1" s="1"/>
  <c r="AR9" i="1"/>
  <c r="AD25" i="1"/>
  <c r="AJ24" i="1"/>
  <c r="AI24" i="1"/>
  <c r="AH24" i="1"/>
  <c r="AG24" i="1"/>
  <c r="AF24" i="1"/>
  <c r="AE24" i="1"/>
  <c r="BB9" i="1" l="1"/>
  <c r="BA9" i="1"/>
  <c r="BG9" i="1"/>
  <c r="BI9" i="1"/>
  <c r="AJ25" i="1"/>
  <c r="AI25" i="1"/>
  <c r="AH25" i="1"/>
  <c r="AG25" i="1"/>
  <c r="AD26" i="1"/>
  <c r="AF25" i="1"/>
  <c r="AE25" i="1"/>
  <c r="AY9" i="1" l="1"/>
  <c r="AX9" i="1"/>
  <c r="BE9" i="1"/>
  <c r="BD9" i="1"/>
  <c r="AG26" i="1"/>
  <c r="AD27" i="1"/>
  <c r="AE26" i="1"/>
  <c r="AJ26" i="1"/>
  <c r="AI26" i="1"/>
  <c r="AF26" i="1"/>
  <c r="AH26" i="1"/>
  <c r="AT9" i="1" l="1"/>
  <c r="AU9" i="1"/>
  <c r="AF27" i="1"/>
  <c r="AD28" i="1"/>
  <c r="AJ27" i="1"/>
  <c r="AI27" i="1"/>
  <c r="AH27" i="1"/>
  <c r="AG27" i="1"/>
  <c r="AE27" i="1"/>
  <c r="AR10" i="1" l="1"/>
  <c r="AO10" i="1"/>
  <c r="AN10" i="1"/>
  <c r="AQ10" i="1"/>
  <c r="AI28" i="1"/>
  <c r="AH28" i="1"/>
  <c r="AG28" i="1"/>
  <c r="AD29" i="1"/>
  <c r="AF28" i="1"/>
  <c r="AE28" i="1"/>
  <c r="AJ28" i="1"/>
  <c r="BH10" i="1" l="1"/>
  <c r="BB10" i="1" s="1"/>
  <c r="BI10" i="1"/>
  <c r="BE10" i="1" s="1"/>
  <c r="BG10" i="1"/>
  <c r="AY10" i="1" s="1"/>
  <c r="AI29" i="1"/>
  <c r="AH29" i="1"/>
  <c r="AG29" i="1"/>
  <c r="AE29" i="1"/>
  <c r="AD30" i="1"/>
  <c r="AJ29" i="1"/>
  <c r="AF29" i="1"/>
  <c r="BA10" i="1" l="1"/>
  <c r="BD10" i="1"/>
  <c r="AX10" i="1"/>
  <c r="AU10" i="1"/>
  <c r="AE30" i="1"/>
  <c r="AD31" i="1"/>
  <c r="AJ30" i="1"/>
  <c r="AI30" i="1"/>
  <c r="AH30" i="1"/>
  <c r="AG30" i="1"/>
  <c r="AF30" i="1"/>
  <c r="AT10" i="1" l="1"/>
  <c r="AQ11" i="1"/>
  <c r="AN11" i="1"/>
  <c r="AO11" i="1"/>
  <c r="AR11" i="1"/>
  <c r="AH31" i="1"/>
  <c r="AG31" i="1"/>
  <c r="AF31" i="1"/>
  <c r="AE31" i="1"/>
  <c r="AI31" i="1"/>
  <c r="AJ31" i="1"/>
  <c r="AD32" i="1"/>
  <c r="BI11" i="1" l="1"/>
  <c r="BG11" i="1"/>
  <c r="BH11" i="1"/>
  <c r="AG32" i="1"/>
  <c r="AI32" i="1"/>
  <c r="AE32" i="1"/>
  <c r="AD33" i="1"/>
  <c r="AJ32" i="1"/>
  <c r="AH32" i="1"/>
  <c r="AF32" i="1"/>
  <c r="AY11" i="1" l="1"/>
  <c r="AX11" i="1"/>
  <c r="BB11" i="1"/>
  <c r="BA11" i="1"/>
  <c r="BE11" i="1"/>
  <c r="BD11" i="1"/>
  <c r="AD34" i="1"/>
  <c r="AJ33" i="1"/>
  <c r="AI33" i="1"/>
  <c r="AH33" i="1"/>
  <c r="AG33" i="1"/>
  <c r="AF33" i="1"/>
  <c r="AE33" i="1"/>
  <c r="AT11" i="1" l="1"/>
  <c r="AU11" i="1"/>
  <c r="AG34" i="1"/>
  <c r="AD35" i="1"/>
  <c r="AF34" i="1"/>
  <c r="AJ34" i="1"/>
  <c r="AE34" i="1"/>
  <c r="AI34" i="1"/>
  <c r="AH34" i="1"/>
  <c r="AR12" i="1" l="1"/>
  <c r="AO12" i="1"/>
  <c r="AQ12" i="1"/>
  <c r="AN12" i="1"/>
  <c r="AH35" i="1"/>
  <c r="AF35" i="1"/>
  <c r="AD36" i="1"/>
  <c r="AE35" i="1"/>
  <c r="AJ35" i="1"/>
  <c r="AI35" i="1"/>
  <c r="AG35" i="1"/>
  <c r="BG12" i="1" l="1"/>
  <c r="AY12" i="1" s="1"/>
  <c r="BH12" i="1"/>
  <c r="BB12" i="1" s="1"/>
  <c r="BI12" i="1"/>
  <c r="BE12" i="1" s="1"/>
  <c r="AD37" i="1"/>
  <c r="AJ36" i="1"/>
  <c r="AI36" i="1"/>
  <c r="AH36" i="1"/>
  <c r="AG36" i="1"/>
  <c r="AF36" i="1"/>
  <c r="AE36" i="1"/>
  <c r="AX12" i="1" l="1"/>
  <c r="BD12" i="1"/>
  <c r="BA12" i="1"/>
  <c r="AU12" i="1"/>
  <c r="AR13" i="1" s="1"/>
  <c r="AF37" i="1"/>
  <c r="AE37" i="1"/>
  <c r="AG37" i="1"/>
  <c r="AD38" i="1"/>
  <c r="AI37" i="1"/>
  <c r="AH37" i="1"/>
  <c r="AJ37" i="1"/>
  <c r="AO13" i="1" l="1"/>
  <c r="AT12" i="1"/>
  <c r="AF38" i="1"/>
  <c r="AD39" i="1"/>
  <c r="AJ38" i="1"/>
  <c r="AI38" i="1"/>
  <c r="AG38" i="1"/>
  <c r="AH38" i="1"/>
  <c r="AE38" i="1"/>
  <c r="AN13" i="1" l="1"/>
  <c r="BI13" i="1" s="1"/>
  <c r="BD13" i="1" s="1"/>
  <c r="AQ13" i="1"/>
  <c r="BG13" i="1"/>
  <c r="BH13" i="1"/>
  <c r="BE13" i="1"/>
  <c r="AD40" i="1"/>
  <c r="AJ39" i="1"/>
  <c r="AI39" i="1"/>
  <c r="AH39" i="1"/>
  <c r="AG39" i="1"/>
  <c r="AF39" i="1"/>
  <c r="AE39" i="1"/>
  <c r="BA13" i="1" l="1"/>
  <c r="BB13" i="1"/>
  <c r="AY13" i="1"/>
  <c r="AX13" i="1"/>
  <c r="AT13" i="1" s="1"/>
  <c r="AE40" i="1"/>
  <c r="AD41" i="1"/>
  <c r="AH40" i="1"/>
  <c r="AJ40" i="1"/>
  <c r="AI40" i="1"/>
  <c r="AF40" i="1"/>
  <c r="AG40" i="1"/>
  <c r="AU13" i="1" l="1"/>
  <c r="AO14" i="1" s="1"/>
  <c r="AQ14" i="1"/>
  <c r="AN14" i="1"/>
  <c r="AF41" i="1"/>
  <c r="AD42" i="1"/>
  <c r="AJ41" i="1"/>
  <c r="AI41" i="1"/>
  <c r="AH41" i="1"/>
  <c r="AG41" i="1"/>
  <c r="AE41" i="1"/>
  <c r="AR14" i="1" l="1"/>
  <c r="BG14" i="1"/>
  <c r="BI14" i="1"/>
  <c r="BH14" i="1"/>
  <c r="AD43" i="1"/>
  <c r="AJ42" i="1"/>
  <c r="AI42" i="1"/>
  <c r="AH42" i="1"/>
  <c r="AG42" i="1"/>
  <c r="AF42" i="1"/>
  <c r="AE42" i="1"/>
  <c r="BE14" i="1" l="1"/>
  <c r="BD14" i="1"/>
  <c r="BB14" i="1"/>
  <c r="BA14" i="1"/>
  <c r="AY14" i="1"/>
  <c r="AX14" i="1"/>
  <c r="AJ43" i="1"/>
  <c r="AH43" i="1"/>
  <c r="AF43" i="1"/>
  <c r="AD44" i="1"/>
  <c r="AG43" i="1"/>
  <c r="AI43" i="1"/>
  <c r="AE43" i="1"/>
  <c r="AU14" i="1" l="1"/>
  <c r="AT14" i="1"/>
  <c r="AO15" i="1"/>
  <c r="AR15" i="1"/>
  <c r="AQ15" i="1"/>
  <c r="AN15" i="1"/>
  <c r="AD45" i="1"/>
  <c r="AJ44" i="1"/>
  <c r="AI44" i="1"/>
  <c r="AH44" i="1"/>
  <c r="AG44" i="1"/>
  <c r="AF44" i="1"/>
  <c r="AE44" i="1"/>
  <c r="BG15" i="1" l="1"/>
  <c r="AY15" i="1" s="1"/>
  <c r="BH15" i="1"/>
  <c r="BB15" i="1" s="1"/>
  <c r="BI15" i="1"/>
  <c r="BE15" i="1" s="1"/>
  <c r="AJ45" i="1"/>
  <c r="AI45" i="1"/>
  <c r="AD46" i="1"/>
  <c r="AH45" i="1"/>
  <c r="AG45" i="1"/>
  <c r="AF45" i="1"/>
  <c r="AE45" i="1"/>
  <c r="AX15" i="1" l="1"/>
  <c r="BD15" i="1"/>
  <c r="AU15" i="1"/>
  <c r="BA15" i="1"/>
  <c r="AI46" i="1"/>
  <c r="AH46" i="1"/>
  <c r="AF46" i="1"/>
  <c r="AJ46" i="1"/>
  <c r="AG46" i="1"/>
  <c r="AD47" i="1"/>
  <c r="AE46" i="1"/>
  <c r="AT15" i="1" l="1"/>
  <c r="AQ16" i="1"/>
  <c r="AN16" i="1"/>
  <c r="AR16" i="1"/>
  <c r="AO16" i="1"/>
  <c r="AD48" i="1"/>
  <c r="AJ47" i="1"/>
  <c r="AI47" i="1"/>
  <c r="AH47" i="1"/>
  <c r="AG47" i="1"/>
  <c r="AF47" i="1"/>
  <c r="AE47" i="1"/>
  <c r="BG16" i="1" l="1"/>
  <c r="AX16" i="1" s="1"/>
  <c r="BH16" i="1"/>
  <c r="BB16" i="1" s="1"/>
  <c r="BI16" i="1"/>
  <c r="BE16" i="1" s="1"/>
  <c r="AI48" i="1"/>
  <c r="AH48" i="1"/>
  <c r="AG48" i="1"/>
  <c r="AF48" i="1"/>
  <c r="AE48" i="1"/>
  <c r="AD49" i="1"/>
  <c r="AJ48" i="1"/>
  <c r="BA16" i="1" l="1"/>
  <c r="BD16" i="1"/>
  <c r="AY16" i="1"/>
  <c r="AU16" i="1" s="1"/>
  <c r="AI49" i="1"/>
  <c r="AH49" i="1"/>
  <c r="AE49" i="1"/>
  <c r="AG49" i="1"/>
  <c r="AD50" i="1"/>
  <c r="AJ49" i="1"/>
  <c r="AF49" i="1"/>
  <c r="AT16" i="1" l="1"/>
  <c r="AN17" i="1" s="1"/>
  <c r="AR17" i="1"/>
  <c r="AO17" i="1"/>
  <c r="AD51" i="1"/>
  <c r="AJ50" i="1"/>
  <c r="AI50" i="1"/>
  <c r="AH50" i="1"/>
  <c r="AG50" i="1"/>
  <c r="AF50" i="1"/>
  <c r="AE50" i="1"/>
  <c r="AQ17" i="1" l="1"/>
  <c r="BG17" i="1"/>
  <c r="AY17" i="1" s="1"/>
  <c r="BH17" i="1"/>
  <c r="BI17" i="1"/>
  <c r="AX17" i="1"/>
  <c r="AH51" i="1"/>
  <c r="AJ51" i="1"/>
  <c r="AG51" i="1"/>
  <c r="AF51" i="1"/>
  <c r="AE51" i="1"/>
  <c r="AI51" i="1"/>
  <c r="AD52" i="1"/>
  <c r="BE17" i="1" l="1"/>
  <c r="BD17" i="1"/>
  <c r="BB17" i="1"/>
  <c r="BA17" i="1"/>
  <c r="AF52" i="1"/>
  <c r="AE52" i="1"/>
  <c r="AD53" i="1"/>
  <c r="AJ52" i="1"/>
  <c r="AI52" i="1"/>
  <c r="AH52" i="1"/>
  <c r="AG52" i="1"/>
  <c r="AT17" i="1" l="1"/>
  <c r="AQ18" i="1" s="1"/>
  <c r="AU17" i="1"/>
  <c r="AO18" i="1" s="1"/>
  <c r="AD54" i="1"/>
  <c r="AJ53" i="1"/>
  <c r="AI53" i="1"/>
  <c r="AH53" i="1"/>
  <c r="AG53" i="1"/>
  <c r="AF53" i="1"/>
  <c r="AE53" i="1"/>
  <c r="AR18" i="1" l="1"/>
  <c r="AN18" i="1"/>
  <c r="BI18" i="1"/>
  <c r="BE18" i="1" s="1"/>
  <c r="BH18" i="1"/>
  <c r="BB18" i="1" s="1"/>
  <c r="BG18" i="1"/>
  <c r="AG54" i="1"/>
  <c r="AF54" i="1"/>
  <c r="AE54" i="1"/>
  <c r="AD55" i="1"/>
  <c r="AI54" i="1"/>
  <c r="AJ54" i="1"/>
  <c r="AH54" i="1"/>
  <c r="BD18" i="1" l="1"/>
  <c r="BA18" i="1"/>
  <c r="AY18" i="1"/>
  <c r="AU18" i="1" s="1"/>
  <c r="AX18" i="1"/>
  <c r="AE55" i="1"/>
  <c r="AD56" i="1"/>
  <c r="AJ55" i="1"/>
  <c r="AI55" i="1"/>
  <c r="AH55" i="1"/>
  <c r="AG55" i="1"/>
  <c r="AF55" i="1"/>
  <c r="AT18" i="1" l="1"/>
  <c r="AQ19" i="1" s="1"/>
  <c r="AR19" i="1"/>
  <c r="AO19" i="1"/>
  <c r="AD57" i="1"/>
  <c r="AJ56" i="1"/>
  <c r="AI56" i="1"/>
  <c r="AH56" i="1"/>
  <c r="AG56" i="1"/>
  <c r="AF56" i="1"/>
  <c r="AE56" i="1"/>
  <c r="AN19" i="1" l="1"/>
  <c r="BI19" i="1" s="1"/>
  <c r="AF57" i="1"/>
  <c r="AI57" i="1"/>
  <c r="AG57" i="1"/>
  <c r="AE57" i="1"/>
  <c r="AJ57" i="1"/>
  <c r="AH57" i="1"/>
  <c r="AD58" i="1"/>
  <c r="BE19" i="1" l="1"/>
  <c r="BD19" i="1"/>
  <c r="BH19" i="1"/>
  <c r="BB19" i="1" s="1"/>
  <c r="BG19" i="1"/>
  <c r="AX19" i="1" s="1"/>
  <c r="AE58" i="1"/>
  <c r="AD59" i="1"/>
  <c r="AJ58" i="1"/>
  <c r="AI58" i="1"/>
  <c r="AF58" i="1"/>
  <c r="AH58" i="1"/>
  <c r="AG58" i="1"/>
  <c r="BA19" i="1" l="1"/>
  <c r="AT19" i="1" s="1"/>
  <c r="AQ20" i="1" s="1"/>
  <c r="AY19" i="1"/>
  <c r="AU19" i="1" s="1"/>
  <c r="AR20" i="1" s="1"/>
  <c r="AD60" i="1"/>
  <c r="AJ59" i="1"/>
  <c r="AI59" i="1"/>
  <c r="AH59" i="1"/>
  <c r="AG59" i="1"/>
  <c r="AF59" i="1"/>
  <c r="AE59" i="1"/>
  <c r="AO20" i="1" l="1"/>
  <c r="AN20" i="1"/>
  <c r="AE60" i="1"/>
  <c r="AG60" i="1"/>
  <c r="AD61" i="1"/>
  <c r="AH60" i="1"/>
  <c r="AF60" i="1"/>
  <c r="AJ60" i="1"/>
  <c r="AI60" i="1"/>
  <c r="BG20" i="1" l="1"/>
  <c r="BH20" i="1"/>
  <c r="BA20" i="1" s="1"/>
  <c r="BI20" i="1"/>
  <c r="BE20" i="1" s="1"/>
  <c r="BB20" i="1"/>
  <c r="AY20" i="1"/>
  <c r="AX20" i="1"/>
  <c r="AE61" i="1"/>
  <c r="AD62" i="1"/>
  <c r="AJ61" i="1"/>
  <c r="AI61" i="1"/>
  <c r="AH61" i="1"/>
  <c r="AG61" i="1"/>
  <c r="AF61" i="1"/>
  <c r="BD20" i="1" l="1"/>
  <c r="AT20" i="1" s="1"/>
  <c r="AU20" i="1"/>
  <c r="AO21" i="1"/>
  <c r="AR21" i="1"/>
  <c r="AD63" i="1"/>
  <c r="AJ62" i="1"/>
  <c r="AI62" i="1"/>
  <c r="AH62" i="1"/>
  <c r="AG62" i="1"/>
  <c r="AF62" i="1"/>
  <c r="AE62" i="1"/>
  <c r="AQ21" i="1" l="1"/>
  <c r="AN21" i="1"/>
  <c r="AG63" i="1"/>
  <c r="AF63" i="1"/>
  <c r="AD64" i="1"/>
  <c r="AI63" i="1"/>
  <c r="AH63" i="1"/>
  <c r="AE63" i="1"/>
  <c r="AJ63" i="1"/>
  <c r="BG21" i="1" l="1"/>
  <c r="AY21" i="1" s="1"/>
  <c r="BI21" i="1"/>
  <c r="BE21" i="1" s="1"/>
  <c r="BH21" i="1"/>
  <c r="BB21" i="1" s="1"/>
  <c r="AD65" i="1"/>
  <c r="AJ64" i="1"/>
  <c r="AI64" i="1"/>
  <c r="AH64" i="1"/>
  <c r="AG64" i="1"/>
  <c r="AF64" i="1"/>
  <c r="AE64" i="1"/>
  <c r="AX21" i="1" l="1"/>
  <c r="BA21" i="1"/>
  <c r="BD21" i="1"/>
  <c r="AU21" i="1"/>
  <c r="AO22" i="1" s="1"/>
  <c r="AJ65" i="1"/>
  <c r="AI65" i="1"/>
  <c r="AH65" i="1"/>
  <c r="AG65" i="1"/>
  <c r="AD66" i="1"/>
  <c r="AF65" i="1"/>
  <c r="AE65" i="1"/>
  <c r="AT21" i="1" l="1"/>
  <c r="AR22" i="1"/>
  <c r="AN22" i="1"/>
  <c r="AQ22" i="1"/>
  <c r="AJ66" i="1"/>
  <c r="AE66" i="1"/>
  <c r="AG66" i="1"/>
  <c r="AI66" i="1"/>
  <c r="AD67" i="1"/>
  <c r="AH66" i="1"/>
  <c r="AF66" i="1"/>
  <c r="BG22" i="1" l="1"/>
  <c r="BH22" i="1"/>
  <c r="BI22" i="1"/>
  <c r="AD68" i="1"/>
  <c r="AJ67" i="1"/>
  <c r="AI67" i="1"/>
  <c r="AH67" i="1"/>
  <c r="AG67" i="1"/>
  <c r="AF67" i="1"/>
  <c r="AE67" i="1"/>
  <c r="BB22" i="1" l="1"/>
  <c r="BA22" i="1"/>
  <c r="BE22" i="1"/>
  <c r="BD22" i="1"/>
  <c r="AY22" i="1"/>
  <c r="AX22" i="1"/>
  <c r="AI68" i="1"/>
  <c r="AH68" i="1"/>
  <c r="AG68" i="1"/>
  <c r="AF68" i="1"/>
  <c r="AE68" i="1"/>
  <c r="AJ68" i="1"/>
  <c r="AD69" i="1"/>
  <c r="AU22" i="1" l="1"/>
  <c r="AT22" i="1"/>
  <c r="AO23" i="1"/>
  <c r="AR23" i="1"/>
  <c r="AQ23" i="1"/>
  <c r="AN23" i="1"/>
  <c r="AI69" i="1"/>
  <c r="AG69" i="1"/>
  <c r="AE69" i="1"/>
  <c r="AH69" i="1"/>
  <c r="AD70" i="1"/>
  <c r="AJ69" i="1"/>
  <c r="AF69" i="1"/>
  <c r="BG23" i="1" l="1"/>
  <c r="AY23" i="1" s="1"/>
  <c r="BI23" i="1"/>
  <c r="BH23" i="1"/>
  <c r="AD71" i="1"/>
  <c r="AJ70" i="1"/>
  <c r="AI70" i="1"/>
  <c r="AH70" i="1"/>
  <c r="AG70" i="1"/>
  <c r="AF70" i="1"/>
  <c r="AE70" i="1"/>
  <c r="AX23" i="1" l="1"/>
  <c r="BB23" i="1"/>
  <c r="BA23" i="1"/>
  <c r="BE23" i="1"/>
  <c r="BD23" i="1"/>
  <c r="AH71" i="1"/>
  <c r="AG71" i="1"/>
  <c r="AF71" i="1"/>
  <c r="AD72" i="1"/>
  <c r="AE71" i="1"/>
  <c r="AJ71" i="1"/>
  <c r="AI71" i="1"/>
  <c r="AU23" i="1" l="1"/>
  <c r="AO24" i="1"/>
  <c r="AR24" i="1"/>
  <c r="AT23" i="1"/>
  <c r="AF72" i="1"/>
  <c r="AE72" i="1"/>
  <c r="AD73" i="1"/>
  <c r="AJ72" i="1"/>
  <c r="AI72" i="1"/>
  <c r="AG72" i="1"/>
  <c r="AH72" i="1"/>
  <c r="AQ24" i="1" l="1"/>
  <c r="AN24" i="1"/>
  <c r="AD74" i="1"/>
  <c r="AJ73" i="1"/>
  <c r="AI73" i="1"/>
  <c r="AH73" i="1"/>
  <c r="AG73" i="1"/>
  <c r="AF73" i="1"/>
  <c r="AE73" i="1"/>
  <c r="BH24" i="1" l="1"/>
  <c r="BI24" i="1"/>
  <c r="BG24" i="1"/>
  <c r="AG74" i="1"/>
  <c r="AF74" i="1"/>
  <c r="AI74" i="1"/>
  <c r="AE74" i="1"/>
  <c r="AD75" i="1"/>
  <c r="AH74" i="1"/>
  <c r="AJ74" i="1"/>
  <c r="BD24" i="1" l="1"/>
  <c r="BE24" i="1"/>
  <c r="AX24" i="1"/>
  <c r="AY24" i="1"/>
  <c r="BA24" i="1"/>
  <c r="BB24" i="1"/>
  <c r="AE75" i="1"/>
  <c r="AD76" i="1"/>
  <c r="AJ75" i="1"/>
  <c r="AI75" i="1"/>
  <c r="AG75" i="1"/>
  <c r="AH75" i="1"/>
  <c r="AF75" i="1"/>
  <c r="AT24" i="1" l="1"/>
  <c r="AU24" i="1"/>
  <c r="AD77" i="1"/>
  <c r="AJ76" i="1"/>
  <c r="AI76" i="1"/>
  <c r="AH76" i="1"/>
  <c r="AG76" i="1"/>
  <c r="AF76" i="1"/>
  <c r="AE76" i="1"/>
  <c r="AR25" i="1" l="1"/>
  <c r="AO25" i="1"/>
  <c r="AN25" i="1"/>
  <c r="AQ25" i="1"/>
  <c r="AF77" i="1"/>
  <c r="AG77" i="1"/>
  <c r="AE77" i="1"/>
  <c r="AJ77" i="1"/>
  <c r="AD78" i="1"/>
  <c r="AI77" i="1"/>
  <c r="AH77" i="1"/>
  <c r="BG25" i="1" l="1"/>
  <c r="AX25" i="1" s="1"/>
  <c r="BI25" i="1"/>
  <c r="BD25" i="1" s="1"/>
  <c r="BH25" i="1"/>
  <c r="BB25" i="1" s="1"/>
  <c r="AE78" i="1"/>
  <c r="AD79" i="1"/>
  <c r="AJ78" i="1"/>
  <c r="AI78" i="1"/>
  <c r="AH78" i="1"/>
  <c r="AG78" i="1"/>
  <c r="AF78" i="1"/>
  <c r="BE25" i="1" l="1"/>
  <c r="BA25" i="1"/>
  <c r="AT25" i="1" s="1"/>
  <c r="AY25" i="1"/>
  <c r="AD80" i="1"/>
  <c r="AJ79" i="1"/>
  <c r="AI79" i="1"/>
  <c r="AH79" i="1"/>
  <c r="AG79" i="1"/>
  <c r="AF79" i="1"/>
  <c r="AE79" i="1"/>
  <c r="AU25" i="1" l="1"/>
  <c r="AO26" i="1" s="1"/>
  <c r="AR26" i="1"/>
  <c r="AN26" i="1"/>
  <c r="AQ26" i="1"/>
  <c r="AE80" i="1"/>
  <c r="AG80" i="1"/>
  <c r="AH80" i="1"/>
  <c r="AI80" i="1"/>
  <c r="AF80" i="1"/>
  <c r="AJ80" i="1"/>
  <c r="AD81" i="1"/>
  <c r="BG26" i="1" l="1"/>
  <c r="AY26" i="1" s="1"/>
  <c r="BH26" i="1"/>
  <c r="BB26" i="1" s="1"/>
  <c r="BI26" i="1"/>
  <c r="BE26" i="1" s="1"/>
  <c r="AD82" i="1"/>
  <c r="AJ81" i="1"/>
  <c r="AI81" i="1"/>
  <c r="AH81" i="1"/>
  <c r="AG81" i="1"/>
  <c r="AF81" i="1"/>
  <c r="AE81" i="1"/>
  <c r="BD26" i="1" l="1"/>
  <c r="AX26" i="1"/>
  <c r="BA26" i="1"/>
  <c r="AU26" i="1"/>
  <c r="AD83" i="1"/>
  <c r="AJ82" i="1"/>
  <c r="AI82" i="1"/>
  <c r="AH82" i="1"/>
  <c r="AG82" i="1"/>
  <c r="AF82" i="1"/>
  <c r="AE82" i="1"/>
  <c r="AT26" i="1" l="1"/>
  <c r="AQ27" i="1" s="1"/>
  <c r="AR27" i="1"/>
  <c r="AO27" i="1"/>
  <c r="AN27" i="1"/>
  <c r="AF83" i="1"/>
  <c r="AE83" i="1"/>
  <c r="AI83" i="1"/>
  <c r="AG83" i="1"/>
  <c r="AD84" i="1"/>
  <c r="AJ83" i="1"/>
  <c r="AH83" i="1"/>
  <c r="BG27" i="1" l="1"/>
  <c r="AY27" i="1" s="1"/>
  <c r="BI27" i="1"/>
  <c r="BE27" i="1" s="1"/>
  <c r="BH27" i="1"/>
  <c r="BB27" i="1" s="1"/>
  <c r="AD85" i="1"/>
  <c r="AJ84" i="1"/>
  <c r="AI84" i="1"/>
  <c r="AH84" i="1"/>
  <c r="AG84" i="1"/>
  <c r="AF84" i="1"/>
  <c r="AE84" i="1"/>
  <c r="AX27" i="1" l="1"/>
  <c r="BD27" i="1"/>
  <c r="BA27" i="1"/>
  <c r="AU27" i="1"/>
  <c r="AJ85" i="1"/>
  <c r="AI85" i="1"/>
  <c r="AH85" i="1"/>
  <c r="AD86" i="1"/>
  <c r="AG85" i="1"/>
  <c r="AF85" i="1"/>
  <c r="AE85" i="1"/>
  <c r="AT27" i="1" l="1"/>
  <c r="AN28" i="1" s="1"/>
  <c r="AR28" i="1"/>
  <c r="AO28" i="1"/>
  <c r="AH86" i="1"/>
  <c r="AF86" i="1"/>
  <c r="AE86" i="1"/>
  <c r="AG86" i="1"/>
  <c r="AD87" i="1"/>
  <c r="AJ86" i="1"/>
  <c r="AI86" i="1"/>
  <c r="AQ28" i="1" l="1"/>
  <c r="BG28" i="1"/>
  <c r="BI28" i="1"/>
  <c r="BH28" i="1"/>
  <c r="AD88" i="1"/>
  <c r="AJ87" i="1"/>
  <c r="AI87" i="1"/>
  <c r="AH87" i="1"/>
  <c r="AG87" i="1"/>
  <c r="AF87" i="1"/>
  <c r="AE87" i="1"/>
  <c r="BE28" i="1" l="1"/>
  <c r="BD28" i="1"/>
  <c r="BB28" i="1"/>
  <c r="BA28" i="1"/>
  <c r="AY28" i="1"/>
  <c r="AU28" i="1" s="1"/>
  <c r="AX28" i="1"/>
  <c r="AI88" i="1"/>
  <c r="AH88" i="1"/>
  <c r="AG88" i="1"/>
  <c r="AF88" i="1"/>
  <c r="AD89" i="1"/>
  <c r="AE88" i="1"/>
  <c r="AJ88" i="1"/>
  <c r="AT28" i="1" l="1"/>
  <c r="AR29" i="1"/>
  <c r="AO29" i="1"/>
  <c r="AE89" i="1"/>
  <c r="AF89" i="1"/>
  <c r="AG89" i="1"/>
  <c r="AD90" i="1"/>
  <c r="AJ89" i="1"/>
  <c r="AI89" i="1"/>
  <c r="AH89" i="1"/>
  <c r="AN29" i="1" l="1"/>
  <c r="AQ29" i="1"/>
  <c r="AD91" i="1"/>
  <c r="AJ90" i="1"/>
  <c r="AI90" i="1"/>
  <c r="AH90" i="1"/>
  <c r="AG90" i="1"/>
  <c r="AF90" i="1"/>
  <c r="AE90" i="1"/>
  <c r="BI29" i="1" l="1"/>
  <c r="BG29" i="1"/>
  <c r="BH29" i="1"/>
  <c r="AH91" i="1"/>
  <c r="AG91" i="1"/>
  <c r="AF91" i="1"/>
  <c r="AE91" i="1"/>
  <c r="AD92" i="1"/>
  <c r="AJ91" i="1"/>
  <c r="AI91" i="1"/>
  <c r="BA29" i="1" l="1"/>
  <c r="BB29" i="1"/>
  <c r="BD29" i="1"/>
  <c r="BE29" i="1"/>
  <c r="AX29" i="1"/>
  <c r="AY29" i="1"/>
  <c r="AE92" i="1"/>
  <c r="AD93" i="1"/>
  <c r="AJ92" i="1"/>
  <c r="AI92" i="1"/>
  <c r="AH92" i="1"/>
  <c r="AG92" i="1"/>
  <c r="AF92" i="1"/>
  <c r="AT29" i="1" l="1"/>
  <c r="AQ30" i="1"/>
  <c r="AN30" i="1"/>
  <c r="AU29" i="1"/>
  <c r="AD94" i="1"/>
  <c r="AJ93" i="1"/>
  <c r="AI93" i="1"/>
  <c r="AH93" i="1"/>
  <c r="AG93" i="1"/>
  <c r="AF93" i="1"/>
  <c r="AE93" i="1"/>
  <c r="AR30" i="1" l="1"/>
  <c r="AO30" i="1"/>
  <c r="AG94" i="1"/>
  <c r="AF94" i="1"/>
  <c r="AE94" i="1"/>
  <c r="AJ94" i="1"/>
  <c r="AH94" i="1"/>
  <c r="AD95" i="1"/>
  <c r="AI94" i="1"/>
  <c r="BG30" i="1" l="1"/>
  <c r="AX30" i="1" s="1"/>
  <c r="BH30" i="1"/>
  <c r="BA30" i="1" s="1"/>
  <c r="BI30" i="1"/>
  <c r="BD30" i="1" s="1"/>
  <c r="AE95" i="1"/>
  <c r="AD96" i="1"/>
  <c r="AJ95" i="1"/>
  <c r="AI95" i="1"/>
  <c r="AH95" i="1"/>
  <c r="AG95" i="1"/>
  <c r="AF95" i="1"/>
  <c r="BE30" i="1" l="1"/>
  <c r="BB30" i="1"/>
  <c r="AT30" i="1"/>
  <c r="AY30" i="1"/>
  <c r="AD97" i="1"/>
  <c r="AJ96" i="1"/>
  <c r="AI96" i="1"/>
  <c r="AH96" i="1"/>
  <c r="AG96" i="1"/>
  <c r="AF96" i="1"/>
  <c r="AE96" i="1"/>
  <c r="AU30" i="1" l="1"/>
  <c r="AN31" i="1"/>
  <c r="AQ31" i="1"/>
  <c r="AR31" i="1"/>
  <c r="AO31" i="1"/>
  <c r="AF97" i="1"/>
  <c r="AE97" i="1"/>
  <c r="AJ97" i="1"/>
  <c r="AI97" i="1"/>
  <c r="AG97" i="1"/>
  <c r="AD98" i="1"/>
  <c r="AH97" i="1"/>
  <c r="BI31" i="1" l="1"/>
  <c r="BD31" i="1" s="1"/>
  <c r="BH31" i="1"/>
  <c r="BA31" i="1" s="1"/>
  <c r="BG31" i="1"/>
  <c r="AX31" i="1" s="1"/>
  <c r="AD99" i="1"/>
  <c r="AJ98" i="1"/>
  <c r="AI98" i="1"/>
  <c r="AH98" i="1"/>
  <c r="AG98" i="1"/>
  <c r="AF98" i="1"/>
  <c r="AE98" i="1"/>
  <c r="AT31" i="1" l="1"/>
  <c r="AN32" i="1" s="1"/>
  <c r="BB31" i="1"/>
  <c r="BE31" i="1"/>
  <c r="AY31" i="1"/>
  <c r="AD100" i="1"/>
  <c r="AJ99" i="1"/>
  <c r="AI99" i="1"/>
  <c r="AH99" i="1"/>
  <c r="AG99" i="1"/>
  <c r="AF99" i="1"/>
  <c r="AE99" i="1"/>
  <c r="AQ32" i="1" l="1"/>
  <c r="AU31" i="1"/>
  <c r="AR32" i="1" s="1"/>
  <c r="AE100" i="1"/>
  <c r="AJ100" i="1"/>
  <c r="AF100" i="1"/>
  <c r="AI100" i="1"/>
  <c r="AH100" i="1"/>
  <c r="AD101" i="1"/>
  <c r="AG100" i="1"/>
  <c r="AO32" i="1" l="1"/>
  <c r="BH32" i="1" s="1"/>
  <c r="BA32" i="1" s="1"/>
  <c r="AD102" i="1"/>
  <c r="AJ101" i="1"/>
  <c r="AI101" i="1"/>
  <c r="AH101" i="1"/>
  <c r="AG101" i="1"/>
  <c r="AF101" i="1"/>
  <c r="AE101" i="1"/>
  <c r="BI32" i="1" l="1"/>
  <c r="BG32" i="1"/>
  <c r="AX32" i="1" s="1"/>
  <c r="BB32" i="1"/>
  <c r="AD103" i="1"/>
  <c r="AJ102" i="1"/>
  <c r="AI102" i="1"/>
  <c r="AH102" i="1"/>
  <c r="AG102" i="1"/>
  <c r="AF102" i="1"/>
  <c r="AE102" i="1"/>
  <c r="BD32" i="1" l="1"/>
  <c r="AT32" i="1" s="1"/>
  <c r="BE32" i="1"/>
  <c r="AY32" i="1"/>
  <c r="AE103" i="1"/>
  <c r="AG103" i="1"/>
  <c r="AI103" i="1"/>
  <c r="AF103" i="1"/>
  <c r="AH103" i="1"/>
  <c r="AD104" i="1"/>
  <c r="AJ103" i="1"/>
  <c r="AU32" i="1" l="1"/>
  <c r="AO33" i="1" s="1"/>
  <c r="AQ33" i="1"/>
  <c r="AN33" i="1"/>
  <c r="AD105" i="1"/>
  <c r="AJ104" i="1"/>
  <c r="AI104" i="1"/>
  <c r="AH104" i="1"/>
  <c r="AG104" i="1"/>
  <c r="AF104" i="1"/>
  <c r="AE104" i="1"/>
  <c r="AR33" i="1" l="1"/>
  <c r="BG33" i="1"/>
  <c r="BH33" i="1"/>
  <c r="BI33" i="1"/>
  <c r="BD33" i="1" s="1"/>
  <c r="AJ105" i="1"/>
  <c r="AI105" i="1"/>
  <c r="AH105" i="1"/>
  <c r="AG105" i="1"/>
  <c r="AF105" i="1"/>
  <c r="AE105" i="1"/>
  <c r="BA33" i="1" l="1"/>
  <c r="BB33" i="1"/>
  <c r="AX33" i="1"/>
  <c r="AY33" i="1"/>
  <c r="BE33" i="1"/>
  <c r="AT33" i="1" l="1"/>
  <c r="AQ34" i="1"/>
  <c r="AN34" i="1"/>
  <c r="AU33" i="1"/>
  <c r="AR34" i="1" l="1"/>
  <c r="AO34" i="1"/>
  <c r="BI34" i="1" s="1"/>
  <c r="BD34" i="1" s="1"/>
  <c r="BG34" i="1"/>
  <c r="AX34" i="1" s="1"/>
  <c r="BH34" i="1" l="1"/>
  <c r="BA34" i="1" s="1"/>
  <c r="AT34" i="1" s="1"/>
  <c r="BE34" i="1"/>
  <c r="AY34" i="1"/>
  <c r="BB34" i="1" l="1"/>
  <c r="AU34" i="1"/>
  <c r="AO35" i="1" s="1"/>
  <c r="AQ35" i="1"/>
  <c r="AN35" i="1"/>
  <c r="BH35" i="1" s="1"/>
  <c r="AR35" i="1"/>
  <c r="BG35" i="1"/>
  <c r="AY35" i="1" s="1"/>
  <c r="BI35" i="1"/>
  <c r="BD35" i="1" s="1"/>
  <c r="BB35" i="1" l="1"/>
  <c r="BA35" i="1"/>
  <c r="AX35" i="1"/>
  <c r="BE35" i="1"/>
  <c r="AU35" i="1" s="1"/>
  <c r="AO36" i="1" s="1"/>
  <c r="AT35" i="1" l="1"/>
  <c r="AR36" i="1"/>
  <c r="AQ36" i="1"/>
  <c r="AN36" i="1"/>
  <c r="BH36" i="1" l="1"/>
  <c r="BB36" i="1" s="1"/>
  <c r="BI36" i="1"/>
  <c r="BE36" i="1" s="1"/>
  <c r="BG36" i="1"/>
  <c r="AY36" i="1" s="1"/>
  <c r="BD36" i="1"/>
  <c r="BA36" i="1"/>
  <c r="AX36" i="1" l="1"/>
  <c r="AT36" i="1" s="1"/>
  <c r="AU36" i="1"/>
  <c r="AO37" i="1" l="1"/>
  <c r="AR37" i="1"/>
  <c r="AQ37" i="1"/>
  <c r="AN37" i="1"/>
  <c r="BG37" i="1" l="1"/>
  <c r="AY37" i="1" s="1"/>
  <c r="AX37" i="1"/>
  <c r="BH37" i="1"/>
  <c r="BB37" i="1" s="1"/>
  <c r="BI37" i="1"/>
  <c r="BE37" i="1" s="1"/>
  <c r="BA37" i="1" l="1"/>
  <c r="BD37" i="1"/>
  <c r="AU37" i="1"/>
  <c r="AT37" i="1" l="1"/>
  <c r="AQ38" i="1"/>
  <c r="AN38" i="1"/>
  <c r="AO38" i="1"/>
  <c r="AR38" i="1"/>
  <c r="BG38" i="1" l="1"/>
  <c r="AY38" i="1" s="1"/>
  <c r="BH38" i="1"/>
  <c r="BB38" i="1" s="1"/>
  <c r="BI38" i="1"/>
  <c r="BE38" i="1" s="1"/>
  <c r="AX38" i="1"/>
  <c r="BA38" i="1"/>
  <c r="BD38" i="1" l="1"/>
  <c r="AT38" i="1" s="1"/>
  <c r="AU38" i="1"/>
  <c r="AR39" i="1" l="1"/>
  <c r="AO39" i="1"/>
  <c r="AQ39" i="1"/>
  <c r="AN39" i="1"/>
  <c r="BH39" i="1" l="1"/>
  <c r="BB39" i="1" s="1"/>
  <c r="BI39" i="1"/>
  <c r="BD39" i="1" s="1"/>
  <c r="BG39" i="1"/>
  <c r="AY39" i="1" s="1"/>
  <c r="BA39" i="1"/>
  <c r="BE39" i="1" l="1"/>
  <c r="AU39" i="1" s="1"/>
  <c r="AR40" i="1" s="1"/>
  <c r="AX39" i="1"/>
  <c r="AT39" i="1" s="1"/>
  <c r="AO40" i="1" l="1"/>
  <c r="AQ40" i="1"/>
  <c r="AN40" i="1"/>
  <c r="BH40" i="1" l="1"/>
  <c r="BB40" i="1" s="1"/>
  <c r="BG40" i="1"/>
  <c r="AY40" i="1" s="1"/>
  <c r="BI40" i="1"/>
  <c r="BE40" i="1" s="1"/>
  <c r="AX40" i="1"/>
  <c r="BA40" i="1"/>
  <c r="AU40" i="1" l="1"/>
  <c r="BD40" i="1"/>
  <c r="AT40" i="1" s="1"/>
  <c r="AN41" i="1" l="1"/>
  <c r="AQ41" i="1"/>
  <c r="AR41" i="1"/>
  <c r="AO41" i="1"/>
  <c r="BG41" i="1" l="1"/>
  <c r="AY41" i="1" s="1"/>
  <c r="BH41" i="1"/>
  <c r="BB41" i="1" s="1"/>
  <c r="BI41" i="1"/>
  <c r="BE41" i="1" s="1"/>
  <c r="AX41" i="1"/>
  <c r="BA41" i="1" l="1"/>
  <c r="BD41" i="1"/>
  <c r="AU41" i="1"/>
  <c r="AT41" i="1" l="1"/>
  <c r="AO42" i="1"/>
  <c r="AR42" i="1"/>
  <c r="AQ42" i="1"/>
  <c r="AN42" i="1"/>
  <c r="BG42" i="1" l="1"/>
  <c r="BI42" i="1"/>
  <c r="BD42" i="1" s="1"/>
  <c r="BH42" i="1"/>
  <c r="BA42" i="1" s="1"/>
  <c r="AX42" i="1"/>
  <c r="AY42" i="1"/>
  <c r="BE42" i="1"/>
  <c r="BB42" i="1"/>
  <c r="AU42" i="1" l="1"/>
  <c r="AT42" i="1"/>
  <c r="AQ43" i="1" l="1"/>
  <c r="AN43" i="1"/>
  <c r="AR43" i="1"/>
  <c r="AO43" i="1"/>
  <c r="BH43" i="1" l="1"/>
  <c r="BB43" i="1" s="1"/>
  <c r="BI43" i="1"/>
  <c r="BE43" i="1" s="1"/>
  <c r="BG43" i="1"/>
  <c r="AY43" i="1" s="1"/>
  <c r="BA43" i="1"/>
  <c r="AU43" i="1" l="1"/>
  <c r="AO44" i="1" s="1"/>
  <c r="AX43" i="1"/>
  <c r="BD43" i="1"/>
  <c r="AT43" i="1" s="1"/>
  <c r="AR44" i="1"/>
  <c r="AQ44" i="1" l="1"/>
  <c r="AN44" i="1"/>
  <c r="BH44" i="1" l="1"/>
  <c r="BB44" i="1" s="1"/>
  <c r="BI44" i="1"/>
  <c r="BE44" i="1" s="1"/>
  <c r="BG44" i="1"/>
  <c r="AY44" i="1" s="1"/>
  <c r="BD44" i="1" l="1"/>
  <c r="BA44" i="1"/>
  <c r="AU44" i="1"/>
  <c r="AR45" i="1" s="1"/>
  <c r="AX44" i="1"/>
  <c r="AT44" i="1" l="1"/>
  <c r="AO45" i="1"/>
  <c r="AN45" i="1"/>
  <c r="AQ45" i="1"/>
  <c r="BG45" i="1" l="1"/>
  <c r="AY45" i="1" s="1"/>
  <c r="BH45" i="1"/>
  <c r="BB45" i="1" s="1"/>
  <c r="BI45" i="1"/>
  <c r="BE45" i="1" s="1"/>
  <c r="AX45" i="1" l="1"/>
  <c r="BD45" i="1"/>
  <c r="BA45" i="1"/>
  <c r="AT45" i="1" s="1"/>
  <c r="AU45" i="1"/>
  <c r="AQ46" i="1" l="1"/>
  <c r="AN46" i="1"/>
  <c r="AO46" i="1"/>
  <c r="AR46" i="1"/>
  <c r="BG46" i="1" l="1"/>
  <c r="AX46" i="1" s="1"/>
  <c r="BI46" i="1"/>
  <c r="BD46" i="1" s="1"/>
  <c r="BH46" i="1"/>
  <c r="BA46" i="1" s="1"/>
  <c r="BE46" i="1" l="1"/>
  <c r="AT46" i="1"/>
  <c r="AY46" i="1"/>
  <c r="BB46" i="1"/>
  <c r="AU46" i="1" l="1"/>
  <c r="AR47" i="1"/>
  <c r="AO47" i="1"/>
  <c r="AQ47" i="1"/>
  <c r="AN47" i="1"/>
  <c r="BH47" i="1" l="1"/>
  <c r="BB47" i="1" s="1"/>
  <c r="BI47" i="1"/>
  <c r="BE47" i="1" s="1"/>
  <c r="BG47" i="1"/>
  <c r="AY47" i="1" s="1"/>
  <c r="BA47" i="1"/>
  <c r="AU47" i="1" l="1"/>
  <c r="AR48" i="1" s="1"/>
  <c r="BD47" i="1"/>
  <c r="AX47" i="1"/>
  <c r="AO48" i="1" l="1"/>
  <c r="AT47" i="1"/>
  <c r="AN48" i="1" s="1"/>
  <c r="AQ48" i="1"/>
  <c r="BH48" i="1" l="1"/>
  <c r="BB48" i="1" s="1"/>
  <c r="BI48" i="1"/>
  <c r="BE48" i="1" s="1"/>
  <c r="BG48" i="1"/>
  <c r="AY48" i="1" s="1"/>
  <c r="BD48" i="1"/>
  <c r="AX48" i="1" l="1"/>
  <c r="AU48" i="1"/>
  <c r="BA48" i="1"/>
  <c r="AT48" i="1" s="1"/>
  <c r="AR49" i="1"/>
  <c r="AO49" i="1"/>
  <c r="AQ49" i="1" l="1"/>
  <c r="AN49" i="1"/>
  <c r="BG49" i="1" l="1"/>
  <c r="AY49" i="1" s="1"/>
  <c r="BI49" i="1"/>
  <c r="BE49" i="1" s="1"/>
  <c r="BH49" i="1"/>
  <c r="BB49" i="1" s="1"/>
  <c r="BD49" i="1" l="1"/>
  <c r="AX49" i="1"/>
  <c r="BA49" i="1"/>
  <c r="AU49" i="1"/>
  <c r="AT49" i="1" l="1"/>
  <c r="AN50" i="1" s="1"/>
  <c r="AO50" i="1"/>
  <c r="AR50" i="1"/>
  <c r="AQ50" i="1" l="1"/>
  <c r="BG50" i="1"/>
  <c r="AY50" i="1" s="1"/>
  <c r="AX50" i="1"/>
  <c r="BH50" i="1"/>
  <c r="BA50" i="1" s="1"/>
  <c r="BI50" i="1"/>
  <c r="BD50" i="1" s="1"/>
  <c r="AT50" i="1" l="1"/>
  <c r="BE50" i="1"/>
  <c r="BB50" i="1"/>
  <c r="AU50" i="1" s="1"/>
  <c r="AR51" i="1" l="1"/>
  <c r="AO51" i="1"/>
  <c r="AN51" i="1"/>
  <c r="AQ51" i="1"/>
  <c r="BH51" i="1" l="1"/>
  <c r="BB51" i="1" s="1"/>
  <c r="BG51" i="1"/>
  <c r="AY51" i="1" s="1"/>
  <c r="BI51" i="1"/>
  <c r="BE51" i="1" s="1"/>
  <c r="AX51" i="1"/>
  <c r="BA51" i="1" l="1"/>
  <c r="BD51" i="1"/>
  <c r="AU51" i="1"/>
  <c r="AT51" i="1" l="1"/>
  <c r="AQ52" i="1" s="1"/>
  <c r="AO52" i="1"/>
  <c r="AR52" i="1"/>
  <c r="AN52" i="1" l="1"/>
  <c r="BH52" i="1"/>
  <c r="BB52" i="1" s="1"/>
  <c r="BI52" i="1"/>
  <c r="BE52" i="1" s="1"/>
  <c r="BG52" i="1"/>
  <c r="AY52" i="1" s="1"/>
  <c r="BA52" i="1"/>
  <c r="AX52" i="1" l="1"/>
  <c r="AU52" i="1"/>
  <c r="BD52" i="1"/>
  <c r="AT52" i="1" s="1"/>
  <c r="AN53" i="1" l="1"/>
  <c r="AQ53" i="1"/>
  <c r="AR53" i="1"/>
  <c r="AO53" i="1"/>
  <c r="BG53" i="1" l="1"/>
  <c r="AY53" i="1" s="1"/>
  <c r="BI53" i="1"/>
  <c r="BE53" i="1" s="1"/>
  <c r="BH53" i="1"/>
  <c r="BB53" i="1" s="1"/>
  <c r="AX53" i="1"/>
  <c r="BD53" i="1"/>
  <c r="BA53" i="1" l="1"/>
  <c r="AT53" i="1" s="1"/>
  <c r="AU53" i="1"/>
  <c r="AQ54" i="1" l="1"/>
  <c r="AN54" i="1"/>
  <c r="AO54" i="1"/>
  <c r="AR54" i="1"/>
  <c r="BG54" i="1" l="1"/>
  <c r="AX54" i="1" s="1"/>
  <c r="BI54" i="1"/>
  <c r="BE54" i="1" s="1"/>
  <c r="BH54" i="1"/>
  <c r="BB54" i="1" s="1"/>
  <c r="BD54" i="1"/>
  <c r="AY54" i="1"/>
  <c r="AU54" i="1" l="1"/>
  <c r="AR55" i="1" s="1"/>
  <c r="BA54" i="1"/>
  <c r="AT54" i="1" s="1"/>
  <c r="AO55" i="1"/>
  <c r="AN55" i="1" l="1"/>
  <c r="BG55" i="1" s="1"/>
  <c r="AQ55" i="1"/>
  <c r="BH55" i="1"/>
  <c r="BI55" i="1" l="1"/>
  <c r="BD55" i="1" s="1"/>
  <c r="BE55" i="1"/>
  <c r="BB55" i="1"/>
  <c r="BA55" i="1"/>
  <c r="AY55" i="1"/>
  <c r="AU55" i="1" s="1"/>
  <c r="AX55" i="1"/>
  <c r="AT55" i="1" l="1"/>
  <c r="AR56" i="1"/>
  <c r="AO56" i="1"/>
  <c r="AQ56" i="1"/>
  <c r="AN56" i="1"/>
  <c r="BH56" i="1" l="1"/>
  <c r="BB56" i="1" s="1"/>
  <c r="BG56" i="1"/>
  <c r="AY56" i="1" s="1"/>
  <c r="BI56" i="1"/>
  <c r="BE56" i="1" s="1"/>
  <c r="BA56" i="1" l="1"/>
  <c r="AX56" i="1"/>
  <c r="AU56" i="1"/>
  <c r="BD56" i="1"/>
  <c r="AT56" i="1" s="1"/>
  <c r="AQ57" i="1" l="1"/>
  <c r="AN57" i="1"/>
  <c r="AO57" i="1"/>
  <c r="AR57" i="1"/>
  <c r="BG57" i="1" l="1"/>
  <c r="AY57" i="1" s="1"/>
  <c r="BI57" i="1"/>
  <c r="BE57" i="1" s="1"/>
  <c r="AX57" i="1"/>
  <c r="BH57" i="1"/>
  <c r="BB57" i="1" s="1"/>
  <c r="BD57" i="1" l="1"/>
  <c r="BA57" i="1"/>
  <c r="AT57" i="1" s="1"/>
  <c r="AU57" i="1"/>
  <c r="AR58" i="1" l="1"/>
  <c r="AO58" i="1"/>
  <c r="AQ58" i="1"/>
  <c r="AN58" i="1"/>
  <c r="BG58" i="1" l="1"/>
  <c r="BI58" i="1"/>
  <c r="BD58" i="1" s="1"/>
  <c r="BH58" i="1"/>
  <c r="BA58" i="1" s="1"/>
  <c r="AX58" i="1"/>
  <c r="AY58" i="1"/>
  <c r="BE58" i="1"/>
  <c r="BB58" i="1" l="1"/>
  <c r="AU58" i="1" s="1"/>
  <c r="AT58" i="1"/>
  <c r="AN59" i="1" s="1"/>
  <c r="AQ59" i="1" l="1"/>
  <c r="AO59" i="1"/>
  <c r="AR59" i="1"/>
  <c r="BH59" i="1" l="1"/>
  <c r="BI59" i="1"/>
  <c r="BG59" i="1"/>
  <c r="AY59" i="1" l="1"/>
  <c r="AX59" i="1"/>
  <c r="BE59" i="1"/>
  <c r="BD59" i="1"/>
  <c r="BB59" i="1"/>
  <c r="BA59" i="1"/>
  <c r="AT59" i="1" l="1"/>
  <c r="AU59" i="1"/>
  <c r="AR60" i="1" l="1"/>
  <c r="AO60" i="1"/>
  <c r="AN60" i="1"/>
  <c r="AQ60" i="1"/>
  <c r="BH60" i="1" l="1"/>
  <c r="BB60" i="1" s="1"/>
  <c r="BG60" i="1"/>
  <c r="AY60" i="1" s="1"/>
  <c r="BA60" i="1"/>
  <c r="BI60" i="1"/>
  <c r="BE60" i="1" s="1"/>
  <c r="AX60" i="1"/>
  <c r="AU60" i="1" l="1"/>
  <c r="BD60" i="1"/>
  <c r="AT60" i="1" s="1"/>
  <c r="AQ61" i="1" l="1"/>
  <c r="AN61" i="1"/>
  <c r="AR61" i="1"/>
  <c r="AO61" i="1"/>
  <c r="BG61" i="1" l="1"/>
  <c r="AY61" i="1" s="1"/>
  <c r="BI61" i="1"/>
  <c r="BE61" i="1" s="1"/>
  <c r="AX61" i="1"/>
  <c r="BH61" i="1"/>
  <c r="BB61" i="1" s="1"/>
  <c r="BD61" i="1" l="1"/>
  <c r="BA61" i="1"/>
  <c r="AT61" i="1" s="1"/>
  <c r="AU61" i="1"/>
  <c r="AQ62" i="1" l="1"/>
  <c r="AN62" i="1"/>
  <c r="AO62" i="1"/>
  <c r="AR62" i="1"/>
  <c r="BG62" i="1" l="1"/>
  <c r="AY62" i="1" s="1"/>
  <c r="BH62" i="1"/>
  <c r="BB62" i="1" s="1"/>
  <c r="BI62" i="1"/>
  <c r="BE62" i="1" s="1"/>
  <c r="BD62" i="1" l="1"/>
  <c r="AX62" i="1"/>
  <c r="BA62" i="1"/>
  <c r="AU62" i="1"/>
  <c r="AT62" i="1" l="1"/>
  <c r="AQ63" i="1" s="1"/>
  <c r="AN63" i="1"/>
  <c r="AR63" i="1"/>
  <c r="AO63" i="1"/>
  <c r="BH63" i="1" s="1"/>
  <c r="BA63" i="1" s="1"/>
  <c r="BG63" i="1" l="1"/>
  <c r="AX63" i="1" s="1"/>
  <c r="BI63" i="1"/>
  <c r="BD63" i="1" s="1"/>
  <c r="AT63" i="1" s="1"/>
  <c r="AY63" i="1"/>
  <c r="BB63" i="1"/>
  <c r="BE63" i="1" l="1"/>
  <c r="AQ64" i="1"/>
  <c r="AN64" i="1"/>
  <c r="AU63" i="1"/>
  <c r="AO64" i="1" l="1"/>
  <c r="AR64" i="1"/>
  <c r="BH64" i="1" l="1"/>
  <c r="BG64" i="1"/>
  <c r="BI64" i="1"/>
  <c r="BD64" i="1" l="1"/>
  <c r="BE64" i="1"/>
  <c r="AY64" i="1"/>
  <c r="AX64" i="1"/>
  <c r="BB64" i="1"/>
  <c r="BA64" i="1"/>
  <c r="AT64" i="1" l="1"/>
  <c r="AU64" i="1"/>
  <c r="AR65" i="1" l="1"/>
  <c r="AO65" i="1"/>
  <c r="AQ65" i="1"/>
  <c r="AN65" i="1"/>
  <c r="BG65" i="1" l="1"/>
  <c r="AY65" i="1" s="1"/>
  <c r="BH65" i="1"/>
  <c r="BB65" i="1" s="1"/>
  <c r="BI65" i="1"/>
  <c r="BE65" i="1" s="1"/>
  <c r="AX65" i="1" l="1"/>
  <c r="BD65" i="1"/>
  <c r="BA65" i="1"/>
  <c r="AU65" i="1"/>
  <c r="AT65" i="1" l="1"/>
  <c r="AR66" i="1"/>
  <c r="AO66" i="1"/>
  <c r="AQ66" i="1"/>
  <c r="AN66" i="1"/>
  <c r="BI66" i="1" l="1"/>
  <c r="BD66" i="1" s="1"/>
  <c r="BH66" i="1"/>
  <c r="BA66" i="1" s="1"/>
  <c r="BG66" i="1"/>
  <c r="AX66" i="1" s="1"/>
  <c r="BB66" i="1"/>
  <c r="BE66" i="1"/>
  <c r="AY66" i="1" l="1"/>
  <c r="AU66" i="1" s="1"/>
  <c r="AT66" i="1"/>
  <c r="AQ67" i="1" s="1"/>
  <c r="AO67" i="1" l="1"/>
  <c r="AR67" i="1"/>
  <c r="AN67" i="1"/>
  <c r="BH67" i="1"/>
  <c r="BB67" i="1" s="1"/>
  <c r="BI67" i="1"/>
  <c r="BE67" i="1" s="1"/>
  <c r="BG67" i="1"/>
  <c r="AY67" i="1" s="1"/>
  <c r="AU67" i="1" l="1"/>
  <c r="BD67" i="1"/>
  <c r="BA67" i="1"/>
  <c r="AO68" i="1"/>
  <c r="AR68" i="1"/>
  <c r="AX67" i="1"/>
  <c r="AT67" i="1" s="1"/>
  <c r="AQ68" i="1" l="1"/>
  <c r="AN68" i="1"/>
  <c r="BI68" i="1" l="1"/>
  <c r="BE68" i="1" s="1"/>
  <c r="BH68" i="1"/>
  <c r="BB68" i="1" s="1"/>
  <c r="BG68" i="1"/>
  <c r="AY68" i="1" s="1"/>
  <c r="AU68" i="1" l="1"/>
  <c r="BD68" i="1"/>
  <c r="AO69" i="1"/>
  <c r="AR69" i="1"/>
  <c r="AX68" i="1"/>
  <c r="BA68" i="1"/>
  <c r="AT68" i="1" l="1"/>
  <c r="AN69" i="1" l="1"/>
  <c r="AQ69" i="1"/>
  <c r="BI69" i="1" l="1"/>
  <c r="BH69" i="1"/>
  <c r="BG69" i="1"/>
  <c r="AX69" i="1" l="1"/>
  <c r="AY69" i="1"/>
  <c r="BA69" i="1"/>
  <c r="BB69" i="1"/>
  <c r="BD69" i="1"/>
  <c r="BE69" i="1"/>
  <c r="AU69" i="1" l="1"/>
  <c r="AT69" i="1"/>
  <c r="AQ70" i="1" l="1"/>
  <c r="AN70" i="1"/>
  <c r="AO70" i="1"/>
  <c r="AR70" i="1"/>
  <c r="BI70" i="1" l="1"/>
  <c r="BD70" i="1" s="1"/>
  <c r="BG70" i="1"/>
  <c r="AX70" i="1" s="1"/>
  <c r="BH70" i="1"/>
  <c r="BA70" i="1" s="1"/>
  <c r="AT70" i="1" l="1"/>
  <c r="AY70" i="1"/>
  <c r="BE70" i="1"/>
  <c r="BB70" i="1"/>
  <c r="AU70" i="1" l="1"/>
  <c r="AQ71" i="1"/>
  <c r="AN71" i="1"/>
  <c r="AR71" i="1" l="1"/>
  <c r="AO71" i="1"/>
  <c r="BG71" i="1" s="1"/>
  <c r="AY71" i="1" l="1"/>
  <c r="AX71" i="1"/>
  <c r="BI71" i="1"/>
  <c r="BH71" i="1"/>
  <c r="BB71" i="1" l="1"/>
  <c r="BA71" i="1"/>
  <c r="BE71" i="1"/>
  <c r="AU71" i="1" s="1"/>
  <c r="BD71" i="1"/>
  <c r="AT71" i="1" s="1"/>
  <c r="AQ72" i="1" l="1"/>
  <c r="AN72" i="1"/>
  <c r="AO72" i="1"/>
  <c r="AR72" i="1"/>
  <c r="BI72" i="1" l="1"/>
  <c r="BE72" i="1" s="1"/>
  <c r="BH72" i="1"/>
  <c r="BB72" i="1" s="1"/>
  <c r="BG72" i="1"/>
  <c r="AY72" i="1" s="1"/>
  <c r="BD72" i="1"/>
  <c r="AX72" i="1" l="1"/>
  <c r="BA72" i="1"/>
  <c r="AU72" i="1"/>
  <c r="AR73" i="1" s="1"/>
  <c r="AO73" i="1" l="1"/>
  <c r="AT72" i="1"/>
  <c r="AQ73" i="1" s="1"/>
  <c r="AN73" i="1" l="1"/>
  <c r="BG73" i="1"/>
  <c r="AY73" i="1" s="1"/>
  <c r="BH73" i="1"/>
  <c r="BB73" i="1" s="1"/>
  <c r="BI73" i="1"/>
  <c r="BE73" i="1" s="1"/>
  <c r="AX73" i="1" l="1"/>
  <c r="BA73" i="1"/>
  <c r="AU73" i="1"/>
  <c r="BD73" i="1"/>
  <c r="AR74" i="1" l="1"/>
  <c r="AO74" i="1"/>
  <c r="AT73" i="1"/>
  <c r="AQ74" i="1" l="1"/>
  <c r="AN74" i="1"/>
  <c r="BH74" i="1" l="1"/>
  <c r="BB74" i="1" s="1"/>
  <c r="BG74" i="1"/>
  <c r="AY74" i="1" s="1"/>
  <c r="BI74" i="1"/>
  <c r="BE74" i="1" s="1"/>
  <c r="BA74" i="1"/>
  <c r="AU74" i="1" l="1"/>
  <c r="BD74" i="1"/>
  <c r="AX74" i="1"/>
  <c r="AT74" i="1" l="1"/>
  <c r="AQ75" i="1"/>
  <c r="AN75" i="1"/>
  <c r="AO75" i="1"/>
  <c r="AR75" i="1"/>
  <c r="BH75" i="1" l="1"/>
  <c r="BA75" i="1" s="1"/>
  <c r="BG75" i="1"/>
  <c r="AY75" i="1" s="1"/>
  <c r="BI75" i="1"/>
  <c r="BE75" i="1" s="1"/>
  <c r="BD75" i="1" l="1"/>
  <c r="AX75" i="1"/>
  <c r="AT75" i="1" s="1"/>
  <c r="BB75" i="1"/>
  <c r="AU75" i="1" s="1"/>
  <c r="AR76" i="1" l="1"/>
  <c r="AO76" i="1"/>
  <c r="AQ76" i="1"/>
  <c r="AN76" i="1"/>
  <c r="BH76" i="1" l="1"/>
  <c r="BA76" i="1" s="1"/>
  <c r="BG76" i="1"/>
  <c r="AX76" i="1" s="1"/>
  <c r="BI76" i="1"/>
  <c r="BD76" i="1" s="1"/>
  <c r="BB76" i="1"/>
  <c r="BE76" i="1" l="1"/>
  <c r="AY76" i="1"/>
  <c r="AU76" i="1" s="1"/>
  <c r="AT76" i="1"/>
  <c r="AQ77" i="1" s="1"/>
  <c r="AN77" i="1" l="1"/>
  <c r="AO77" i="1"/>
  <c r="AR77" i="1"/>
  <c r="BG77" i="1"/>
  <c r="AY77" i="1" s="1"/>
  <c r="BH77" i="1"/>
  <c r="BB77" i="1" s="1"/>
  <c r="BI77" i="1"/>
  <c r="BE77" i="1" s="1"/>
  <c r="AX77" i="1"/>
  <c r="AU77" i="1" l="1"/>
  <c r="AO78" i="1" s="1"/>
  <c r="BD77" i="1"/>
  <c r="BA77" i="1"/>
  <c r="AT77" i="1" l="1"/>
  <c r="AR78" i="1"/>
  <c r="AN78" i="1"/>
  <c r="AQ78" i="1"/>
  <c r="BG78" i="1" l="1"/>
  <c r="AY78" i="1" s="1"/>
  <c r="BI78" i="1"/>
  <c r="BE78" i="1" s="1"/>
  <c r="BH78" i="1"/>
  <c r="BB78" i="1" s="1"/>
  <c r="AX78" i="1"/>
  <c r="BD78" i="1" l="1"/>
  <c r="BA78" i="1"/>
  <c r="AT78" i="1" s="1"/>
  <c r="AU78" i="1"/>
  <c r="AQ79" i="1" l="1"/>
  <c r="AN79" i="1"/>
  <c r="AR79" i="1"/>
  <c r="AO79" i="1"/>
  <c r="BG79" i="1" l="1"/>
  <c r="AX79" i="1" s="1"/>
  <c r="BI79" i="1"/>
  <c r="BE79" i="1" s="1"/>
  <c r="BH79" i="1"/>
  <c r="BB79" i="1" s="1"/>
  <c r="BA79" i="1" l="1"/>
  <c r="BD79" i="1"/>
  <c r="AY79" i="1"/>
  <c r="AU79" i="1" s="1"/>
  <c r="AR80" i="1" l="1"/>
  <c r="AO80" i="1"/>
  <c r="AT79" i="1"/>
  <c r="AN80" i="1" l="1"/>
  <c r="AQ80" i="1"/>
  <c r="BI80" i="1" l="1"/>
  <c r="BG80" i="1"/>
  <c r="BH80" i="1"/>
  <c r="AX80" i="1" l="1"/>
  <c r="AY80" i="1"/>
  <c r="BA80" i="1"/>
  <c r="BB80" i="1"/>
  <c r="BD80" i="1"/>
  <c r="BE80" i="1"/>
  <c r="AU80" i="1" l="1"/>
  <c r="AT80" i="1"/>
  <c r="AQ81" i="1" l="1"/>
  <c r="AN81" i="1"/>
  <c r="AO81" i="1"/>
  <c r="AR81" i="1"/>
  <c r="BI81" i="1" l="1"/>
  <c r="BD81" i="1" s="1"/>
  <c r="BH81" i="1"/>
  <c r="BA81" i="1" s="1"/>
  <c r="BG81" i="1"/>
  <c r="AX81" i="1" s="1"/>
  <c r="AT81" i="1" l="1"/>
  <c r="AN82" i="1" s="1"/>
  <c r="AY81" i="1"/>
  <c r="BE81" i="1"/>
  <c r="BB81" i="1"/>
  <c r="AQ82" i="1" l="1"/>
  <c r="AU81" i="1"/>
  <c r="AR82" i="1" l="1"/>
  <c r="AO82" i="1"/>
  <c r="BG82" i="1" l="1"/>
  <c r="BI82" i="1"/>
  <c r="BH82" i="1"/>
  <c r="BE82" i="1" l="1"/>
  <c r="BD82" i="1"/>
  <c r="BB82" i="1"/>
  <c r="BA82" i="1"/>
  <c r="AY82" i="1"/>
  <c r="AU82" i="1" s="1"/>
  <c r="AX82" i="1"/>
  <c r="AO83" i="1" l="1"/>
  <c r="AR83" i="1"/>
  <c r="AT82" i="1"/>
  <c r="AN83" i="1" l="1"/>
  <c r="BG83" i="1" s="1"/>
  <c r="AY83" i="1" s="1"/>
  <c r="AQ83" i="1"/>
  <c r="AX83" i="1" l="1"/>
  <c r="BI83" i="1"/>
  <c r="BE83" i="1" s="1"/>
  <c r="BH83" i="1"/>
  <c r="BB83" i="1" s="1"/>
  <c r="AU83" i="1" l="1"/>
  <c r="BD83" i="1"/>
  <c r="BA83" i="1"/>
  <c r="AT83" i="1" s="1"/>
  <c r="AR84" i="1"/>
  <c r="AO84" i="1"/>
  <c r="AQ84" i="1" l="1"/>
  <c r="AN84" i="1"/>
  <c r="BH84" i="1" l="1"/>
  <c r="BB84" i="1" s="1"/>
  <c r="BI84" i="1"/>
  <c r="BE84" i="1" s="1"/>
  <c r="BG84" i="1"/>
  <c r="AY84" i="1" s="1"/>
  <c r="BA84" i="1"/>
  <c r="BD84" i="1"/>
  <c r="AX84" i="1" l="1"/>
  <c r="AT84" i="1" s="1"/>
  <c r="AU84" i="1"/>
  <c r="AO85" i="1" l="1"/>
  <c r="AR85" i="1"/>
  <c r="AN85" i="1"/>
  <c r="AQ85" i="1"/>
  <c r="BG85" i="1" l="1"/>
  <c r="AY85" i="1" s="1"/>
  <c r="BH85" i="1"/>
  <c r="BB85" i="1" s="1"/>
  <c r="BI85" i="1"/>
  <c r="BE85" i="1" s="1"/>
  <c r="BD85" i="1" l="1"/>
  <c r="AU85" i="1"/>
  <c r="BA85" i="1"/>
  <c r="AX85" i="1"/>
  <c r="AT85" i="1" l="1"/>
  <c r="AQ86" i="1"/>
  <c r="AN86" i="1"/>
  <c r="AR86" i="1"/>
  <c r="AO86" i="1"/>
  <c r="BG86" i="1" l="1"/>
  <c r="AY86" i="1" s="1"/>
  <c r="BH86" i="1"/>
  <c r="BB86" i="1" s="1"/>
  <c r="BI86" i="1"/>
  <c r="BE86" i="1" s="1"/>
  <c r="AX86" i="1"/>
  <c r="BA86" i="1"/>
  <c r="BD86" i="1" l="1"/>
  <c r="AT86" i="1" s="1"/>
  <c r="AU86" i="1"/>
  <c r="AO87" i="1" l="1"/>
  <c r="AR87" i="1"/>
  <c r="AQ87" i="1"/>
  <c r="AN87" i="1"/>
  <c r="BH87" i="1" l="1"/>
  <c r="BB87" i="1" s="1"/>
  <c r="BG87" i="1"/>
  <c r="AY87" i="1" s="1"/>
  <c r="BI87" i="1"/>
  <c r="BE87" i="1" s="1"/>
  <c r="BA87" i="1" l="1"/>
  <c r="AX87" i="1"/>
  <c r="AU87" i="1"/>
  <c r="BD87" i="1"/>
  <c r="AT87" i="1" l="1"/>
  <c r="AQ88" i="1" s="1"/>
  <c r="AN88" i="1"/>
  <c r="AR88" i="1"/>
  <c r="AO88" i="1"/>
  <c r="BH88" i="1" l="1"/>
  <c r="BB88" i="1" s="1"/>
  <c r="BG88" i="1"/>
  <c r="AY88" i="1" s="1"/>
  <c r="BA88" i="1"/>
  <c r="BI88" i="1"/>
  <c r="BE88" i="1" s="1"/>
  <c r="BD88" i="1" l="1"/>
  <c r="AU88" i="1"/>
  <c r="AO89" i="1" s="1"/>
  <c r="AX88" i="1"/>
  <c r="AR89" i="1"/>
  <c r="AT88" i="1" l="1"/>
  <c r="AN89" i="1"/>
  <c r="AQ89" i="1"/>
  <c r="BI89" i="1" l="1"/>
  <c r="BE89" i="1" s="1"/>
  <c r="BG89" i="1"/>
  <c r="AY89" i="1" s="1"/>
  <c r="BD89" i="1"/>
  <c r="BH89" i="1"/>
  <c r="BB89" i="1" s="1"/>
  <c r="AX89" i="1" l="1"/>
  <c r="BA89" i="1"/>
  <c r="AT89" i="1" s="1"/>
  <c r="AU89" i="1"/>
  <c r="AQ90" i="1" l="1"/>
  <c r="AN90" i="1"/>
  <c r="AR90" i="1"/>
  <c r="AO90" i="1"/>
  <c r="BH90" i="1" l="1"/>
  <c r="BB90" i="1" s="1"/>
  <c r="BG90" i="1"/>
  <c r="AY90" i="1" s="1"/>
  <c r="BA90" i="1"/>
  <c r="BI90" i="1"/>
  <c r="BE90" i="1" s="1"/>
  <c r="BD90" i="1" l="1"/>
  <c r="AX90" i="1"/>
  <c r="AU90" i="1"/>
  <c r="AT90" i="1" l="1"/>
  <c r="AO91" i="1"/>
  <c r="AR91" i="1"/>
  <c r="AQ91" i="1"/>
  <c r="AN91" i="1"/>
  <c r="BG91" i="1" l="1"/>
  <c r="AY91" i="1" s="1"/>
  <c r="BH91" i="1"/>
  <c r="BB91" i="1" s="1"/>
  <c r="BI91" i="1"/>
  <c r="BE91" i="1" s="1"/>
  <c r="AX91" i="1" l="1"/>
  <c r="BA91" i="1"/>
  <c r="BD91" i="1"/>
  <c r="AU91" i="1"/>
  <c r="AT91" i="1" l="1"/>
  <c r="AQ92" i="1"/>
  <c r="AN92" i="1"/>
  <c r="AR92" i="1"/>
  <c r="AO92" i="1"/>
  <c r="BG92" i="1" l="1"/>
  <c r="AY92" i="1" s="1"/>
  <c r="BI92" i="1"/>
  <c r="BE92" i="1" s="1"/>
  <c r="BH92" i="1"/>
  <c r="BB92" i="1" s="1"/>
  <c r="AX92" i="1" l="1"/>
  <c r="BA92" i="1"/>
  <c r="BD92" i="1"/>
  <c r="AU92" i="1"/>
  <c r="AT92" i="1" l="1"/>
  <c r="AQ93" i="1"/>
  <c r="AN93" i="1"/>
  <c r="AO93" i="1"/>
  <c r="AR93" i="1"/>
  <c r="BI93" i="1" l="1"/>
  <c r="BE93" i="1" s="1"/>
  <c r="BG93" i="1"/>
  <c r="AY93" i="1" s="1"/>
  <c r="BH93" i="1"/>
  <c r="BA93" i="1" s="1"/>
  <c r="AX93" i="1" l="1"/>
  <c r="BD93" i="1"/>
  <c r="AT93" i="1" s="1"/>
  <c r="BB93" i="1"/>
  <c r="AU93" i="1" s="1"/>
  <c r="AN94" i="1" l="1"/>
  <c r="AQ94" i="1"/>
  <c r="AR94" i="1"/>
  <c r="AO94" i="1"/>
  <c r="BI94" i="1" l="1"/>
  <c r="BD94" i="1" s="1"/>
  <c r="BG94" i="1"/>
  <c r="AX94" i="1" s="1"/>
  <c r="BH94" i="1"/>
  <c r="BA94" i="1" s="1"/>
  <c r="AT94" i="1" l="1"/>
  <c r="BB94" i="1"/>
  <c r="BE94" i="1"/>
  <c r="AY94" i="1"/>
  <c r="AU94" i="1" l="1"/>
  <c r="AR95" i="1" s="1"/>
  <c r="AO95" i="1"/>
  <c r="AQ95" i="1"/>
  <c r="AN95" i="1"/>
  <c r="BG95" i="1" l="1"/>
  <c r="AX95" i="1" s="1"/>
  <c r="BH95" i="1"/>
  <c r="BB95" i="1" s="1"/>
  <c r="BI95" i="1"/>
  <c r="BE95" i="1" s="1"/>
  <c r="BA95" i="1"/>
  <c r="BD95" i="1" l="1"/>
  <c r="AT95" i="1" s="1"/>
  <c r="AY95" i="1"/>
  <c r="AU95" i="1" s="1"/>
  <c r="AO96" i="1" l="1"/>
  <c r="AR96" i="1"/>
  <c r="AQ96" i="1"/>
  <c r="AN96" i="1"/>
  <c r="BH96" i="1" l="1"/>
  <c r="BB96" i="1" s="1"/>
  <c r="BG96" i="1"/>
  <c r="AY96" i="1" s="1"/>
  <c r="BI96" i="1"/>
  <c r="BE96" i="1" s="1"/>
  <c r="BA96" i="1" l="1"/>
  <c r="AX96" i="1"/>
  <c r="BD96" i="1"/>
  <c r="AU96" i="1"/>
  <c r="AT96" i="1" l="1"/>
  <c r="AQ97" i="1" s="1"/>
  <c r="AR97" i="1"/>
  <c r="AO97" i="1"/>
  <c r="AN97" i="1" l="1"/>
  <c r="BG97" i="1"/>
  <c r="AY97" i="1" s="1"/>
  <c r="BH97" i="1"/>
  <c r="BB97" i="1" s="1"/>
  <c r="AX97" i="1"/>
  <c r="BI97" i="1"/>
  <c r="BE97" i="1" s="1"/>
  <c r="BA97" i="1" l="1"/>
  <c r="BD97" i="1"/>
  <c r="AT97" i="1" s="1"/>
  <c r="AU97" i="1"/>
  <c r="AO98" i="1" l="1"/>
  <c r="AR98" i="1"/>
  <c r="AQ98" i="1"/>
  <c r="AN98" i="1"/>
  <c r="BH98" i="1" l="1"/>
  <c r="BA98" i="1" s="1"/>
  <c r="BG98" i="1"/>
  <c r="AX98" i="1" s="1"/>
  <c r="BI98" i="1"/>
  <c r="BD98" i="1" s="1"/>
  <c r="AY98" i="1"/>
  <c r="BE98" i="1" l="1"/>
  <c r="BB98" i="1"/>
  <c r="AU98" i="1" s="1"/>
  <c r="AT98" i="1"/>
  <c r="AQ99" i="1" s="1"/>
  <c r="AN99" i="1" l="1"/>
  <c r="AO99" i="1"/>
  <c r="AR99" i="1"/>
  <c r="BG99" i="1" l="1"/>
  <c r="AX99" i="1" s="1"/>
  <c r="BH99" i="1"/>
  <c r="BA99" i="1" s="1"/>
  <c r="BI99" i="1"/>
  <c r="BD99" i="1" s="1"/>
  <c r="AT99" i="1" l="1"/>
  <c r="BE99" i="1"/>
  <c r="AY99" i="1"/>
  <c r="BB99" i="1"/>
  <c r="AU99" i="1" l="1"/>
  <c r="AQ100" i="1"/>
  <c r="AN100" i="1"/>
  <c r="AO100" i="1" l="1"/>
  <c r="AR100" i="1"/>
  <c r="BG100" i="1" l="1"/>
  <c r="AX100" i="1" s="1"/>
  <c r="BI100" i="1"/>
  <c r="BD100" i="1" s="1"/>
  <c r="BH100" i="1"/>
  <c r="BA100" i="1" s="1"/>
  <c r="AT100" i="1" l="1"/>
  <c r="BE100" i="1"/>
  <c r="AY100" i="1"/>
  <c r="BB100" i="1"/>
  <c r="AU100" i="1" l="1"/>
  <c r="AQ101" i="1"/>
  <c r="AN101" i="1"/>
  <c r="AR101" i="1" l="1"/>
  <c r="AO101" i="1"/>
  <c r="BI101" i="1" l="1"/>
  <c r="BD101" i="1" s="1"/>
  <c r="BG101" i="1"/>
  <c r="AX101" i="1" s="1"/>
  <c r="BH101" i="1"/>
  <c r="BA101" i="1" s="1"/>
  <c r="AT101" i="1" l="1"/>
  <c r="BB101" i="1"/>
  <c r="AY101" i="1"/>
  <c r="BE101" i="1"/>
  <c r="AU101" i="1" l="1"/>
  <c r="AQ102" i="1"/>
  <c r="AN102" i="1"/>
  <c r="AR102" i="1" l="1"/>
  <c r="AO102" i="1"/>
  <c r="BI102" i="1" l="1"/>
  <c r="BD102" i="1" s="1"/>
  <c r="BG102" i="1"/>
  <c r="BH102" i="1"/>
  <c r="BA102" i="1" s="1"/>
  <c r="AY102" i="1" l="1"/>
  <c r="AX102" i="1"/>
  <c r="AT102" i="1" s="1"/>
  <c r="BB102" i="1"/>
  <c r="BE102" i="1"/>
  <c r="AQ103" i="1" l="1"/>
  <c r="AN103" i="1"/>
  <c r="AU102" i="1"/>
  <c r="AR103" i="1" l="1"/>
  <c r="AO103" i="1"/>
  <c r="BH103" i="1" s="1"/>
  <c r="BB103" i="1" s="1"/>
  <c r="BG103" i="1" l="1"/>
  <c r="AY103" i="1" s="1"/>
  <c r="BI103" i="1"/>
  <c r="BE103" i="1" s="1"/>
  <c r="BA103" i="1"/>
  <c r="BD103" i="1" l="1"/>
  <c r="AX103" i="1"/>
  <c r="AT103" i="1" s="1"/>
  <c r="AU103" i="1"/>
  <c r="AR104" i="1" s="1"/>
  <c r="AO104" i="1"/>
  <c r="AN104" i="1" l="1"/>
  <c r="AQ104" i="1"/>
  <c r="BG104" i="1" l="1"/>
  <c r="AY104" i="1" s="1"/>
  <c r="BI104" i="1"/>
  <c r="BE104" i="1" s="1"/>
  <c r="BH104" i="1"/>
  <c r="BB104" i="1" s="1"/>
  <c r="AX104" i="1"/>
  <c r="BD104" i="1"/>
  <c r="BA104" i="1" l="1"/>
  <c r="AT104" i="1" s="1"/>
  <c r="AU104" i="1"/>
  <c r="AR105" i="1" l="1"/>
  <c r="AO105" i="1"/>
  <c r="AQ105" i="1"/>
  <c r="AN105" i="1"/>
  <c r="BH105" i="1" l="1"/>
  <c r="BB105" i="1" s="1"/>
  <c r="BG105" i="1"/>
  <c r="AY105" i="1" s="1"/>
  <c r="BI105" i="1"/>
  <c r="BE105" i="1" s="1"/>
  <c r="BD105" i="1" l="1"/>
  <c r="AX105" i="1"/>
  <c r="BA105" i="1"/>
  <c r="AU105" i="1"/>
  <c r="AT105" i="1" l="1"/>
  <c r="AQ106" i="1" s="1"/>
  <c r="AO106" i="1"/>
  <c r="AR106" i="1"/>
  <c r="AN106" i="1" l="1"/>
  <c r="BG106" i="1"/>
  <c r="AY106" i="1" s="1"/>
  <c r="BH106" i="1"/>
  <c r="BB106" i="1" s="1"/>
  <c r="BI106" i="1"/>
  <c r="BE106" i="1" s="1"/>
  <c r="BD106" i="1" l="1"/>
  <c r="BA106" i="1"/>
  <c r="AU106" i="1"/>
  <c r="AX106" i="1"/>
  <c r="AT106" i="1" l="1"/>
  <c r="AQ107" i="1" s="1"/>
  <c r="AR107" i="1"/>
  <c r="AO107" i="1"/>
  <c r="AN107" i="1" l="1"/>
  <c r="BH107" i="1"/>
  <c r="BB107" i="1" s="1"/>
  <c r="BG107" i="1"/>
  <c r="AY107" i="1" s="1"/>
  <c r="BI107" i="1"/>
  <c r="BE107" i="1" s="1"/>
  <c r="BA107" i="1"/>
  <c r="AX107" i="1" l="1"/>
  <c r="AU107" i="1"/>
  <c r="BD107" i="1"/>
  <c r="AT107" i="1" s="1"/>
  <c r="AN108" i="1" l="1"/>
  <c r="AQ108" i="1"/>
  <c r="AR108" i="1"/>
  <c r="AO108" i="1"/>
  <c r="BG108" i="1" l="1"/>
  <c r="AY108" i="1" s="1"/>
  <c r="BI108" i="1"/>
  <c r="BE108" i="1" s="1"/>
  <c r="BH108" i="1"/>
  <c r="BB108" i="1" s="1"/>
  <c r="AX108" i="1" l="1"/>
  <c r="BA108" i="1"/>
  <c r="BD108" i="1"/>
  <c r="AU108" i="1"/>
  <c r="AT108" i="1" l="1"/>
  <c r="AQ109" i="1" s="1"/>
  <c r="AO109" i="1"/>
  <c r="AR109" i="1"/>
  <c r="AN109" i="1" l="1"/>
  <c r="BH109" i="1"/>
  <c r="BA109" i="1" s="1"/>
  <c r="BG109" i="1"/>
  <c r="AX109" i="1" s="1"/>
  <c r="BI109" i="1"/>
  <c r="BD109" i="1" s="1"/>
  <c r="AT109" i="1" l="1"/>
  <c r="AN110" i="1" s="1"/>
  <c r="BE109" i="1"/>
  <c r="BB109" i="1"/>
  <c r="AY109" i="1"/>
  <c r="AQ110" i="1" l="1"/>
  <c r="AU109" i="1"/>
  <c r="AR110" i="1" l="1"/>
  <c r="AO110" i="1"/>
  <c r="BI110" i="1" l="1"/>
  <c r="BD110" i="1" s="1"/>
  <c r="BG110" i="1"/>
  <c r="AX110" i="1" s="1"/>
  <c r="BH110" i="1"/>
  <c r="BA110" i="1" s="1"/>
  <c r="BE110" i="1" l="1"/>
  <c r="AY110" i="1"/>
  <c r="AT110" i="1"/>
  <c r="BB110" i="1"/>
  <c r="AQ111" i="1" l="1"/>
  <c r="AN111" i="1"/>
  <c r="AU110" i="1"/>
  <c r="AO111" i="1" l="1"/>
  <c r="AR111" i="1"/>
  <c r="BH111" i="1"/>
  <c r="BB111" i="1" s="1"/>
  <c r="BG111" i="1"/>
  <c r="AY111" i="1" s="1"/>
  <c r="BI111" i="1"/>
  <c r="BE111" i="1" s="1"/>
  <c r="AX111" i="1"/>
  <c r="BA111" i="1" l="1"/>
  <c r="BD111" i="1"/>
  <c r="AT111" i="1" s="1"/>
  <c r="AN112" i="1" s="1"/>
  <c r="AU111" i="1"/>
  <c r="AR112" i="1" s="1"/>
  <c r="AO112" i="1" l="1"/>
  <c r="BI112" i="1" s="1"/>
  <c r="AQ112" i="1"/>
  <c r="BG112" i="1" l="1"/>
  <c r="BH112" i="1"/>
  <c r="AY112" i="1"/>
  <c r="AX112" i="1"/>
  <c r="BB112" i="1"/>
  <c r="BA112" i="1"/>
  <c r="BE112" i="1"/>
  <c r="BD112" i="1"/>
  <c r="AT112" i="1" l="1"/>
  <c r="AU112" i="1"/>
  <c r="AR113" i="1" l="1"/>
  <c r="AO113" i="1"/>
  <c r="AN113" i="1"/>
  <c r="AQ113" i="1"/>
  <c r="BH113" i="1" l="1"/>
  <c r="BI113" i="1"/>
  <c r="BE113" i="1" s="1"/>
  <c r="BG113" i="1"/>
  <c r="AY113" i="1" s="1"/>
  <c r="BA113" i="1"/>
  <c r="BB113" i="1"/>
  <c r="BD113" i="1" l="1"/>
  <c r="AU113" i="1"/>
  <c r="AR114" i="1" s="1"/>
  <c r="AO114" i="1"/>
  <c r="AX113" i="1"/>
  <c r="AT113" i="1" s="1"/>
  <c r="AQ114" i="1" l="1"/>
  <c r="AN114" i="1"/>
  <c r="BI114" i="1" l="1"/>
  <c r="BG114" i="1"/>
  <c r="AY114" i="1" s="1"/>
  <c r="BH114" i="1"/>
  <c r="AX114" i="1" l="1"/>
  <c r="BA114" i="1"/>
  <c r="BB114" i="1"/>
  <c r="BD114" i="1"/>
  <c r="BE114" i="1"/>
  <c r="AT114" i="1" l="1"/>
  <c r="AN115" i="1"/>
  <c r="AQ115" i="1"/>
  <c r="AU114" i="1"/>
  <c r="AR115" i="1" l="1"/>
  <c r="AO115" i="1"/>
  <c r="BI115" i="1" s="1"/>
  <c r="BE115" i="1" s="1"/>
  <c r="BG115" i="1" l="1"/>
  <c r="AY115" i="1" s="1"/>
  <c r="BH115" i="1"/>
  <c r="BB115" i="1" s="1"/>
  <c r="BD115" i="1"/>
  <c r="BA115" i="1" l="1"/>
  <c r="AX115" i="1"/>
  <c r="AU115" i="1"/>
  <c r="AR116" i="1" s="1"/>
  <c r="AO116" i="1"/>
  <c r="AT115" i="1"/>
  <c r="AQ116" i="1"/>
  <c r="AN116" i="1"/>
  <c r="BH116" i="1" l="1"/>
  <c r="BB116" i="1" s="1"/>
  <c r="BI116" i="1"/>
  <c r="BE116" i="1" s="1"/>
  <c r="BA116" i="1"/>
  <c r="BG116" i="1"/>
  <c r="AY116" i="1" s="1"/>
  <c r="AU116" i="1" l="1"/>
  <c r="AR117" i="1"/>
  <c r="AO117" i="1"/>
  <c r="AX116" i="1"/>
  <c r="BD116" i="1"/>
  <c r="AT116" i="1" l="1"/>
  <c r="AN117" i="1" l="1"/>
  <c r="AQ117" i="1"/>
  <c r="BH117" i="1" l="1"/>
  <c r="BB117" i="1" s="1"/>
  <c r="BI117" i="1"/>
  <c r="BE117" i="1" s="1"/>
  <c r="BG117" i="1"/>
  <c r="AY117" i="1" s="1"/>
  <c r="BA117" i="1"/>
  <c r="AX117" i="1" l="1"/>
  <c r="BD117" i="1"/>
  <c r="AU117" i="1"/>
  <c r="AT117" i="1" l="1"/>
  <c r="AQ118" i="1" s="1"/>
  <c r="AO118" i="1"/>
  <c r="AR118" i="1"/>
  <c r="AN118" i="1" l="1"/>
  <c r="BH118" i="1" s="1"/>
  <c r="BB118" i="1" s="1"/>
  <c r="BG118" i="1" l="1"/>
  <c r="AY118" i="1" s="1"/>
  <c r="BI118" i="1"/>
  <c r="BE118" i="1" s="1"/>
  <c r="AU118" i="1" s="1"/>
  <c r="AX118" i="1"/>
  <c r="BA118" i="1"/>
  <c r="BD118" i="1"/>
  <c r="AT118" i="1" l="1"/>
  <c r="AN119" i="1"/>
  <c r="AQ119" i="1"/>
  <c r="AR119" i="1"/>
  <c r="AO119" i="1"/>
  <c r="BG119" i="1" l="1"/>
  <c r="AY119" i="1" s="1"/>
  <c r="BI119" i="1"/>
  <c r="BE119" i="1" s="1"/>
  <c r="BH119" i="1"/>
  <c r="BB119" i="1" s="1"/>
  <c r="AX119" i="1" l="1"/>
  <c r="BA119" i="1"/>
  <c r="BD119" i="1"/>
  <c r="AT119" i="1" s="1"/>
  <c r="AU119" i="1"/>
  <c r="AO120" i="1" l="1"/>
  <c r="AR120" i="1"/>
  <c r="AQ120" i="1"/>
  <c r="AN120" i="1"/>
  <c r="BI120" i="1" l="1"/>
  <c r="BE120" i="1" s="1"/>
  <c r="BG120" i="1"/>
  <c r="AY120" i="1" s="1"/>
  <c r="BH120" i="1"/>
  <c r="BB120" i="1" s="1"/>
  <c r="BD120" i="1" l="1"/>
  <c r="BA120" i="1"/>
  <c r="AX120" i="1"/>
  <c r="AT120" i="1" s="1"/>
  <c r="AU120" i="1"/>
  <c r="AQ121" i="1" l="1"/>
  <c r="AN121" i="1"/>
  <c r="AR121" i="1"/>
  <c r="AO121" i="1"/>
  <c r="BH121" i="1" s="1"/>
  <c r="BI121" i="1" l="1"/>
  <c r="BE121" i="1" s="1"/>
  <c r="BG121" i="1"/>
  <c r="AY121" i="1" s="1"/>
  <c r="BB121" i="1"/>
  <c r="BA121" i="1"/>
  <c r="AX121" i="1"/>
  <c r="AU121" i="1" l="1"/>
  <c r="AO122" i="1"/>
  <c r="AR122" i="1"/>
  <c r="BD121" i="1"/>
  <c r="AT121" i="1" s="1"/>
  <c r="AN122" i="1" l="1"/>
  <c r="AQ122" i="1"/>
  <c r="BH122" i="1"/>
  <c r="BB122" i="1" s="1"/>
  <c r="BI122" i="1"/>
  <c r="BE122" i="1" s="1"/>
  <c r="BG122" i="1"/>
  <c r="AY122" i="1" s="1"/>
  <c r="BA122" i="1"/>
  <c r="AX122" i="1" l="1"/>
  <c r="BD122" i="1"/>
  <c r="AU122" i="1"/>
  <c r="AO123" i="1" s="1"/>
  <c r="AT122" i="1"/>
  <c r="AR123" i="1"/>
  <c r="AQ123" i="1" l="1"/>
  <c r="AN123" i="1"/>
  <c r="BH123" i="1" l="1"/>
  <c r="BB123" i="1" s="1"/>
  <c r="BI123" i="1"/>
  <c r="BE123" i="1" s="1"/>
  <c r="BA123" i="1"/>
  <c r="BG123" i="1"/>
  <c r="AY123" i="1" s="1"/>
  <c r="AU123" i="1" s="1"/>
  <c r="BD123" i="1"/>
  <c r="AR124" i="1" l="1"/>
  <c r="AO124" i="1"/>
  <c r="AX123" i="1"/>
  <c r="AT123" i="1" s="1"/>
  <c r="AQ124" i="1" l="1"/>
  <c r="AN124" i="1"/>
  <c r="BH124" i="1" l="1"/>
  <c r="BB124" i="1" s="1"/>
  <c r="BG124" i="1"/>
  <c r="AY124" i="1" s="1"/>
  <c r="BI124" i="1"/>
  <c r="BE124" i="1" s="1"/>
  <c r="BA124" i="1"/>
  <c r="BD124" i="1" l="1"/>
  <c r="AU124" i="1"/>
  <c r="AO125" i="1" s="1"/>
  <c r="AR125" i="1"/>
  <c r="AX124" i="1"/>
  <c r="AT124" i="1" s="1"/>
  <c r="AN125" i="1" l="1"/>
  <c r="AQ125" i="1"/>
  <c r="BI125" i="1" l="1"/>
  <c r="BE125" i="1" s="1"/>
  <c r="BH125" i="1"/>
  <c r="BB125" i="1" s="1"/>
  <c r="BG125" i="1"/>
  <c r="AY125" i="1" s="1"/>
  <c r="BA125" i="1"/>
  <c r="BD125" i="1" l="1"/>
  <c r="AX125" i="1"/>
  <c r="AU125" i="1"/>
  <c r="AT125" i="1" l="1"/>
  <c r="AQ126" i="1"/>
  <c r="AN126" i="1"/>
  <c r="AR126" i="1"/>
  <c r="AO126" i="1"/>
  <c r="BH126" i="1" s="1"/>
  <c r="BI126" i="1" l="1"/>
  <c r="BE126" i="1" s="1"/>
  <c r="BG126" i="1"/>
  <c r="AY126" i="1" s="1"/>
  <c r="BB126" i="1"/>
  <c r="BA126" i="1"/>
  <c r="BD126" i="1"/>
  <c r="AX126" i="1"/>
  <c r="AU126" i="1" l="1"/>
  <c r="AO127" i="1"/>
  <c r="AR127" i="1"/>
  <c r="AT126" i="1"/>
  <c r="AQ127" i="1" s="1"/>
  <c r="AN127" i="1" l="1"/>
  <c r="BH127" i="1" s="1"/>
  <c r="BG127" i="1" l="1"/>
  <c r="BI127" i="1"/>
  <c r="AX127" i="1"/>
  <c r="AY127" i="1"/>
  <c r="BD127" i="1"/>
  <c r="BE127" i="1"/>
  <c r="BA127" i="1"/>
  <c r="BB127" i="1"/>
  <c r="AU127" i="1" l="1"/>
  <c r="AT127" i="1"/>
  <c r="AN128" i="1" l="1"/>
  <c r="AQ128" i="1"/>
  <c r="AR128" i="1"/>
  <c r="AO128" i="1"/>
  <c r="BG128" i="1" l="1"/>
  <c r="AY128" i="1" s="1"/>
  <c r="BH128" i="1"/>
  <c r="BB128" i="1" s="1"/>
  <c r="BI128" i="1"/>
  <c r="BE128" i="1" s="1"/>
  <c r="BA128" i="1"/>
  <c r="BD128" i="1"/>
  <c r="AU128" i="1" l="1"/>
  <c r="AX128" i="1"/>
  <c r="AT128" i="1" s="1"/>
  <c r="AN129" i="1" l="1"/>
  <c r="AQ129" i="1"/>
  <c r="AO129" i="1"/>
  <c r="AR129" i="1"/>
  <c r="BH129" i="1" l="1"/>
  <c r="BB129" i="1" s="1"/>
  <c r="BI129" i="1"/>
  <c r="BE129" i="1" s="1"/>
  <c r="BG129" i="1"/>
  <c r="AY129" i="1" s="1"/>
  <c r="AU129" i="1" l="1"/>
  <c r="AR130" i="1" s="1"/>
  <c r="BA129" i="1"/>
  <c r="AX129" i="1"/>
  <c r="BD129" i="1"/>
  <c r="AO130" i="1"/>
  <c r="AT129" i="1" l="1"/>
  <c r="AQ130" i="1" s="1"/>
  <c r="AN130" i="1" l="1"/>
  <c r="BH130" i="1" s="1"/>
  <c r="BB130" i="1" s="1"/>
  <c r="BI130" i="1" l="1"/>
  <c r="BE130" i="1" s="1"/>
  <c r="BG130" i="1"/>
  <c r="AY130" i="1" s="1"/>
  <c r="AU130" i="1" s="1"/>
  <c r="BA130" i="1"/>
  <c r="BD130" i="1"/>
  <c r="AX130" i="1" l="1"/>
  <c r="AT130" i="1" s="1"/>
  <c r="AR131" i="1"/>
  <c r="AO131" i="1"/>
  <c r="AQ131" i="1" l="1"/>
  <c r="AN131" i="1"/>
  <c r="BH131" i="1"/>
  <c r="BB131" i="1" s="1"/>
  <c r="BG131" i="1"/>
  <c r="AY131" i="1" s="1"/>
  <c r="BA131" i="1"/>
  <c r="BI131" i="1"/>
  <c r="BE131" i="1" s="1"/>
  <c r="AX131" i="1" l="1"/>
  <c r="AU131" i="1"/>
  <c r="BD131" i="1"/>
  <c r="AO132" i="1" l="1"/>
  <c r="AR132" i="1"/>
  <c r="AT131" i="1"/>
  <c r="AQ132" i="1" l="1"/>
  <c r="AN132" i="1"/>
  <c r="BH132" i="1" l="1"/>
  <c r="BI132" i="1"/>
  <c r="BE132" i="1" s="1"/>
  <c r="BG132" i="1"/>
  <c r="AY132" i="1" s="1"/>
  <c r="BD132" i="1" l="1"/>
  <c r="AX132" i="1"/>
  <c r="BA132" i="1"/>
  <c r="AT132" i="1" s="1"/>
  <c r="BB132" i="1"/>
  <c r="AU132" i="1" s="1"/>
  <c r="AN133" i="1" l="1"/>
  <c r="AQ133" i="1"/>
  <c r="AO133" i="1"/>
  <c r="AR133" i="1"/>
  <c r="BH133" i="1" l="1"/>
  <c r="BB133" i="1" s="1"/>
  <c r="BI133" i="1"/>
  <c r="BE133" i="1" s="1"/>
  <c r="BG133" i="1"/>
  <c r="AY133" i="1" s="1"/>
  <c r="BD133" i="1"/>
  <c r="AX133" i="1" l="1"/>
  <c r="AU133" i="1"/>
  <c r="AR134" i="1" s="1"/>
  <c r="BA133" i="1"/>
  <c r="AO134" i="1"/>
  <c r="AT133" i="1" l="1"/>
  <c r="AQ134" i="1"/>
  <c r="AN134" i="1"/>
  <c r="BH134" i="1" l="1"/>
  <c r="BG134" i="1"/>
  <c r="BI134" i="1"/>
  <c r="AX134" i="1" l="1"/>
  <c r="AY134" i="1"/>
  <c r="BD134" i="1"/>
  <c r="BE134" i="1"/>
  <c r="BA134" i="1"/>
  <c r="BB134" i="1"/>
  <c r="AU134" i="1" l="1"/>
  <c r="AT134" i="1"/>
  <c r="AQ135" i="1" l="1"/>
  <c r="AN135" i="1"/>
  <c r="AR135" i="1"/>
  <c r="AO135" i="1"/>
  <c r="BH135" i="1" l="1"/>
  <c r="BA135" i="1" s="1"/>
  <c r="BG135" i="1"/>
  <c r="AX135" i="1" s="1"/>
  <c r="BI135" i="1"/>
  <c r="BD135" i="1" s="1"/>
  <c r="BB135" i="1"/>
  <c r="AY135" i="1"/>
  <c r="BE135" i="1" l="1"/>
  <c r="AU135" i="1" s="1"/>
  <c r="AO136" i="1" s="1"/>
  <c r="AT135" i="1"/>
  <c r="AR136" i="1" l="1"/>
  <c r="AN136" i="1"/>
  <c r="AQ136" i="1"/>
  <c r="BG136" i="1" l="1"/>
  <c r="BI136" i="1"/>
  <c r="BH136" i="1"/>
  <c r="BD136" i="1" l="1"/>
  <c r="BE136" i="1"/>
  <c r="BA136" i="1"/>
  <c r="BB136" i="1"/>
  <c r="AX136" i="1"/>
  <c r="AY136" i="1"/>
  <c r="AU136" i="1" s="1"/>
  <c r="AT136" i="1" l="1"/>
  <c r="AQ137" i="1" s="1"/>
  <c r="AO137" i="1"/>
  <c r="AR137" i="1"/>
  <c r="AN137" i="1" l="1"/>
  <c r="BI137" i="1"/>
  <c r="BD137" i="1" s="1"/>
  <c r="BH137" i="1"/>
  <c r="BA137" i="1" s="1"/>
  <c r="BG137" i="1"/>
  <c r="AX137" i="1" s="1"/>
  <c r="AT137" i="1" l="1"/>
  <c r="AN138" i="1" s="1"/>
  <c r="AY137" i="1"/>
  <c r="BB137" i="1"/>
  <c r="BE137" i="1"/>
  <c r="AQ138" i="1" l="1"/>
  <c r="AU137" i="1"/>
  <c r="AR138" i="1" l="1"/>
  <c r="AO138" i="1"/>
  <c r="BG138" i="1" l="1"/>
  <c r="BH138" i="1"/>
  <c r="BI138" i="1"/>
  <c r="BE138" i="1" l="1"/>
  <c r="BD138" i="1"/>
  <c r="BB138" i="1"/>
  <c r="BA138" i="1"/>
  <c r="AY138" i="1"/>
  <c r="AX138" i="1"/>
  <c r="AU138" i="1" l="1"/>
  <c r="AT138" i="1"/>
  <c r="AO139" i="1"/>
  <c r="AR139" i="1"/>
  <c r="AQ139" i="1"/>
  <c r="AN139" i="1"/>
  <c r="BG139" i="1" l="1"/>
  <c r="AY139" i="1" s="1"/>
  <c r="BI139" i="1"/>
  <c r="BE139" i="1" s="1"/>
  <c r="BH139" i="1"/>
  <c r="BB139" i="1" s="1"/>
  <c r="AX139" i="1" l="1"/>
  <c r="BA139" i="1"/>
  <c r="BD139" i="1"/>
  <c r="AU139" i="1"/>
  <c r="AT139" i="1" l="1"/>
  <c r="AQ140" i="1"/>
  <c r="AN140" i="1"/>
  <c r="AR140" i="1"/>
  <c r="AO140" i="1"/>
  <c r="BI140" i="1" l="1"/>
  <c r="BE140" i="1" s="1"/>
  <c r="BH140" i="1"/>
  <c r="BB140" i="1" s="1"/>
  <c r="BG140" i="1"/>
  <c r="AY140" i="1" s="1"/>
  <c r="BD140" i="1"/>
  <c r="BA140" i="1" l="1"/>
  <c r="AU140" i="1"/>
  <c r="AO141" i="1" s="1"/>
  <c r="AX140" i="1"/>
  <c r="AT140" i="1" s="1"/>
  <c r="AR141" i="1"/>
  <c r="AQ141" i="1" l="1"/>
  <c r="AN141" i="1"/>
  <c r="BG141" i="1" l="1"/>
  <c r="BI141" i="1"/>
  <c r="BH141" i="1"/>
  <c r="BA141" i="1" l="1"/>
  <c r="BB141" i="1"/>
  <c r="BD141" i="1"/>
  <c r="BE141" i="1"/>
  <c r="AX141" i="1"/>
  <c r="AY141" i="1"/>
  <c r="AU141" i="1" l="1"/>
  <c r="AR142" i="1" s="1"/>
  <c r="AT141" i="1"/>
  <c r="AO142" i="1" l="1"/>
  <c r="AN142" i="1"/>
  <c r="AQ142" i="1"/>
  <c r="BG142" i="1" l="1"/>
  <c r="BI142" i="1"/>
  <c r="BH142" i="1"/>
  <c r="BA142" i="1" l="1"/>
  <c r="BB142" i="1"/>
  <c r="BD142" i="1"/>
  <c r="BE142" i="1"/>
  <c r="AX142" i="1"/>
  <c r="AY142" i="1"/>
  <c r="AT142" i="1" l="1"/>
  <c r="AU142" i="1"/>
  <c r="AR143" i="1" s="1"/>
  <c r="AO143" i="1"/>
  <c r="AQ143" i="1"/>
  <c r="AN143" i="1"/>
  <c r="BG143" i="1" l="1"/>
  <c r="AX143" i="1" s="1"/>
  <c r="BI143" i="1"/>
  <c r="BD143" i="1" s="1"/>
  <c r="BH143" i="1"/>
  <c r="BA143" i="1" s="1"/>
  <c r="BE143" i="1"/>
  <c r="AY143" i="1"/>
  <c r="BB143" i="1" l="1"/>
  <c r="AU143" i="1" s="1"/>
  <c r="AT143" i="1"/>
  <c r="AQ144" i="1" l="1"/>
  <c r="AN144" i="1"/>
  <c r="AO144" i="1"/>
  <c r="AR144" i="1"/>
  <c r="BG144" i="1" l="1"/>
  <c r="AX144" i="1" s="1"/>
  <c r="BH144" i="1"/>
  <c r="BA144" i="1" s="1"/>
  <c r="BI144" i="1"/>
  <c r="BD144" i="1" s="1"/>
  <c r="AT144" i="1" l="1"/>
  <c r="AY144" i="1"/>
  <c r="BE144" i="1"/>
  <c r="BB144" i="1"/>
  <c r="AU144" i="1" l="1"/>
  <c r="AQ145" i="1"/>
  <c r="AN145" i="1"/>
  <c r="AR145" i="1" l="1"/>
  <c r="AO145" i="1"/>
  <c r="BI145" i="1" l="1"/>
  <c r="BG145" i="1"/>
  <c r="AX145" i="1" s="1"/>
  <c r="BH145" i="1"/>
  <c r="BB145" i="1" l="1"/>
  <c r="BA145" i="1"/>
  <c r="BE145" i="1"/>
  <c r="BD145" i="1"/>
  <c r="AY145" i="1"/>
  <c r="AU145" i="1" l="1"/>
  <c r="AT145" i="1"/>
  <c r="AN146" i="1" s="1"/>
  <c r="AO146" i="1"/>
  <c r="AR146" i="1"/>
  <c r="AQ146" i="1" l="1"/>
  <c r="BH146" i="1"/>
  <c r="BB146" i="1" s="1"/>
  <c r="BI146" i="1"/>
  <c r="BE146" i="1" s="1"/>
  <c r="BG146" i="1"/>
  <c r="AY146" i="1" s="1"/>
  <c r="BA146" i="1"/>
  <c r="BD146" i="1" l="1"/>
  <c r="AU146" i="1"/>
  <c r="AR147" i="1" s="1"/>
  <c r="AX146" i="1"/>
  <c r="AT146" i="1" s="1"/>
  <c r="AO147" i="1"/>
  <c r="AQ147" i="1" l="1"/>
  <c r="AN147" i="1"/>
  <c r="BG147" i="1" l="1"/>
  <c r="AY147" i="1" s="1"/>
  <c r="BI147" i="1"/>
  <c r="BE147" i="1" s="1"/>
  <c r="BH147" i="1"/>
  <c r="AX147" i="1"/>
  <c r="BD147" i="1" l="1"/>
  <c r="BA147" i="1"/>
  <c r="AT147" i="1" s="1"/>
  <c r="BB147" i="1"/>
  <c r="AU147" i="1" s="1"/>
  <c r="AN148" i="1" l="1"/>
  <c r="AQ148" i="1"/>
  <c r="AR148" i="1"/>
  <c r="AO148" i="1"/>
  <c r="BI148" i="1" l="1"/>
  <c r="BE148" i="1" s="1"/>
  <c r="BH148" i="1"/>
  <c r="BB148" i="1" s="1"/>
  <c r="BG148" i="1"/>
  <c r="AY148" i="1" s="1"/>
  <c r="BD148" i="1" l="1"/>
  <c r="AU148" i="1"/>
  <c r="AR149" i="1" s="1"/>
  <c r="BA148" i="1"/>
  <c r="AX148" i="1"/>
  <c r="AO149" i="1"/>
  <c r="AT148" i="1" l="1"/>
  <c r="AN149" i="1"/>
  <c r="AQ149" i="1"/>
  <c r="BG149" i="1" l="1"/>
  <c r="AY149" i="1" s="1"/>
  <c r="BI149" i="1"/>
  <c r="BE149" i="1" s="1"/>
  <c r="BH149" i="1"/>
  <c r="BB149" i="1" s="1"/>
  <c r="AX149" i="1"/>
  <c r="BA149" i="1" l="1"/>
  <c r="BD149" i="1"/>
  <c r="AU149" i="1"/>
  <c r="AT149" i="1" l="1"/>
  <c r="AQ150" i="1"/>
  <c r="AN150" i="1"/>
  <c r="AR150" i="1"/>
  <c r="AO150" i="1"/>
  <c r="BI150" i="1" s="1"/>
  <c r="BG150" i="1" l="1"/>
  <c r="AY150" i="1" s="1"/>
  <c r="BE150" i="1"/>
  <c r="BD150" i="1"/>
  <c r="BH150" i="1"/>
  <c r="AX150" i="1"/>
  <c r="BB150" i="1" l="1"/>
  <c r="AU150" i="1" s="1"/>
  <c r="BA150" i="1"/>
  <c r="AT150" i="1" s="1"/>
  <c r="AQ151" i="1" s="1"/>
  <c r="AN151" i="1" l="1"/>
  <c r="AO151" i="1"/>
  <c r="AR151" i="1"/>
  <c r="BH151" i="1"/>
  <c r="BB151" i="1" s="1"/>
  <c r="BG151" i="1"/>
  <c r="BA151" i="1"/>
  <c r="BI151" i="1"/>
  <c r="BE151" i="1" s="1"/>
  <c r="BD151" i="1" l="1"/>
  <c r="AX151" i="1"/>
  <c r="AY151" i="1"/>
  <c r="AU151" i="1" s="1"/>
  <c r="AT151" i="1" l="1"/>
  <c r="AN152" i="1" s="1"/>
  <c r="AR152" i="1"/>
  <c r="AO152" i="1"/>
  <c r="AQ152" i="1" l="1"/>
  <c r="BG152" i="1"/>
  <c r="AY152" i="1" s="1"/>
  <c r="BI152" i="1"/>
  <c r="BE152" i="1" s="1"/>
  <c r="BH152" i="1"/>
  <c r="BB152" i="1" s="1"/>
  <c r="AX152" i="1"/>
  <c r="BD152" i="1"/>
  <c r="BA152" i="1" l="1"/>
  <c r="AT152" i="1" s="1"/>
  <c r="AU152" i="1"/>
  <c r="AO153" i="1" s="1"/>
  <c r="AN153" i="1" l="1"/>
  <c r="BG153" i="1" s="1"/>
  <c r="AX153" i="1" s="1"/>
  <c r="AQ153" i="1"/>
  <c r="AR153" i="1"/>
  <c r="BI153" i="1" l="1"/>
  <c r="BD153" i="1" s="1"/>
  <c r="BH153" i="1"/>
  <c r="BA153" i="1" s="1"/>
  <c r="AT153" i="1" s="1"/>
  <c r="BE153" i="1"/>
  <c r="AY153" i="1"/>
  <c r="BB153" i="1" l="1"/>
  <c r="AU153" i="1"/>
  <c r="AO154" i="1"/>
  <c r="AR154" i="1"/>
  <c r="AQ154" i="1"/>
  <c r="AN154" i="1"/>
  <c r="BG154" i="1" l="1"/>
  <c r="AY154" i="1" s="1"/>
  <c r="BI154" i="1"/>
  <c r="BH154" i="1"/>
  <c r="AX154" i="1"/>
  <c r="BD154" i="1"/>
  <c r="BA154" i="1"/>
  <c r="BE154" i="1"/>
  <c r="BB154" i="1"/>
  <c r="AT154" i="1" l="1"/>
  <c r="AU154" i="1"/>
  <c r="AR155" i="1" l="1"/>
  <c r="AO155" i="1"/>
  <c r="AQ155" i="1"/>
  <c r="AN155" i="1"/>
  <c r="BG155" i="1" l="1"/>
  <c r="AX155" i="1" s="1"/>
  <c r="BH155" i="1"/>
  <c r="BA155" i="1" s="1"/>
  <c r="BI155" i="1"/>
  <c r="BD155" i="1" s="1"/>
  <c r="BE155" i="1"/>
  <c r="BB155" i="1" l="1"/>
  <c r="AY155" i="1"/>
  <c r="AU155" i="1" s="1"/>
  <c r="AT155" i="1"/>
  <c r="AQ156" i="1" l="1"/>
  <c r="AN156" i="1"/>
  <c r="AR156" i="1"/>
  <c r="AO156" i="1"/>
  <c r="BH156" i="1" l="1"/>
  <c r="BB156" i="1" s="1"/>
  <c r="BG156" i="1"/>
  <c r="AY156" i="1" s="1"/>
  <c r="BI156" i="1"/>
  <c r="BE156" i="1" s="1"/>
  <c r="BA156" i="1" l="1"/>
  <c r="AU156" i="1"/>
  <c r="BD156" i="1"/>
  <c r="AX156" i="1"/>
  <c r="AT156" i="1" l="1"/>
  <c r="AN157" i="1"/>
  <c r="AQ157" i="1"/>
  <c r="AO157" i="1"/>
  <c r="AR157" i="1"/>
  <c r="BH157" i="1" l="1"/>
  <c r="BB157" i="1" s="1"/>
  <c r="BI157" i="1"/>
  <c r="BD157" i="1" s="1"/>
  <c r="BG157" i="1"/>
  <c r="AX157" i="1" s="1"/>
  <c r="BA157" i="1" l="1"/>
  <c r="AT157" i="1" s="1"/>
  <c r="BE157" i="1"/>
  <c r="AY157" i="1"/>
  <c r="AQ158" i="1" l="1"/>
  <c r="AN158" i="1"/>
  <c r="AU157" i="1"/>
  <c r="AR158" i="1" s="1"/>
  <c r="AO158" i="1" l="1"/>
  <c r="BG158" i="1" l="1"/>
  <c r="BH158" i="1"/>
  <c r="BI158" i="1"/>
  <c r="BD158" i="1" l="1"/>
  <c r="BE158" i="1"/>
  <c r="BA158" i="1"/>
  <c r="BB158" i="1"/>
  <c r="AX158" i="1"/>
  <c r="AT158" i="1" s="1"/>
  <c r="AY158" i="1"/>
  <c r="AU158" i="1" s="1"/>
  <c r="AO159" i="1" s="1"/>
  <c r="AR159" i="1" l="1"/>
  <c r="AQ159" i="1"/>
  <c r="AN159" i="1"/>
  <c r="BI159" i="1"/>
  <c r="BD159" i="1" s="1"/>
  <c r="BG159" i="1"/>
  <c r="AX159" i="1" s="1"/>
  <c r="BH159" i="1"/>
  <c r="BA159" i="1" s="1"/>
  <c r="AT159" i="1" l="1"/>
  <c r="AQ160" i="1"/>
  <c r="AN160" i="1"/>
  <c r="BB159" i="1"/>
  <c r="BE159" i="1"/>
  <c r="AY159" i="1"/>
  <c r="AU159" i="1" l="1"/>
  <c r="AR160" i="1" l="1"/>
  <c r="AO160" i="1"/>
  <c r="BH160" i="1" l="1"/>
  <c r="BA160" i="1" s="1"/>
  <c r="BG160" i="1"/>
  <c r="AX160" i="1" s="1"/>
  <c r="BI160" i="1"/>
  <c r="BD160" i="1" s="1"/>
  <c r="AT160" i="1" l="1"/>
  <c r="AN161" i="1"/>
  <c r="AQ161" i="1"/>
  <c r="BB160" i="1"/>
  <c r="AY160" i="1"/>
  <c r="BE160" i="1"/>
  <c r="AU160" i="1" l="1"/>
  <c r="AO161" i="1"/>
  <c r="BH161" i="1" s="1"/>
  <c r="BA161" i="1" s="1"/>
  <c r="AR161" i="1"/>
  <c r="BG161" i="1"/>
  <c r="AX161" i="1" s="1"/>
  <c r="BI161" i="1" l="1"/>
  <c r="BD161" i="1" s="1"/>
  <c r="AT161" i="1" s="1"/>
  <c r="AY161" i="1"/>
  <c r="BE161" i="1"/>
  <c r="BB161" i="1"/>
  <c r="AQ162" i="1" l="1"/>
  <c r="AN162" i="1"/>
  <c r="AU161" i="1"/>
  <c r="AR162" i="1" l="1"/>
  <c r="AO162" i="1"/>
  <c r="BH162" i="1" l="1"/>
  <c r="BA162" i="1" s="1"/>
  <c r="BI162" i="1"/>
  <c r="BD162" i="1" s="1"/>
  <c r="BG162" i="1"/>
  <c r="AX162" i="1" s="1"/>
  <c r="BB162" i="1" l="1"/>
  <c r="AT162" i="1"/>
  <c r="AQ163" i="1" s="1"/>
  <c r="AN163" i="1"/>
  <c r="AY162" i="1"/>
  <c r="BE162" i="1"/>
  <c r="AU162" i="1" l="1"/>
  <c r="AO163" i="1" l="1"/>
  <c r="AR163" i="1"/>
  <c r="BH163" i="1" l="1"/>
  <c r="BA163" i="1" s="1"/>
  <c r="BG163" i="1"/>
  <c r="AX163" i="1" s="1"/>
  <c r="BI163" i="1"/>
  <c r="BD163" i="1" s="1"/>
  <c r="AT163" i="1" l="1"/>
  <c r="BE163" i="1"/>
  <c r="BB163" i="1"/>
  <c r="AY163" i="1"/>
  <c r="AU163" i="1" l="1"/>
  <c r="AR164" i="1"/>
  <c r="AO164" i="1"/>
  <c r="AN164" i="1"/>
  <c r="AQ164" i="1"/>
  <c r="BH164" i="1" l="1"/>
  <c r="BB164" i="1" s="1"/>
  <c r="BG164" i="1"/>
  <c r="AY164" i="1" s="1"/>
  <c r="BI164" i="1"/>
  <c r="BE164" i="1" s="1"/>
  <c r="BA164" i="1" l="1"/>
  <c r="BD164" i="1"/>
  <c r="AU164" i="1"/>
  <c r="AX164" i="1"/>
  <c r="AT164" i="1" l="1"/>
  <c r="AQ165" i="1" s="1"/>
  <c r="AR165" i="1"/>
  <c r="AO165" i="1"/>
  <c r="AN165" i="1" l="1"/>
  <c r="BH165" i="1"/>
  <c r="BB165" i="1" s="1"/>
  <c r="BG165" i="1"/>
  <c r="AY165" i="1" s="1"/>
  <c r="BA165" i="1"/>
  <c r="BI165" i="1"/>
  <c r="BE165" i="1" s="1"/>
  <c r="AX165" i="1" l="1"/>
  <c r="BD165" i="1"/>
  <c r="AT165" i="1" s="1"/>
  <c r="AU165" i="1"/>
  <c r="AR166" i="1" s="1"/>
  <c r="AO166" i="1"/>
  <c r="AQ166" i="1" l="1"/>
  <c r="AN166" i="1"/>
  <c r="BH166" i="1" s="1"/>
  <c r="BG166" i="1"/>
  <c r="BI166" i="1"/>
  <c r="AY166" i="1" l="1"/>
  <c r="AX166" i="1"/>
  <c r="BE166" i="1"/>
  <c r="BD166" i="1"/>
  <c r="BB166" i="1"/>
  <c r="BA166" i="1"/>
  <c r="AT166" i="1" l="1"/>
  <c r="AU166" i="1"/>
  <c r="AR167" i="1" l="1"/>
  <c r="AO167" i="1"/>
  <c r="AQ167" i="1"/>
  <c r="AN167" i="1"/>
  <c r="BI167" i="1" l="1"/>
  <c r="BE167" i="1" s="1"/>
  <c r="BG167" i="1"/>
  <c r="AY167" i="1" s="1"/>
  <c r="BH167" i="1"/>
  <c r="BB167" i="1" s="1"/>
  <c r="BD167" i="1"/>
  <c r="AX167" i="1"/>
  <c r="BA167" i="1" l="1"/>
  <c r="AT167" i="1" s="1"/>
  <c r="AU167" i="1"/>
  <c r="AQ168" i="1" l="1"/>
  <c r="AN168" i="1"/>
  <c r="AO168" i="1"/>
  <c r="AR168" i="1"/>
  <c r="BH168" i="1" l="1"/>
  <c r="BB168" i="1" s="1"/>
  <c r="BI168" i="1"/>
  <c r="BE168" i="1" s="1"/>
  <c r="BG168" i="1"/>
  <c r="AY168" i="1" s="1"/>
  <c r="BA168" i="1" l="1"/>
  <c r="BD168" i="1"/>
  <c r="AU168" i="1"/>
  <c r="AO169" i="1" s="1"/>
  <c r="AX168" i="1"/>
  <c r="AT168" i="1" s="1"/>
  <c r="AR169" i="1" l="1"/>
  <c r="AN169" i="1"/>
  <c r="AQ169" i="1"/>
  <c r="BG169" i="1" l="1"/>
  <c r="AY169" i="1" s="1"/>
  <c r="BH169" i="1"/>
  <c r="BB169" i="1" s="1"/>
  <c r="BI169" i="1"/>
  <c r="BE169" i="1" s="1"/>
  <c r="BA169" i="1"/>
  <c r="AX169" i="1" l="1"/>
  <c r="BD169" i="1"/>
  <c r="AU169" i="1"/>
  <c r="AT169" i="1" l="1"/>
  <c r="AR170" i="1"/>
  <c r="AO170" i="1"/>
  <c r="AQ170" i="1"/>
  <c r="AN170" i="1"/>
  <c r="BG170" i="1" l="1"/>
  <c r="AY170" i="1" s="1"/>
  <c r="BH170" i="1"/>
  <c r="BB170" i="1" s="1"/>
  <c r="BI170" i="1"/>
  <c r="BE170" i="1" s="1"/>
  <c r="AX170" i="1"/>
  <c r="BD170" i="1" l="1"/>
  <c r="BA170" i="1"/>
  <c r="AU170" i="1"/>
  <c r="AT170" i="1" l="1"/>
  <c r="AO171" i="1"/>
  <c r="AR171" i="1"/>
  <c r="AN171" i="1"/>
  <c r="AQ171" i="1"/>
  <c r="BH171" i="1" l="1"/>
  <c r="BA171" i="1" s="1"/>
  <c r="BI171" i="1"/>
  <c r="BD171" i="1" s="1"/>
  <c r="BG171" i="1"/>
  <c r="AX171" i="1" s="1"/>
  <c r="BE171" i="1"/>
  <c r="AY171" i="1" l="1"/>
  <c r="BB171" i="1"/>
  <c r="AU171" i="1" s="1"/>
  <c r="AT171" i="1"/>
  <c r="AQ172" i="1" s="1"/>
  <c r="AN172" i="1" l="1"/>
  <c r="AO172" i="1"/>
  <c r="AR172" i="1"/>
  <c r="BH172" i="1"/>
  <c r="BB172" i="1" s="1"/>
  <c r="BI172" i="1"/>
  <c r="BE172" i="1" s="1"/>
  <c r="BA172" i="1" l="1"/>
  <c r="BG172" i="1"/>
  <c r="AY172" i="1" s="1"/>
  <c r="AU172" i="1" s="1"/>
  <c r="AR173" i="1" s="1"/>
  <c r="BD172" i="1"/>
  <c r="AX172" i="1" l="1"/>
  <c r="AT172" i="1"/>
  <c r="AO173" i="1"/>
  <c r="AQ173" i="1"/>
  <c r="AN173" i="1"/>
  <c r="BI173" i="1" l="1"/>
  <c r="BE173" i="1" s="1"/>
  <c r="BH173" i="1"/>
  <c r="BB173" i="1" s="1"/>
  <c r="BG173" i="1"/>
  <c r="AY173" i="1" s="1"/>
  <c r="BA173" i="1"/>
  <c r="BD173" i="1"/>
  <c r="AX173" i="1" l="1"/>
  <c r="AT173" i="1"/>
  <c r="AN174" i="1" s="1"/>
  <c r="AU173" i="1"/>
  <c r="AR174" i="1" s="1"/>
  <c r="AO174" i="1" l="1"/>
  <c r="AQ174" i="1"/>
  <c r="BH174" i="1"/>
  <c r="BG174" i="1"/>
  <c r="BI174" i="1"/>
  <c r="AY174" i="1" l="1"/>
  <c r="AX174" i="1"/>
  <c r="BE174" i="1"/>
  <c r="BD174" i="1"/>
  <c r="BB174" i="1"/>
  <c r="BA174" i="1"/>
  <c r="AT174" i="1" l="1"/>
  <c r="AQ175" i="1"/>
  <c r="AN175" i="1"/>
  <c r="AU174" i="1"/>
  <c r="AR175" i="1" l="1"/>
  <c r="AO175" i="1"/>
  <c r="BH175" i="1"/>
  <c r="BB175" i="1" s="1"/>
  <c r="BA175" i="1"/>
  <c r="BI175" i="1"/>
  <c r="BE175" i="1" s="1"/>
  <c r="BG175" i="1"/>
  <c r="AY175" i="1" s="1"/>
  <c r="AU175" i="1" l="1"/>
  <c r="AO176" i="1" s="1"/>
  <c r="AX175" i="1"/>
  <c r="BD175" i="1"/>
  <c r="AT175" i="1" s="1"/>
  <c r="AR176" i="1" l="1"/>
  <c r="AN176" i="1"/>
  <c r="AQ176" i="1"/>
  <c r="BG176" i="1" l="1"/>
  <c r="AY176" i="1" s="1"/>
  <c r="BI176" i="1"/>
  <c r="BE176" i="1" s="1"/>
  <c r="BH176" i="1"/>
  <c r="BB176" i="1" s="1"/>
  <c r="AX176" i="1" l="1"/>
  <c r="BA176" i="1"/>
  <c r="BD176" i="1"/>
  <c r="AU176" i="1"/>
  <c r="AT176" i="1" l="1"/>
  <c r="AN177" i="1" s="1"/>
  <c r="AR177" i="1"/>
  <c r="AO177" i="1"/>
  <c r="AQ177" i="1" l="1"/>
  <c r="BG177" i="1"/>
  <c r="AX177" i="1" s="1"/>
  <c r="BH177" i="1"/>
  <c r="BB177" i="1" s="1"/>
  <c r="BI177" i="1"/>
  <c r="BE177" i="1" s="1"/>
  <c r="BD177" i="1" l="1"/>
  <c r="BA177" i="1"/>
  <c r="AY177" i="1"/>
  <c r="AU177" i="1" s="1"/>
  <c r="AO178" i="1" l="1"/>
  <c r="AR178" i="1"/>
  <c r="AT177" i="1"/>
  <c r="AN178" i="1" l="1"/>
  <c r="AQ178" i="1"/>
  <c r="BG178" i="1" l="1"/>
  <c r="AY178" i="1" s="1"/>
  <c r="BI178" i="1"/>
  <c r="BE178" i="1" s="1"/>
  <c r="BH178" i="1"/>
  <c r="BB178" i="1" s="1"/>
  <c r="BD178" i="1"/>
  <c r="AX178" i="1"/>
  <c r="BA178" i="1" l="1"/>
  <c r="AT178" i="1" s="1"/>
  <c r="AU178" i="1"/>
  <c r="AR179" i="1" l="1"/>
  <c r="AO179" i="1"/>
  <c r="AQ179" i="1"/>
  <c r="AN179" i="1"/>
  <c r="BI179" i="1" l="1"/>
  <c r="BE179" i="1" s="1"/>
  <c r="BH179" i="1"/>
  <c r="BB179" i="1" s="1"/>
  <c r="BG179" i="1"/>
  <c r="AY179" i="1" s="1"/>
  <c r="BD179" i="1" l="1"/>
  <c r="AU179" i="1"/>
  <c r="AR180" i="1" s="1"/>
  <c r="BA179" i="1"/>
  <c r="AO180" i="1"/>
  <c r="AX179" i="1"/>
  <c r="AT179" i="1" s="1"/>
  <c r="AQ180" i="1" l="1"/>
  <c r="AN180" i="1"/>
  <c r="BG180" i="1" l="1"/>
  <c r="AY180" i="1" s="1"/>
  <c r="BH180" i="1"/>
  <c r="BB180" i="1" s="1"/>
  <c r="AX180" i="1"/>
  <c r="BI180" i="1"/>
  <c r="BE180" i="1" s="1"/>
  <c r="BA180" i="1"/>
  <c r="BD180" i="1" l="1"/>
  <c r="AT180" i="1"/>
  <c r="AU180" i="1"/>
  <c r="AR181" i="1" l="1"/>
  <c r="AO181" i="1"/>
  <c r="AQ181" i="1"/>
  <c r="AN181" i="1"/>
  <c r="BI181" i="1" l="1"/>
  <c r="BE181" i="1" s="1"/>
  <c r="BH181" i="1"/>
  <c r="BB181" i="1" s="1"/>
  <c r="BG181" i="1"/>
  <c r="AY181" i="1" s="1"/>
  <c r="BD181" i="1"/>
  <c r="BA181" i="1"/>
  <c r="AU181" i="1" l="1"/>
  <c r="AX181" i="1"/>
  <c r="AT181" i="1" s="1"/>
  <c r="AO182" i="1" l="1"/>
  <c r="AR182" i="1"/>
  <c r="AQ182" i="1"/>
  <c r="AN182" i="1"/>
  <c r="BH182" i="1" l="1"/>
  <c r="BB182" i="1" s="1"/>
  <c r="BG182" i="1"/>
  <c r="AY182" i="1" s="1"/>
  <c r="BI182" i="1"/>
  <c r="BE182" i="1" s="1"/>
  <c r="BA182" i="1"/>
  <c r="BD182" i="1" l="1"/>
  <c r="AU182" i="1"/>
  <c r="AX182" i="1"/>
  <c r="AT182" i="1" s="1"/>
  <c r="AN183" i="1" l="1"/>
  <c r="AQ183" i="1"/>
  <c r="AO183" i="1"/>
  <c r="AR183" i="1"/>
  <c r="BH183" i="1" l="1"/>
  <c r="BB183" i="1" s="1"/>
  <c r="BA183" i="1"/>
  <c r="BI183" i="1"/>
  <c r="BE183" i="1" s="1"/>
  <c r="BG183" i="1"/>
  <c r="AY183" i="1" s="1"/>
  <c r="BD183" i="1" l="1"/>
  <c r="AU183" i="1"/>
  <c r="AR184" i="1" s="1"/>
  <c r="AX183" i="1"/>
  <c r="AT183" i="1" s="1"/>
  <c r="AO184" i="1"/>
  <c r="AQ184" i="1" l="1"/>
  <c r="AN184" i="1"/>
  <c r="BI184" i="1" l="1"/>
  <c r="BE184" i="1" s="1"/>
  <c r="BH184" i="1"/>
  <c r="BB184" i="1" s="1"/>
  <c r="BD184" i="1"/>
  <c r="BG184" i="1"/>
  <c r="AY184" i="1" s="1"/>
  <c r="BA184" i="1"/>
  <c r="AU184" i="1" l="1"/>
  <c r="AR185" i="1" s="1"/>
  <c r="AX184" i="1"/>
  <c r="AT184" i="1" s="1"/>
  <c r="AO185" i="1" l="1"/>
  <c r="AQ185" i="1"/>
  <c r="AN185" i="1"/>
  <c r="BI185" i="1" l="1"/>
  <c r="BE185" i="1" s="1"/>
  <c r="BG185" i="1"/>
  <c r="AY185" i="1" s="1"/>
  <c r="BH185" i="1"/>
  <c r="BB185" i="1" s="1"/>
  <c r="BD185" i="1" l="1"/>
  <c r="AU185" i="1"/>
  <c r="BA185" i="1"/>
  <c r="AX185" i="1"/>
  <c r="AT185" i="1" l="1"/>
  <c r="AQ186" i="1"/>
  <c r="AN186" i="1"/>
  <c r="AO186" i="1"/>
  <c r="AR186" i="1"/>
  <c r="BG186" i="1" l="1"/>
  <c r="AY186" i="1" s="1"/>
  <c r="BI186" i="1"/>
  <c r="BE186" i="1" s="1"/>
  <c r="BH186" i="1"/>
  <c r="BB186" i="1" s="1"/>
  <c r="AX186" i="1" l="1"/>
  <c r="BA186" i="1"/>
  <c r="BD186" i="1"/>
  <c r="AU186" i="1"/>
  <c r="AT186" i="1" l="1"/>
  <c r="AN187" i="1" s="1"/>
  <c r="AQ187" i="1"/>
  <c r="AR187" i="1"/>
  <c r="AO187" i="1"/>
  <c r="BG187" i="1" l="1"/>
  <c r="AY187" i="1" s="1"/>
  <c r="BH187" i="1"/>
  <c r="BB187" i="1" s="1"/>
  <c r="BI187" i="1"/>
  <c r="BE187" i="1" s="1"/>
  <c r="BA187" i="1" l="1"/>
  <c r="AX187" i="1"/>
  <c r="AU187" i="1"/>
  <c r="BD187" i="1"/>
  <c r="AT187" i="1" l="1"/>
  <c r="AQ188" i="1"/>
  <c r="AN188" i="1"/>
  <c r="AR188" i="1"/>
  <c r="AO188" i="1"/>
  <c r="BG188" i="1" l="1"/>
  <c r="AY188" i="1" s="1"/>
  <c r="BH188" i="1"/>
  <c r="BA188" i="1" s="1"/>
  <c r="BI188" i="1"/>
  <c r="BD188" i="1" s="1"/>
  <c r="AX188" i="1" l="1"/>
  <c r="AT188" i="1" s="1"/>
  <c r="BB188" i="1"/>
  <c r="BE188" i="1"/>
  <c r="AU188" i="1" l="1"/>
  <c r="AO189" i="1"/>
  <c r="AR189" i="1"/>
  <c r="AN189" i="1"/>
  <c r="AQ189" i="1"/>
  <c r="BI189" i="1" l="1"/>
  <c r="BE189" i="1" s="1"/>
  <c r="BH189" i="1"/>
  <c r="BB189" i="1" s="1"/>
  <c r="BG189" i="1"/>
  <c r="AY189" i="1" s="1"/>
  <c r="BD189" i="1"/>
  <c r="AU189" i="1" l="1"/>
  <c r="AO190" i="1" s="1"/>
  <c r="AR190" i="1"/>
  <c r="BA189" i="1"/>
  <c r="AX189" i="1"/>
  <c r="AT189" i="1" l="1"/>
  <c r="AQ190" i="1" s="1"/>
  <c r="AN190" i="1" l="1"/>
  <c r="BI190" i="1"/>
  <c r="BE190" i="1" s="1"/>
  <c r="BH190" i="1"/>
  <c r="BB190" i="1" s="1"/>
  <c r="BG190" i="1"/>
  <c r="AY190" i="1" s="1"/>
  <c r="BD190" i="1"/>
  <c r="AU190" i="1" l="1"/>
  <c r="AX190" i="1"/>
  <c r="BA190" i="1"/>
  <c r="AT190" i="1" l="1"/>
  <c r="AQ191" i="1"/>
  <c r="AN191" i="1"/>
  <c r="AR191" i="1"/>
  <c r="AO191" i="1"/>
  <c r="BG191" i="1" l="1"/>
  <c r="AY191" i="1" s="1"/>
  <c r="BI191" i="1"/>
  <c r="BE191" i="1" s="1"/>
  <c r="BH191" i="1"/>
  <c r="BB191" i="1" s="1"/>
  <c r="AX191" i="1"/>
  <c r="BA191" i="1"/>
  <c r="BD191" i="1" l="1"/>
  <c r="AU191" i="1"/>
  <c r="AT191" i="1"/>
  <c r="AQ192" i="1" l="1"/>
  <c r="AN192" i="1"/>
  <c r="AO192" i="1"/>
  <c r="AR192" i="1"/>
  <c r="BH192" i="1" l="1"/>
  <c r="BA192" i="1" s="1"/>
  <c r="BG192" i="1"/>
  <c r="AX192" i="1" s="1"/>
  <c r="BI192" i="1"/>
  <c r="BD192" i="1" s="1"/>
  <c r="AT192" i="1" l="1"/>
  <c r="BE192" i="1"/>
  <c r="AY192" i="1"/>
  <c r="BB192" i="1"/>
  <c r="AU192" i="1" l="1"/>
  <c r="AQ193" i="1"/>
  <c r="AN193" i="1"/>
  <c r="AO193" i="1" l="1"/>
  <c r="AR193" i="1"/>
  <c r="BI193" i="1" l="1"/>
  <c r="BD193" i="1" s="1"/>
  <c r="BG193" i="1"/>
  <c r="AX193" i="1" s="1"/>
  <c r="BH193" i="1"/>
  <c r="BA193" i="1" s="1"/>
  <c r="AT193" i="1" l="1"/>
  <c r="BB193" i="1"/>
  <c r="AY193" i="1"/>
  <c r="BE193" i="1"/>
  <c r="AU193" i="1" l="1"/>
  <c r="AN194" i="1"/>
  <c r="AQ194" i="1"/>
  <c r="AO194" i="1" l="1"/>
  <c r="AR194" i="1"/>
  <c r="BI194" i="1" l="1"/>
  <c r="BD194" i="1" s="1"/>
  <c r="BH194" i="1"/>
  <c r="BA194" i="1" s="1"/>
  <c r="BG194" i="1"/>
  <c r="AX194" i="1" s="1"/>
  <c r="AT194" i="1" l="1"/>
  <c r="AQ195" i="1"/>
  <c r="AN195" i="1"/>
  <c r="AY194" i="1"/>
  <c r="BE194" i="1"/>
  <c r="BB194" i="1"/>
  <c r="AU194" i="1" l="1"/>
  <c r="AO195" i="1" l="1"/>
  <c r="AR195" i="1"/>
  <c r="BG195" i="1" l="1"/>
  <c r="AX195" i="1" s="1"/>
  <c r="BH195" i="1"/>
  <c r="BA195" i="1" s="1"/>
  <c r="BI195" i="1"/>
  <c r="BD195" i="1" s="1"/>
  <c r="AT195" i="1" l="1"/>
  <c r="BB195" i="1"/>
  <c r="AY195" i="1"/>
  <c r="BE195" i="1"/>
  <c r="AU195" i="1" l="1"/>
  <c r="AQ196" i="1"/>
  <c r="AN196" i="1"/>
  <c r="AR196" i="1" l="1"/>
  <c r="AO196" i="1"/>
  <c r="BH196" i="1" l="1"/>
  <c r="BA196" i="1" s="1"/>
  <c r="BI196" i="1"/>
  <c r="BD196" i="1" s="1"/>
  <c r="BG196" i="1"/>
  <c r="AX196" i="1" s="1"/>
  <c r="AT196" i="1" l="1"/>
  <c r="AN197" i="1"/>
  <c r="AQ197" i="1"/>
  <c r="BB196" i="1"/>
  <c r="AY196" i="1"/>
  <c r="BE196" i="1"/>
  <c r="AU196" i="1" l="1"/>
  <c r="AO197" i="1"/>
  <c r="AR197" i="1"/>
  <c r="BG197" i="1"/>
  <c r="AX197" i="1" s="1"/>
  <c r="BI197" i="1"/>
  <c r="BD197" i="1" s="1"/>
  <c r="BH197" i="1"/>
  <c r="BA197" i="1" s="1"/>
  <c r="AT197" i="1" l="1"/>
  <c r="AY197" i="1"/>
  <c r="BB197" i="1"/>
  <c r="BE197" i="1"/>
  <c r="AU197" i="1" l="1"/>
  <c r="AQ198" i="1"/>
  <c r="AN198" i="1"/>
  <c r="AR198" i="1" l="1"/>
  <c r="AO198" i="1"/>
  <c r="BI198" i="1" l="1"/>
  <c r="BD198" i="1" s="1"/>
  <c r="BH198" i="1"/>
  <c r="BA198" i="1" s="1"/>
  <c r="BG198" i="1"/>
  <c r="AX198" i="1" s="1"/>
  <c r="AT198" i="1" l="1"/>
  <c r="BE198" i="1"/>
  <c r="AY198" i="1"/>
  <c r="BB198" i="1"/>
  <c r="AU198" i="1" l="1"/>
  <c r="AO199" i="1"/>
  <c r="AR199" i="1"/>
  <c r="AQ199" i="1"/>
  <c r="AN199" i="1"/>
  <c r="BI199" i="1" l="1"/>
  <c r="BD199" i="1" s="1"/>
  <c r="BG199" i="1"/>
  <c r="AX199" i="1" s="1"/>
  <c r="BH199" i="1"/>
  <c r="BA199" i="1" s="1"/>
  <c r="AY199" i="1" l="1"/>
  <c r="BE199" i="1"/>
  <c r="BB199" i="1"/>
  <c r="AT199" i="1"/>
  <c r="AU199" i="1" l="1"/>
  <c r="AR200" i="1"/>
  <c r="AO200" i="1"/>
  <c r="AN200" i="1"/>
  <c r="AQ200" i="1"/>
  <c r="BI200" i="1" l="1"/>
  <c r="BG200" i="1"/>
  <c r="BH200" i="1"/>
  <c r="BA200" i="1" l="1"/>
  <c r="BB200" i="1"/>
  <c r="AX200" i="1"/>
  <c r="AY200" i="1"/>
  <c r="BD200" i="1"/>
  <c r="BE200" i="1"/>
  <c r="AU200" i="1" l="1"/>
  <c r="AR201" i="1" s="1"/>
  <c r="AT200" i="1"/>
  <c r="AO201" i="1" l="1"/>
  <c r="AN201" i="1"/>
  <c r="AQ201" i="1"/>
  <c r="BI201" i="1" l="1"/>
  <c r="BH201" i="1"/>
  <c r="BG201" i="1"/>
  <c r="AX201" i="1" l="1"/>
  <c r="AY201" i="1"/>
  <c r="BA201" i="1"/>
  <c r="BB201" i="1"/>
  <c r="BD201" i="1"/>
  <c r="BE201" i="1"/>
  <c r="AU201" i="1" l="1"/>
  <c r="AT201" i="1"/>
  <c r="AQ202" i="1" l="1"/>
  <c r="AN202" i="1"/>
  <c r="AO202" i="1"/>
  <c r="AR202" i="1"/>
  <c r="BG202" i="1" l="1"/>
  <c r="AX202" i="1" s="1"/>
  <c r="BH202" i="1"/>
  <c r="BA202" i="1" s="1"/>
  <c r="BI202" i="1"/>
  <c r="BD202" i="1" s="1"/>
  <c r="AT202" i="1" l="1"/>
  <c r="BB202" i="1"/>
  <c r="AY202" i="1"/>
  <c r="BE202" i="1"/>
  <c r="AU202" i="1" l="1"/>
  <c r="AQ203" i="1"/>
  <c r="AN203" i="1"/>
  <c r="AR203" i="1" l="1"/>
  <c r="AO203" i="1"/>
  <c r="BG203" i="1" l="1"/>
  <c r="AX203" i="1" s="1"/>
  <c r="BI203" i="1"/>
  <c r="BD203" i="1" s="1"/>
  <c r="BH203" i="1"/>
  <c r="BA203" i="1" s="1"/>
  <c r="AT203" i="1" l="1"/>
  <c r="BB203" i="1"/>
  <c r="AY203" i="1"/>
  <c r="BE203" i="1"/>
  <c r="AU203" i="1" l="1"/>
  <c r="AN204" i="1"/>
  <c r="AQ204" i="1"/>
  <c r="AR204" i="1" l="1"/>
  <c r="AO204" i="1"/>
  <c r="BH204" i="1" s="1"/>
  <c r="BA204" i="1" s="1"/>
  <c r="BB204" i="1" l="1"/>
  <c r="BG204" i="1"/>
  <c r="AX204" i="1" s="1"/>
  <c r="BI204" i="1"/>
  <c r="BD204" i="1" s="1"/>
  <c r="BE204" i="1" l="1"/>
  <c r="AT204" i="1"/>
  <c r="AY204" i="1"/>
  <c r="AU204" i="1" l="1"/>
  <c r="AR205" i="1"/>
  <c r="AO205" i="1"/>
  <c r="AQ205" i="1"/>
  <c r="AN205" i="1"/>
  <c r="BG205" i="1" l="1"/>
  <c r="AY205" i="1" s="1"/>
  <c r="BH205" i="1"/>
  <c r="BB205" i="1" s="1"/>
  <c r="AX205" i="1"/>
  <c r="BI205" i="1"/>
  <c r="BE205" i="1" s="1"/>
  <c r="BA205" i="1" l="1"/>
  <c r="BD205" i="1"/>
  <c r="AT205" i="1" s="1"/>
  <c r="AN206" i="1" s="1"/>
  <c r="AU205" i="1"/>
  <c r="AQ206" i="1" l="1"/>
  <c r="AO206" i="1"/>
  <c r="AR206" i="1"/>
  <c r="BG206" i="1" l="1"/>
  <c r="BH206" i="1"/>
  <c r="BI206" i="1"/>
  <c r="BE206" i="1" l="1"/>
  <c r="BD206" i="1"/>
  <c r="BB206" i="1"/>
  <c r="BA206" i="1"/>
  <c r="AY206" i="1"/>
  <c r="AU206" i="1" s="1"/>
  <c r="AX206" i="1"/>
  <c r="AT206" i="1" l="1"/>
  <c r="AR207" i="1"/>
  <c r="AO207" i="1"/>
  <c r="AN207" i="1" l="1"/>
  <c r="AQ207" i="1"/>
  <c r="BG207" i="1" l="1"/>
  <c r="AY207" i="1" s="1"/>
  <c r="BH207" i="1"/>
  <c r="BB207" i="1" s="1"/>
  <c r="BI207" i="1"/>
  <c r="BE207" i="1" s="1"/>
  <c r="AX207" i="1"/>
  <c r="BD207" i="1" l="1"/>
  <c r="BA207" i="1"/>
  <c r="AT207" i="1" s="1"/>
  <c r="AU207" i="1"/>
  <c r="AN208" i="1" l="1"/>
  <c r="AQ208" i="1"/>
  <c r="AO208" i="1"/>
  <c r="AR208" i="1"/>
  <c r="BH208" i="1" l="1"/>
  <c r="BB208" i="1" s="1"/>
  <c r="BG208" i="1"/>
  <c r="AY208" i="1" s="1"/>
  <c r="BI208" i="1"/>
  <c r="BE208" i="1" s="1"/>
  <c r="BA208" i="1" l="1"/>
  <c r="AX208" i="1"/>
  <c r="AU208" i="1"/>
  <c r="BD208" i="1"/>
  <c r="AT208" i="1" s="1"/>
  <c r="AQ209" i="1" l="1"/>
  <c r="AN209" i="1"/>
  <c r="AO209" i="1"/>
  <c r="AR209" i="1"/>
  <c r="BH209" i="1" l="1"/>
  <c r="BB209" i="1" s="1"/>
  <c r="BG209" i="1"/>
  <c r="AY209" i="1" s="1"/>
  <c r="BI209" i="1"/>
  <c r="BE209" i="1" s="1"/>
  <c r="AX209" i="1" l="1"/>
  <c r="BA209" i="1"/>
  <c r="BD209" i="1"/>
  <c r="AU209" i="1"/>
  <c r="AT209" i="1" l="1"/>
  <c r="AR210" i="1"/>
  <c r="AO210" i="1"/>
  <c r="AN210" i="1"/>
  <c r="AQ210" i="1"/>
  <c r="BG210" i="1" l="1"/>
  <c r="AY210" i="1" s="1"/>
  <c r="BI210" i="1"/>
  <c r="BE210" i="1" s="1"/>
  <c r="BH210" i="1"/>
  <c r="BB210" i="1" s="1"/>
  <c r="BD210" i="1"/>
  <c r="BA210" i="1"/>
  <c r="AX210" i="1" l="1"/>
  <c r="AT210" i="1" s="1"/>
  <c r="AU210" i="1"/>
  <c r="AQ211" i="1" l="1"/>
  <c r="AN211" i="1"/>
  <c r="AO211" i="1"/>
  <c r="AR211" i="1"/>
  <c r="BG211" i="1" l="1"/>
  <c r="AY211" i="1"/>
  <c r="AX211" i="1"/>
  <c r="BI211" i="1"/>
  <c r="BH211" i="1"/>
  <c r="BB211" i="1" l="1"/>
  <c r="BA211" i="1"/>
  <c r="BE211" i="1"/>
  <c r="BD211" i="1"/>
  <c r="AT211" i="1" s="1"/>
  <c r="AU211" i="1" l="1"/>
  <c r="AQ212" i="1"/>
  <c r="AN212" i="1"/>
  <c r="AO212" i="1"/>
  <c r="AR212" i="1"/>
  <c r="BH212" i="1" l="1"/>
  <c r="BB212" i="1" s="1"/>
  <c r="BI212" i="1"/>
  <c r="BE212" i="1" s="1"/>
  <c r="BG212" i="1"/>
  <c r="AY212" i="1" s="1"/>
  <c r="BA212" i="1" l="1"/>
  <c r="AU212" i="1"/>
  <c r="AX212" i="1"/>
  <c r="AO213" i="1"/>
  <c r="AR213" i="1"/>
  <c r="BD212" i="1"/>
  <c r="AT212" i="1" s="1"/>
  <c r="AN213" i="1" l="1"/>
  <c r="AQ213" i="1"/>
  <c r="BI213" i="1" l="1"/>
  <c r="BE213" i="1" s="1"/>
  <c r="BG213" i="1"/>
  <c r="AY213" i="1" s="1"/>
  <c r="BH213" i="1"/>
  <c r="BD213" i="1"/>
  <c r="AX213" i="1"/>
  <c r="BA213" i="1" l="1"/>
  <c r="AT213" i="1" s="1"/>
  <c r="BB213" i="1"/>
  <c r="AU213" i="1" s="1"/>
  <c r="AQ214" i="1" l="1"/>
  <c r="AN214" i="1"/>
  <c r="AR214" i="1"/>
  <c r="AO214" i="1"/>
  <c r="BG214" i="1" l="1"/>
  <c r="AY214" i="1" s="1"/>
  <c r="BH214" i="1"/>
  <c r="BB214" i="1" s="1"/>
  <c r="BI214" i="1"/>
  <c r="BE214" i="1" s="1"/>
  <c r="AX214" i="1" l="1"/>
  <c r="BA214" i="1"/>
  <c r="BD214" i="1"/>
  <c r="AU214" i="1"/>
  <c r="AT214" i="1" l="1"/>
  <c r="AQ215" i="1" s="1"/>
  <c r="AO215" i="1"/>
  <c r="AR215" i="1"/>
  <c r="AN215" i="1"/>
  <c r="BI215" i="1" l="1"/>
  <c r="BE215" i="1" s="1"/>
  <c r="BG215" i="1"/>
  <c r="AY215" i="1" s="1"/>
  <c r="BH215" i="1"/>
  <c r="BB215" i="1" s="1"/>
  <c r="BD215" i="1" l="1"/>
  <c r="AX215" i="1"/>
  <c r="BA215" i="1"/>
  <c r="AU215" i="1"/>
  <c r="AT215" i="1" l="1"/>
  <c r="AQ216" i="1"/>
  <c r="AN216" i="1"/>
  <c r="AR216" i="1"/>
  <c r="AO216" i="1"/>
  <c r="BG216" i="1" l="1"/>
  <c r="AY216" i="1" s="1"/>
  <c r="BI216" i="1"/>
  <c r="BE216" i="1" s="1"/>
  <c r="BH216" i="1"/>
  <c r="BB216" i="1" s="1"/>
  <c r="AX216" i="1" l="1"/>
  <c r="BD216" i="1"/>
  <c r="BA216" i="1"/>
  <c r="AU216" i="1"/>
  <c r="AT216" i="1" l="1"/>
  <c r="AQ217" i="1"/>
  <c r="AN217" i="1"/>
  <c r="AO217" i="1"/>
  <c r="AR217" i="1"/>
  <c r="BG217" i="1" l="1"/>
  <c r="AY217" i="1" s="1"/>
  <c r="BI217" i="1"/>
  <c r="BE217" i="1" s="1"/>
  <c r="BH217" i="1"/>
  <c r="BB217" i="1" s="1"/>
  <c r="AX217" i="1" l="1"/>
  <c r="BD217" i="1"/>
  <c r="BA217" i="1"/>
  <c r="AT217" i="1" s="1"/>
  <c r="AU217" i="1"/>
  <c r="AR218" i="1" l="1"/>
  <c r="AO218" i="1"/>
  <c r="AQ218" i="1"/>
  <c r="AN218" i="1"/>
  <c r="BG218" i="1" l="1"/>
  <c r="BH218" i="1"/>
  <c r="BB218" i="1" s="1"/>
  <c r="BI218" i="1"/>
  <c r="BE218" i="1" s="1"/>
  <c r="AX218" i="1"/>
  <c r="AY218" i="1"/>
  <c r="BA218" i="1" l="1"/>
  <c r="AU218" i="1"/>
  <c r="AR219" i="1" s="1"/>
  <c r="BD218" i="1"/>
  <c r="AT218" i="1" l="1"/>
  <c r="AO219" i="1"/>
  <c r="AQ219" i="1"/>
  <c r="AN219" i="1"/>
  <c r="BG219" i="1" l="1"/>
  <c r="AY219" i="1" s="1"/>
  <c r="BH219" i="1"/>
  <c r="AX219" i="1"/>
  <c r="BI219" i="1"/>
  <c r="BE219" i="1" s="1"/>
  <c r="BD219" i="1" l="1"/>
  <c r="BA219" i="1"/>
  <c r="BB219" i="1"/>
  <c r="AU219" i="1" s="1"/>
  <c r="AT219" i="1" l="1"/>
  <c r="AR220" i="1"/>
  <c r="AO220" i="1"/>
  <c r="AN220" i="1"/>
  <c r="AQ220" i="1"/>
  <c r="BI220" i="1" l="1"/>
  <c r="BE220" i="1" s="1"/>
  <c r="BG220" i="1"/>
  <c r="AY220" i="1" s="1"/>
  <c r="BH220" i="1"/>
  <c r="BB220" i="1" s="1"/>
  <c r="BD220" i="1" l="1"/>
  <c r="AX220" i="1"/>
  <c r="AU220" i="1"/>
  <c r="BA220" i="1"/>
  <c r="AT220" i="1" l="1"/>
  <c r="AQ221" i="1"/>
  <c r="AN221" i="1"/>
  <c r="AR221" i="1"/>
  <c r="AO221" i="1"/>
  <c r="BG221" i="1" l="1"/>
  <c r="AY221" i="1" s="1"/>
  <c r="BI221" i="1"/>
  <c r="BE221" i="1" s="1"/>
  <c r="BH221" i="1"/>
  <c r="BB221" i="1" s="1"/>
  <c r="BD221" i="1"/>
  <c r="BA221" i="1" l="1"/>
  <c r="AX221" i="1"/>
  <c r="AT221" i="1" s="1"/>
  <c r="AU221" i="1"/>
  <c r="AO222" i="1" l="1"/>
  <c r="AR222" i="1"/>
  <c r="AN222" i="1"/>
  <c r="AQ222" i="1"/>
  <c r="BH222" i="1" l="1"/>
  <c r="BB222" i="1" s="1"/>
  <c r="BI222" i="1"/>
  <c r="BE222" i="1" s="1"/>
  <c r="BG222" i="1"/>
  <c r="AX222" i="1" s="1"/>
  <c r="BA222" i="1" l="1"/>
  <c r="AY222" i="1"/>
  <c r="AU222" i="1" s="1"/>
  <c r="AR223" i="1" s="1"/>
  <c r="BD222" i="1"/>
  <c r="AT222" i="1" s="1"/>
  <c r="AO223" i="1" l="1"/>
  <c r="AQ223" i="1"/>
  <c r="AN223" i="1"/>
  <c r="BI223" i="1" l="1"/>
  <c r="BH223" i="1"/>
  <c r="BB223" i="1" s="1"/>
  <c r="BG223" i="1"/>
  <c r="AY223" i="1" s="1"/>
  <c r="AX223" i="1" l="1"/>
  <c r="BA223" i="1"/>
  <c r="BD223" i="1"/>
  <c r="BE223" i="1"/>
  <c r="AU223" i="1" s="1"/>
  <c r="AT223" i="1" l="1"/>
  <c r="AN224" i="1"/>
  <c r="AQ224" i="1"/>
  <c r="AO224" i="1"/>
  <c r="AR224" i="1"/>
  <c r="BH224" i="1" l="1"/>
  <c r="BB224" i="1" s="1"/>
  <c r="BA224" i="1"/>
  <c r="BI224" i="1"/>
  <c r="BE224" i="1" s="1"/>
  <c r="BG224" i="1"/>
  <c r="AY224" i="1" s="1"/>
  <c r="AU224" i="1" l="1"/>
  <c r="AR225" i="1" s="1"/>
  <c r="AX224" i="1"/>
  <c r="BD224" i="1"/>
  <c r="AO225" i="1"/>
  <c r="AT224" i="1" l="1"/>
  <c r="AQ225" i="1" l="1"/>
  <c r="AN225" i="1"/>
  <c r="BH225" i="1" l="1"/>
  <c r="BB225" i="1" s="1"/>
  <c r="BI225" i="1"/>
  <c r="BE225" i="1" s="1"/>
  <c r="BG225" i="1"/>
  <c r="AY225" i="1" s="1"/>
  <c r="BD225" i="1" l="1"/>
  <c r="BA225" i="1"/>
  <c r="AU225" i="1"/>
  <c r="AX225" i="1"/>
  <c r="AR226" i="1"/>
  <c r="AO226" i="1"/>
  <c r="AT225" i="1" l="1"/>
  <c r="AQ226" i="1"/>
  <c r="AN226" i="1"/>
  <c r="BH226" i="1" l="1"/>
  <c r="BB226" i="1" s="1"/>
  <c r="BG226" i="1"/>
  <c r="AY226" i="1" s="1"/>
  <c r="BI226" i="1"/>
  <c r="BE226" i="1" s="1"/>
  <c r="BA226" i="1"/>
  <c r="AX226" i="1" l="1"/>
  <c r="BD226" i="1"/>
  <c r="AT226" i="1" s="1"/>
  <c r="AU226" i="1"/>
  <c r="AN227" i="1" l="1"/>
  <c r="AQ227" i="1"/>
  <c r="AO227" i="1"/>
  <c r="AR227" i="1"/>
  <c r="BI227" i="1" l="1"/>
  <c r="BE227" i="1" s="1"/>
  <c r="BG227" i="1"/>
  <c r="AY227" i="1" s="1"/>
  <c r="BH227" i="1"/>
  <c r="BB227" i="1" s="1"/>
  <c r="BD227" i="1" l="1"/>
  <c r="AX227" i="1"/>
  <c r="AU227" i="1"/>
  <c r="BA227" i="1"/>
  <c r="AT227" i="1" l="1"/>
  <c r="AN228" i="1"/>
  <c r="AQ228" i="1"/>
  <c r="AR228" i="1"/>
  <c r="AO228" i="1"/>
  <c r="BG228" i="1" l="1"/>
  <c r="AY228" i="1" s="1"/>
  <c r="BH228" i="1"/>
  <c r="BB228" i="1" s="1"/>
  <c r="BI228" i="1"/>
  <c r="BE228" i="1" s="1"/>
  <c r="BD228" i="1"/>
  <c r="BA228" i="1" l="1"/>
  <c r="AX228" i="1"/>
  <c r="AT228" i="1" s="1"/>
  <c r="AU228" i="1"/>
  <c r="AN229" i="1" l="1"/>
  <c r="AQ229" i="1"/>
  <c r="AR229" i="1"/>
  <c r="AO229" i="1"/>
  <c r="BG229" i="1" l="1"/>
  <c r="AX229" i="1" s="1"/>
  <c r="BH229" i="1"/>
  <c r="BA229" i="1" s="1"/>
  <c r="BI229" i="1"/>
  <c r="BE229" i="1" l="1"/>
  <c r="BD229" i="1"/>
  <c r="AT229" i="1" s="1"/>
  <c r="BB229" i="1"/>
  <c r="AY229" i="1"/>
  <c r="AU229" i="1" l="1"/>
  <c r="AN230" i="1"/>
  <c r="AQ230" i="1"/>
  <c r="AO230" i="1" l="1"/>
  <c r="AR230" i="1"/>
  <c r="BG230" i="1" l="1"/>
  <c r="BI230" i="1"/>
  <c r="BH230" i="1"/>
  <c r="BE230" i="1" l="1"/>
  <c r="BD230" i="1"/>
  <c r="BB230" i="1"/>
  <c r="BA230" i="1"/>
  <c r="AY230" i="1"/>
  <c r="AX230" i="1"/>
  <c r="AU230" i="1" l="1"/>
  <c r="AT230" i="1"/>
  <c r="AQ231" i="1"/>
  <c r="AN231" i="1"/>
  <c r="AO231" i="1"/>
  <c r="AR231" i="1"/>
  <c r="BG231" i="1" l="1"/>
  <c r="AY231" i="1" s="1"/>
  <c r="BH231" i="1"/>
  <c r="BB231" i="1" s="1"/>
  <c r="AX231" i="1"/>
  <c r="BI231" i="1"/>
  <c r="BE231" i="1" s="1"/>
  <c r="BA231" i="1" l="1"/>
  <c r="BD231" i="1"/>
  <c r="AT231" i="1" s="1"/>
  <c r="AU231" i="1"/>
  <c r="AN232" i="1" l="1"/>
  <c r="AQ232" i="1"/>
  <c r="AR232" i="1"/>
  <c r="AO232" i="1"/>
  <c r="BG232" i="1" l="1"/>
  <c r="AY232" i="1" s="1"/>
  <c r="BH232" i="1"/>
  <c r="BB232" i="1" s="1"/>
  <c r="BI232" i="1"/>
  <c r="BE232" i="1" s="1"/>
  <c r="AX232" i="1"/>
  <c r="BA232" i="1"/>
  <c r="BD232" i="1" l="1"/>
  <c r="AT232" i="1" s="1"/>
  <c r="AU232" i="1"/>
  <c r="AQ233" i="1" l="1"/>
  <c r="AN233" i="1"/>
  <c r="AO233" i="1"/>
  <c r="AR233" i="1"/>
  <c r="BG233" i="1" l="1"/>
  <c r="AY233" i="1" s="1"/>
  <c r="BH233" i="1"/>
  <c r="BB233" i="1" s="1"/>
  <c r="BI233" i="1"/>
  <c r="BE233" i="1" s="1"/>
  <c r="AX233" i="1"/>
  <c r="BA233" i="1"/>
  <c r="BD233" i="1" l="1"/>
  <c r="AT233" i="1" s="1"/>
  <c r="AU233" i="1"/>
  <c r="AQ234" i="1" l="1"/>
  <c r="AN234" i="1"/>
  <c r="AR234" i="1"/>
  <c r="AO234" i="1"/>
  <c r="BG234" i="1" l="1"/>
  <c r="AY234" i="1" s="1"/>
  <c r="BH234" i="1"/>
  <c r="BB234" i="1" s="1"/>
  <c r="BI234" i="1"/>
  <c r="BE234" i="1" s="1"/>
  <c r="BA234" i="1" l="1"/>
  <c r="AX234" i="1"/>
  <c r="BD234" i="1"/>
  <c r="AU234" i="1"/>
  <c r="AT234" i="1" l="1"/>
  <c r="AN235" i="1"/>
  <c r="AQ235" i="1"/>
  <c r="AO235" i="1"/>
  <c r="AR235" i="1"/>
  <c r="BG235" i="1" l="1"/>
  <c r="AY235" i="1" s="1"/>
  <c r="BI235" i="1"/>
  <c r="BE235" i="1" s="1"/>
  <c r="BH235" i="1"/>
  <c r="BB235" i="1" s="1"/>
  <c r="BD235" i="1"/>
  <c r="AX235" i="1"/>
  <c r="BA235" i="1"/>
  <c r="AT235" i="1" l="1"/>
  <c r="AQ236" i="1" s="1"/>
  <c r="AN236" i="1"/>
  <c r="AU235" i="1"/>
  <c r="AR236" i="1" l="1"/>
  <c r="AO236" i="1"/>
  <c r="BH236" i="1"/>
  <c r="BB236" i="1" s="1"/>
  <c r="BG236" i="1"/>
  <c r="AY236" i="1" s="1"/>
  <c r="BI236" i="1"/>
  <c r="BE236" i="1" s="1"/>
  <c r="BD236" i="1" l="1"/>
  <c r="AU236" i="1"/>
  <c r="BA236" i="1"/>
  <c r="AX236" i="1"/>
  <c r="AO237" i="1"/>
  <c r="AR237" i="1"/>
  <c r="AT236" i="1" l="1"/>
  <c r="AQ237" i="1"/>
  <c r="AN237" i="1"/>
  <c r="BI237" i="1" l="1"/>
  <c r="BG237" i="1"/>
  <c r="BH237" i="1"/>
  <c r="BA237" i="1" l="1"/>
  <c r="BB237" i="1"/>
  <c r="AX237" i="1"/>
  <c r="AY237" i="1"/>
  <c r="BD237" i="1"/>
  <c r="BE237" i="1"/>
  <c r="AT237" i="1" l="1"/>
  <c r="AU237" i="1"/>
  <c r="AO238" i="1" l="1"/>
  <c r="AR238" i="1"/>
  <c r="AN238" i="1"/>
  <c r="AQ238" i="1"/>
  <c r="BI238" i="1" l="1"/>
  <c r="BE238" i="1" s="1"/>
  <c r="BG238" i="1"/>
  <c r="AY238" i="1" s="1"/>
  <c r="BD238" i="1"/>
  <c r="BH238" i="1"/>
  <c r="BA238" i="1" s="1"/>
  <c r="BB238" i="1" l="1"/>
  <c r="AU238" i="1" s="1"/>
  <c r="AR239" i="1" s="1"/>
  <c r="AX238" i="1"/>
  <c r="AT238" i="1" s="1"/>
  <c r="AO239" i="1" l="1"/>
  <c r="AQ239" i="1"/>
  <c r="AN239" i="1"/>
  <c r="BG239" i="1" l="1"/>
  <c r="AY239" i="1" s="1"/>
  <c r="BI239" i="1"/>
  <c r="BE239" i="1" s="1"/>
  <c r="AX239" i="1"/>
  <c r="BH239" i="1"/>
  <c r="BB239" i="1" s="1"/>
  <c r="BD239" i="1"/>
  <c r="BA239" i="1" l="1"/>
  <c r="AT239" i="1" s="1"/>
  <c r="AU239" i="1"/>
  <c r="AQ240" i="1" l="1"/>
  <c r="AN240" i="1"/>
  <c r="AR240" i="1"/>
  <c r="AO240" i="1"/>
  <c r="BH240" i="1" l="1"/>
  <c r="BB240" i="1" s="1"/>
  <c r="BI240" i="1"/>
  <c r="BE240" i="1" s="1"/>
  <c r="BG240" i="1"/>
  <c r="AY240" i="1" s="1"/>
  <c r="BA240" i="1"/>
  <c r="AU240" i="1" l="1"/>
  <c r="AO241" i="1" s="1"/>
  <c r="AX240" i="1"/>
  <c r="BD240" i="1"/>
  <c r="AR241" i="1"/>
  <c r="AT240" i="1" l="1"/>
  <c r="AN241" i="1" l="1"/>
  <c r="AQ241" i="1"/>
  <c r="BI241" i="1" l="1"/>
  <c r="BE241" i="1" s="1"/>
  <c r="BG241" i="1"/>
  <c r="AY241" i="1" s="1"/>
  <c r="BH241" i="1"/>
  <c r="BB241" i="1" s="1"/>
  <c r="BD241" i="1"/>
  <c r="AX241" i="1" l="1"/>
  <c r="BA241" i="1"/>
  <c r="AT241" i="1" s="1"/>
  <c r="AU241" i="1"/>
  <c r="AR242" i="1" s="1"/>
  <c r="AO242" i="1" l="1"/>
  <c r="AQ242" i="1"/>
  <c r="AN242" i="1"/>
  <c r="BI242" i="1" l="1"/>
  <c r="BE242" i="1" s="1"/>
  <c r="BH242" i="1"/>
  <c r="BB242" i="1" s="1"/>
  <c r="BD242" i="1"/>
  <c r="BG242" i="1"/>
  <c r="AY242" i="1" s="1"/>
  <c r="AU242" i="1" l="1"/>
  <c r="AO243" i="1"/>
  <c r="AR243" i="1"/>
  <c r="BA242" i="1"/>
  <c r="AX242" i="1"/>
  <c r="AT242" i="1" l="1"/>
  <c r="AN243" i="1" s="1"/>
  <c r="AQ243" i="1" l="1"/>
  <c r="BH243" i="1"/>
  <c r="BB243" i="1" s="1"/>
  <c r="BI243" i="1"/>
  <c r="BE243" i="1" s="1"/>
  <c r="BG243" i="1"/>
  <c r="AY243" i="1" s="1"/>
  <c r="BA243" i="1" l="1"/>
  <c r="BD243" i="1"/>
  <c r="AU243" i="1"/>
  <c r="AR244" i="1" s="1"/>
  <c r="AX243" i="1"/>
  <c r="AT243" i="1" s="1"/>
  <c r="AO244" i="1" l="1"/>
  <c r="AQ244" i="1"/>
  <c r="AN244" i="1"/>
  <c r="BG244" i="1" l="1"/>
  <c r="AY244" i="1" s="1"/>
  <c r="BH244" i="1"/>
  <c r="BB244" i="1" s="1"/>
  <c r="BI244" i="1"/>
  <c r="BE244" i="1" s="1"/>
  <c r="AX244" i="1" l="1"/>
  <c r="AU244" i="1"/>
  <c r="BD244" i="1"/>
  <c r="BA244" i="1"/>
  <c r="AT244" i="1" l="1"/>
  <c r="AO245" i="1"/>
  <c r="AR245" i="1"/>
  <c r="AQ245" i="1" l="1"/>
  <c r="AN245" i="1"/>
  <c r="BG245" i="1" l="1"/>
  <c r="AY245" i="1" s="1"/>
  <c r="BI245" i="1"/>
  <c r="BE245" i="1" s="1"/>
  <c r="BH245" i="1"/>
  <c r="BB245" i="1" s="1"/>
  <c r="AX245" i="1" l="1"/>
  <c r="BD245" i="1"/>
  <c r="BA245" i="1"/>
  <c r="AU245" i="1"/>
  <c r="AT245" i="1" l="1"/>
  <c r="AQ246" i="1"/>
  <c r="AN246" i="1"/>
  <c r="AR246" i="1"/>
  <c r="AO246" i="1"/>
  <c r="BI246" i="1" l="1"/>
  <c r="BE246" i="1" s="1"/>
  <c r="BH246" i="1"/>
  <c r="BB246" i="1" s="1"/>
  <c r="BG246" i="1"/>
  <c r="AY246" i="1" s="1"/>
  <c r="BD246" i="1"/>
  <c r="AX246" i="1" l="1"/>
  <c r="AU246" i="1"/>
  <c r="AR247" i="1" s="1"/>
  <c r="BA246" i="1"/>
  <c r="AO247" i="1"/>
  <c r="AT246" i="1" l="1"/>
  <c r="AN247" i="1"/>
  <c r="AQ247" i="1"/>
  <c r="BH247" i="1" l="1"/>
  <c r="BB247" i="1" s="1"/>
  <c r="BI247" i="1"/>
  <c r="BE247" i="1" s="1"/>
  <c r="BA247" i="1"/>
  <c r="BG247" i="1"/>
  <c r="AY247" i="1" s="1"/>
  <c r="AU247" i="1" l="1"/>
  <c r="AX247" i="1"/>
  <c r="AR248" i="1"/>
  <c r="AO248" i="1"/>
  <c r="BD247" i="1"/>
  <c r="AT247" i="1" s="1"/>
  <c r="AQ248" i="1" l="1"/>
  <c r="AN248" i="1"/>
  <c r="BH248" i="1" l="1"/>
  <c r="BB248" i="1" s="1"/>
  <c r="BG248" i="1"/>
  <c r="AY248" i="1" s="1"/>
  <c r="BI248" i="1"/>
  <c r="BE248" i="1" s="1"/>
  <c r="BA248" i="1"/>
  <c r="AU248" i="1" l="1"/>
  <c r="AX248" i="1"/>
  <c r="BD248" i="1"/>
  <c r="AT248" i="1" l="1"/>
  <c r="AO249" i="1"/>
  <c r="AR249" i="1"/>
  <c r="AQ249" i="1" l="1"/>
  <c r="AN249" i="1"/>
  <c r="BI249" i="1" l="1"/>
  <c r="BE249" i="1" s="1"/>
  <c r="BG249" i="1"/>
  <c r="AY249" i="1" s="1"/>
  <c r="BH249" i="1"/>
  <c r="BB249" i="1" s="1"/>
  <c r="AU249" i="1" l="1"/>
  <c r="BA249" i="1"/>
  <c r="BD249" i="1"/>
  <c r="AX249" i="1"/>
  <c r="AT249" i="1" l="1"/>
  <c r="AR250" i="1"/>
  <c r="AO250" i="1"/>
  <c r="AQ250" i="1" l="1"/>
  <c r="AN250" i="1"/>
  <c r="BG250" i="1" l="1"/>
  <c r="BH250" i="1"/>
  <c r="BI250" i="1"/>
  <c r="BD250" i="1" l="1"/>
  <c r="BE250" i="1"/>
  <c r="BA250" i="1"/>
  <c r="BB250" i="1"/>
  <c r="AX250" i="1"/>
  <c r="AT250" i="1" s="1"/>
  <c r="AY250" i="1"/>
  <c r="AU250" i="1" l="1"/>
  <c r="AN251" i="1"/>
  <c r="AQ251" i="1"/>
  <c r="AO251" i="1"/>
  <c r="AR251" i="1"/>
  <c r="BI251" i="1" l="1"/>
  <c r="BD251" i="1" s="1"/>
  <c r="BH251" i="1"/>
  <c r="BA251" i="1" s="1"/>
  <c r="BG251" i="1"/>
  <c r="AX251" i="1" s="1"/>
  <c r="AT251" i="1" l="1"/>
  <c r="AQ252" i="1" s="1"/>
  <c r="AY251" i="1"/>
  <c r="BE251" i="1"/>
  <c r="BB251" i="1"/>
  <c r="AN252" i="1" l="1"/>
  <c r="AU251" i="1"/>
  <c r="AR252" i="1" l="1"/>
  <c r="AO252" i="1"/>
  <c r="BI252" i="1" l="1"/>
  <c r="BD252" i="1" s="1"/>
  <c r="BH252" i="1"/>
  <c r="BA252" i="1" s="1"/>
  <c r="BG252" i="1"/>
  <c r="AX252" i="1" s="1"/>
  <c r="AT252" i="1" l="1"/>
  <c r="AQ253" i="1"/>
  <c r="AN253" i="1"/>
  <c r="BE252" i="1"/>
  <c r="AY252" i="1"/>
  <c r="BB252" i="1"/>
  <c r="AU252" i="1" l="1"/>
  <c r="AO253" i="1" l="1"/>
  <c r="AR253" i="1"/>
  <c r="BG253" i="1" l="1"/>
  <c r="AX253" i="1" s="1"/>
  <c r="BH253" i="1"/>
  <c r="BA253" i="1" s="1"/>
  <c r="BI253" i="1"/>
  <c r="BD253" i="1" s="1"/>
  <c r="AT253" i="1" l="1"/>
  <c r="AY253" i="1"/>
  <c r="BB253" i="1"/>
  <c r="BE253" i="1"/>
  <c r="AU253" i="1" l="1"/>
  <c r="AQ254" i="1"/>
  <c r="AN254" i="1"/>
  <c r="AR254" i="1" l="1"/>
  <c r="AO254" i="1"/>
  <c r="BI254" i="1" l="1"/>
  <c r="BD254" i="1" s="1"/>
  <c r="BG254" i="1"/>
  <c r="AX254" i="1" s="1"/>
  <c r="BH254" i="1"/>
  <c r="BA254" i="1" s="1"/>
  <c r="AT254" i="1" l="1"/>
  <c r="AY254" i="1"/>
  <c r="BE254" i="1"/>
  <c r="BB254" i="1"/>
  <c r="AU254" i="1" l="1"/>
  <c r="AN255" i="1"/>
  <c r="AQ255" i="1"/>
  <c r="AR255" i="1" l="1"/>
  <c r="AO255" i="1"/>
  <c r="BG255" i="1" s="1"/>
  <c r="AX255" i="1" s="1"/>
  <c r="AY255" i="1" l="1"/>
  <c r="BH255" i="1"/>
  <c r="BI255" i="1"/>
  <c r="BD255" i="1" s="1"/>
  <c r="BB255" i="1" l="1"/>
  <c r="BA255" i="1"/>
  <c r="AT255" i="1" s="1"/>
  <c r="BE255" i="1"/>
  <c r="AU255" i="1" s="1"/>
  <c r="AR256" i="1" l="1"/>
  <c r="AO256" i="1"/>
  <c r="AQ256" i="1"/>
  <c r="AN256" i="1"/>
  <c r="BI256" i="1" l="1"/>
  <c r="BD256" i="1" s="1"/>
  <c r="BG256" i="1"/>
  <c r="AX256" i="1" s="1"/>
  <c r="BH256" i="1"/>
  <c r="BA256" i="1" s="1"/>
  <c r="BE256" i="1"/>
  <c r="BB256" i="1" l="1"/>
  <c r="AY256" i="1"/>
  <c r="AT256" i="1"/>
  <c r="AU256" i="1"/>
  <c r="AN257" i="1" l="1"/>
  <c r="AQ257" i="1"/>
  <c r="AO257" i="1"/>
  <c r="AR257" i="1"/>
  <c r="BH257" i="1" l="1"/>
  <c r="BA257" i="1" s="1"/>
  <c r="BG257" i="1"/>
  <c r="AX257" i="1" s="1"/>
  <c r="BI257" i="1"/>
  <c r="BD257" i="1" s="1"/>
  <c r="AT257" i="1" l="1"/>
  <c r="AY257" i="1"/>
  <c r="BE257" i="1"/>
  <c r="BB257" i="1"/>
  <c r="AU257" i="1" l="1"/>
  <c r="AQ258" i="1"/>
  <c r="AN258" i="1"/>
  <c r="AR258" i="1" l="1"/>
  <c r="AO258" i="1"/>
  <c r="BI258" i="1" l="1"/>
  <c r="BD258" i="1" s="1"/>
  <c r="BH258" i="1"/>
  <c r="BA258" i="1" s="1"/>
  <c r="BG258" i="1"/>
  <c r="AX258" i="1" s="1"/>
  <c r="AT258" i="1" l="1"/>
  <c r="AN259" i="1" s="1"/>
  <c r="AQ259" i="1"/>
  <c r="AY258" i="1"/>
  <c r="BE258" i="1"/>
  <c r="BB258" i="1"/>
  <c r="AU258" i="1" l="1"/>
  <c r="AO259" i="1" l="1"/>
  <c r="AR259" i="1"/>
  <c r="BG259" i="1" l="1"/>
  <c r="AX259" i="1" s="1"/>
  <c r="BI259" i="1"/>
  <c r="BD259" i="1" s="1"/>
  <c r="BH259" i="1"/>
  <c r="BA259" i="1" s="1"/>
  <c r="AT259" i="1" l="1"/>
  <c r="BB259" i="1"/>
  <c r="BE259" i="1"/>
  <c r="AY259" i="1"/>
  <c r="AU259" i="1" s="1"/>
  <c r="AR260" i="1" l="1"/>
  <c r="AO260" i="1"/>
  <c r="AQ260" i="1"/>
  <c r="AN260" i="1"/>
  <c r="BH260" i="1" l="1"/>
  <c r="BA260" i="1" s="1"/>
  <c r="BG260" i="1"/>
  <c r="BI260" i="1"/>
  <c r="BD260" i="1" s="1"/>
  <c r="AX260" i="1"/>
  <c r="AY260" i="1"/>
  <c r="BB260" i="1"/>
  <c r="BE260" i="1" l="1"/>
  <c r="AU260" i="1" s="1"/>
  <c r="AT260" i="1"/>
  <c r="AQ261" i="1" s="1"/>
  <c r="AN261" i="1" l="1"/>
  <c r="AR261" i="1"/>
  <c r="AO261" i="1"/>
  <c r="BG261" i="1"/>
  <c r="BI261" i="1"/>
  <c r="BH261" i="1"/>
  <c r="BA261" i="1" l="1"/>
  <c r="BB261" i="1"/>
  <c r="BD261" i="1"/>
  <c r="BE261" i="1"/>
  <c r="AX261" i="1"/>
  <c r="AT261" i="1" s="1"/>
  <c r="AY261" i="1"/>
  <c r="AU261" i="1" s="1"/>
  <c r="AO262" i="1" l="1"/>
  <c r="AR262" i="1"/>
  <c r="AQ262" i="1"/>
  <c r="AN262" i="1"/>
  <c r="BH262" i="1" l="1"/>
  <c r="BB262" i="1" s="1"/>
  <c r="BI262" i="1"/>
  <c r="BE262" i="1" s="1"/>
  <c r="BA262" i="1"/>
  <c r="BG262" i="1"/>
  <c r="AY262" i="1" s="1"/>
  <c r="AU262" i="1" s="1"/>
  <c r="AR263" i="1" s="1"/>
  <c r="AX262" i="1" l="1"/>
  <c r="BD262" i="1"/>
  <c r="AT262" i="1" s="1"/>
  <c r="AO263" i="1"/>
  <c r="AQ263" i="1" l="1"/>
  <c r="AN263" i="1"/>
  <c r="BG263" i="1" s="1"/>
  <c r="BH263" i="1"/>
  <c r="BB263" i="1" s="1"/>
  <c r="AY263" i="1" l="1"/>
  <c r="AX263" i="1"/>
  <c r="BI263" i="1"/>
  <c r="BE263" i="1" s="1"/>
  <c r="AU263" i="1" s="1"/>
  <c r="BA263" i="1"/>
  <c r="BD263" i="1" l="1"/>
  <c r="AT263" i="1" s="1"/>
  <c r="AR264" i="1"/>
  <c r="AO264" i="1"/>
  <c r="AN264" i="1" l="1"/>
  <c r="AQ264" i="1"/>
  <c r="BH264" i="1"/>
  <c r="BB264" i="1" s="1"/>
  <c r="BG264" i="1"/>
  <c r="AY264" i="1" s="1"/>
  <c r="BI264" i="1"/>
  <c r="BE264" i="1" s="1"/>
  <c r="BA264" i="1" l="1"/>
  <c r="AX264" i="1"/>
  <c r="AU264" i="1"/>
  <c r="AO265" i="1" s="1"/>
  <c r="BD264" i="1"/>
  <c r="AR265" i="1"/>
  <c r="AT264" i="1" l="1"/>
  <c r="AN265" i="1"/>
  <c r="AQ265" i="1"/>
  <c r="BH265" i="1" l="1"/>
  <c r="BB265" i="1" s="1"/>
  <c r="BI265" i="1"/>
  <c r="BE265" i="1" s="1"/>
  <c r="BA265" i="1"/>
  <c r="BG265" i="1"/>
  <c r="AY265" i="1" s="1"/>
  <c r="AU265" i="1" l="1"/>
  <c r="BD265" i="1"/>
  <c r="AR266" i="1"/>
  <c r="AO266" i="1"/>
  <c r="AX265" i="1"/>
  <c r="AT265" i="1" s="1"/>
  <c r="AQ266" i="1" l="1"/>
  <c r="AN266" i="1"/>
  <c r="BG266" i="1" l="1"/>
  <c r="AY266" i="1" s="1"/>
  <c r="BH266" i="1"/>
  <c r="BB266" i="1" s="1"/>
  <c r="AX266" i="1"/>
  <c r="BI266" i="1"/>
  <c r="BD266" i="1" l="1"/>
  <c r="BE266" i="1"/>
  <c r="AU266" i="1" s="1"/>
  <c r="BA266" i="1"/>
  <c r="AT266" i="1" s="1"/>
  <c r="AN267" i="1" l="1"/>
  <c r="AQ267" i="1"/>
  <c r="AO267" i="1"/>
  <c r="AR267" i="1"/>
  <c r="BH267" i="1" l="1"/>
  <c r="BB267" i="1" s="1"/>
  <c r="BI267" i="1"/>
  <c r="BE267" i="1" s="1"/>
  <c r="BA267" i="1"/>
  <c r="BG267" i="1"/>
  <c r="AY267" i="1" s="1"/>
  <c r="AU267" i="1" s="1"/>
  <c r="AR268" i="1" s="1"/>
  <c r="BD267" i="1"/>
  <c r="AX267" i="1" l="1"/>
  <c r="AT267" i="1" s="1"/>
  <c r="AO268" i="1"/>
  <c r="AQ268" i="1" l="1"/>
  <c r="AN268" i="1"/>
  <c r="BI268" i="1" l="1"/>
  <c r="BE268" i="1" s="1"/>
  <c r="BH268" i="1"/>
  <c r="BB268" i="1" s="1"/>
  <c r="BG268" i="1"/>
  <c r="AY268" i="1" s="1"/>
  <c r="BD268" i="1" l="1"/>
  <c r="AU268" i="1"/>
  <c r="AR269" i="1" s="1"/>
  <c r="BA268" i="1"/>
  <c r="AX268" i="1"/>
  <c r="AO269" i="1" l="1"/>
  <c r="AT268" i="1"/>
  <c r="AN269" i="1"/>
  <c r="AQ269" i="1"/>
  <c r="BI269" i="1" l="1"/>
  <c r="BE269" i="1" s="1"/>
  <c r="BD269" i="1"/>
  <c r="BG269" i="1"/>
  <c r="AY269" i="1" s="1"/>
  <c r="BH269" i="1"/>
  <c r="BB269" i="1" s="1"/>
  <c r="BA269" i="1" l="1"/>
  <c r="AX269" i="1"/>
  <c r="AU269" i="1"/>
  <c r="AT269" i="1" l="1"/>
  <c r="AO270" i="1"/>
  <c r="AR270" i="1"/>
  <c r="AQ270" i="1"/>
  <c r="AN270" i="1"/>
  <c r="BG270" i="1" l="1"/>
  <c r="AY270" i="1" s="1"/>
  <c r="BH270" i="1"/>
  <c r="BB270" i="1" s="1"/>
  <c r="BI270" i="1"/>
  <c r="BE270" i="1" s="1"/>
  <c r="AX270" i="1" l="1"/>
  <c r="BD270" i="1"/>
  <c r="AU270" i="1"/>
  <c r="BA270" i="1"/>
  <c r="AT270" i="1" l="1"/>
  <c r="AQ271" i="1"/>
  <c r="AN271" i="1"/>
  <c r="AR271" i="1"/>
  <c r="AO271" i="1"/>
  <c r="BG271" i="1" l="1"/>
  <c r="AY271" i="1" s="1"/>
  <c r="BH271" i="1"/>
  <c r="BB271" i="1" s="1"/>
  <c r="BI271" i="1"/>
  <c r="BE271" i="1" s="1"/>
  <c r="AX271" i="1" l="1"/>
  <c r="BA271" i="1"/>
  <c r="BD271" i="1"/>
  <c r="AU271" i="1"/>
  <c r="AT271" i="1" l="1"/>
  <c r="AO272" i="1"/>
  <c r="AR272" i="1"/>
  <c r="AQ272" i="1"/>
  <c r="AN272" i="1"/>
  <c r="BH272" i="1" l="1"/>
  <c r="BB272" i="1" s="1"/>
  <c r="BG272" i="1"/>
  <c r="AX272" i="1" s="1"/>
  <c r="BI272" i="1"/>
  <c r="BE272" i="1" s="1"/>
  <c r="AY272" i="1"/>
  <c r="BA272" i="1" l="1"/>
  <c r="BD272" i="1"/>
  <c r="AT272" i="1" s="1"/>
  <c r="AU272" i="1"/>
  <c r="AO273" i="1" s="1"/>
  <c r="AR273" i="1" l="1"/>
  <c r="AQ273" i="1"/>
  <c r="AN273" i="1"/>
  <c r="BI273" i="1" l="1"/>
  <c r="BE273" i="1" s="1"/>
  <c r="BH273" i="1"/>
  <c r="BB273" i="1" s="1"/>
  <c r="BG273" i="1"/>
  <c r="AY273" i="1" s="1"/>
  <c r="BD273" i="1" l="1"/>
  <c r="AU273" i="1"/>
  <c r="AR274" i="1" s="1"/>
  <c r="BA273" i="1"/>
  <c r="AX273" i="1"/>
  <c r="AO274" i="1" l="1"/>
  <c r="AT273" i="1"/>
  <c r="AQ274" i="1" l="1"/>
  <c r="AN274" i="1"/>
  <c r="BI274" i="1" l="1"/>
  <c r="BE274" i="1" s="1"/>
  <c r="BH274" i="1"/>
  <c r="BB274" i="1" s="1"/>
  <c r="BD274" i="1"/>
  <c r="BG274" i="1"/>
  <c r="AY274" i="1" s="1"/>
  <c r="AU274" i="1" l="1"/>
  <c r="AX274" i="1"/>
  <c r="BA274" i="1"/>
  <c r="AO275" i="1"/>
  <c r="AR275" i="1"/>
  <c r="AT274" i="1" l="1"/>
  <c r="AQ275" i="1" s="1"/>
  <c r="AN275" i="1" l="1"/>
  <c r="BG275" i="1" s="1"/>
  <c r="BH275" i="1"/>
  <c r="BB275" i="1" s="1"/>
  <c r="AY275" i="1" l="1"/>
  <c r="AX275" i="1"/>
  <c r="BI275" i="1"/>
  <c r="BE275" i="1" s="1"/>
  <c r="AU275" i="1" s="1"/>
  <c r="BA275" i="1"/>
  <c r="BD275" i="1" l="1"/>
  <c r="AT275" i="1"/>
  <c r="AN276" i="1"/>
  <c r="AQ276" i="1"/>
  <c r="AR276" i="1"/>
  <c r="AO276" i="1"/>
  <c r="BG276" i="1" l="1"/>
  <c r="AX276" i="1" s="1"/>
  <c r="BI276" i="1"/>
  <c r="BE276" i="1" s="1"/>
  <c r="BH276" i="1"/>
  <c r="BB276" i="1" s="1"/>
  <c r="BD276" i="1"/>
  <c r="BA276" i="1" l="1"/>
  <c r="AT276" i="1"/>
  <c r="AQ277" i="1" s="1"/>
  <c r="AY276" i="1"/>
  <c r="AU276" i="1" s="1"/>
  <c r="AN277" i="1" l="1"/>
  <c r="AO277" i="1"/>
  <c r="AR277" i="1"/>
  <c r="BG277" i="1" l="1"/>
  <c r="BI277" i="1"/>
  <c r="BH277" i="1"/>
  <c r="BB277" i="1" l="1"/>
  <c r="BA277" i="1"/>
  <c r="BE277" i="1"/>
  <c r="BD277" i="1"/>
  <c r="AY277" i="1"/>
  <c r="AU277" i="1" s="1"/>
  <c r="AX277" i="1"/>
  <c r="AT277" i="1" s="1"/>
  <c r="AQ278" i="1" l="1"/>
  <c r="AN278" i="1"/>
  <c r="AR278" i="1"/>
  <c r="AO278" i="1"/>
  <c r="BG278" i="1" l="1"/>
  <c r="AY278" i="1" s="1"/>
  <c r="BI278" i="1"/>
  <c r="BE278" i="1" s="1"/>
  <c r="BH278" i="1"/>
  <c r="BB278" i="1" s="1"/>
  <c r="AX278" i="1"/>
  <c r="BD278" i="1" l="1"/>
  <c r="BA278" i="1"/>
  <c r="AU278" i="1"/>
  <c r="AT278" i="1" l="1"/>
  <c r="AN279" i="1" s="1"/>
  <c r="AQ279" i="1"/>
  <c r="AO279" i="1"/>
  <c r="AR279" i="1"/>
  <c r="BH279" i="1" l="1"/>
  <c r="BB279" i="1" s="1"/>
  <c r="BI279" i="1"/>
  <c r="BE279" i="1" s="1"/>
  <c r="BG279" i="1"/>
  <c r="AY279" i="1" s="1"/>
  <c r="BA279" i="1" l="1"/>
  <c r="AU279" i="1"/>
  <c r="AR280" i="1" s="1"/>
  <c r="AX279" i="1"/>
  <c r="BD279" i="1"/>
  <c r="AO280" i="1"/>
  <c r="AT279" i="1" l="1"/>
  <c r="AQ280" i="1" l="1"/>
  <c r="AN280" i="1"/>
  <c r="BG280" i="1" l="1"/>
  <c r="AY280" i="1" s="1"/>
  <c r="BH280" i="1"/>
  <c r="BB280" i="1" s="1"/>
  <c r="BI280" i="1"/>
  <c r="BE280" i="1" s="1"/>
  <c r="BA280" i="1"/>
  <c r="AX280" i="1" l="1"/>
  <c r="BD280" i="1"/>
  <c r="AT280" i="1" s="1"/>
  <c r="AU280" i="1"/>
  <c r="AQ281" i="1" l="1"/>
  <c r="AN281" i="1"/>
  <c r="AR281" i="1"/>
  <c r="AO281" i="1"/>
  <c r="BI281" i="1" s="1"/>
  <c r="BE281" i="1" s="1"/>
  <c r="BH281" i="1" l="1"/>
  <c r="BB281" i="1" s="1"/>
  <c r="BG281" i="1"/>
  <c r="AY281" i="1" s="1"/>
  <c r="AU281" i="1" s="1"/>
  <c r="AO282" i="1" s="1"/>
  <c r="BA281" i="1"/>
  <c r="BD281" i="1"/>
  <c r="AX281" i="1" l="1"/>
  <c r="AR282" i="1"/>
  <c r="AT281" i="1"/>
  <c r="AQ282" i="1" s="1"/>
  <c r="AN282" i="1" l="1"/>
  <c r="BI282" i="1" s="1"/>
  <c r="BH282" i="1"/>
  <c r="BG282" i="1" l="1"/>
  <c r="AY282" i="1" s="1"/>
  <c r="BA282" i="1"/>
  <c r="BB282" i="1"/>
  <c r="BD282" i="1"/>
  <c r="BE282" i="1"/>
  <c r="AX282" i="1" l="1"/>
  <c r="AT282" i="1" s="1"/>
  <c r="AU282" i="1"/>
  <c r="AN283" i="1" l="1"/>
  <c r="AQ283" i="1"/>
  <c r="AO283" i="1"/>
  <c r="BG283" i="1" s="1"/>
  <c r="AR283" i="1"/>
  <c r="AY283" i="1" l="1"/>
  <c r="AX283" i="1"/>
  <c r="BH283" i="1"/>
  <c r="BB283" i="1" s="1"/>
  <c r="BI283" i="1"/>
  <c r="BE283" i="1" s="1"/>
  <c r="AU283" i="1" l="1"/>
  <c r="AR284" i="1"/>
  <c r="AO284" i="1"/>
  <c r="BD283" i="1"/>
  <c r="BA283" i="1"/>
  <c r="AT283" i="1" s="1"/>
  <c r="AQ284" i="1" l="1"/>
  <c r="AN284" i="1"/>
  <c r="BG284" i="1"/>
  <c r="BH284" i="1"/>
  <c r="BB284" i="1" s="1"/>
  <c r="BI284" i="1"/>
  <c r="BE284" i="1" s="1"/>
  <c r="BA284" i="1" l="1"/>
  <c r="BD284" i="1"/>
  <c r="AX284" i="1"/>
  <c r="AY284" i="1"/>
  <c r="AU284" i="1" s="1"/>
  <c r="AT284" i="1" l="1"/>
  <c r="AQ285" i="1"/>
  <c r="AN285" i="1"/>
  <c r="AO285" i="1"/>
  <c r="AR285" i="1"/>
  <c r="BI285" i="1" l="1"/>
  <c r="BE285" i="1" s="1"/>
  <c r="BH285" i="1"/>
  <c r="BB285" i="1" s="1"/>
  <c r="BG285" i="1"/>
  <c r="AY285" i="1" s="1"/>
  <c r="BD285" i="1" l="1"/>
  <c r="AU285" i="1"/>
  <c r="AR286" i="1" s="1"/>
  <c r="BA285" i="1"/>
  <c r="AX285" i="1"/>
  <c r="AO286" i="1"/>
  <c r="AT285" i="1" l="1"/>
  <c r="AQ286" i="1"/>
  <c r="AN286" i="1"/>
  <c r="BG286" i="1" l="1"/>
  <c r="AY286" i="1" s="1"/>
  <c r="BH286" i="1"/>
  <c r="BB286" i="1" s="1"/>
  <c r="BI286" i="1"/>
  <c r="BE286" i="1" s="1"/>
  <c r="AX286" i="1" l="1"/>
  <c r="BD286" i="1"/>
  <c r="BA286" i="1"/>
  <c r="AU286" i="1"/>
  <c r="AT286" i="1" l="1"/>
  <c r="AR287" i="1"/>
  <c r="AO287" i="1"/>
  <c r="AN287" i="1"/>
  <c r="AQ287" i="1"/>
  <c r="BI287" i="1" l="1"/>
  <c r="BE287" i="1" s="1"/>
  <c r="BG287" i="1"/>
  <c r="AY287" i="1" s="1"/>
  <c r="BH287" i="1"/>
  <c r="BB287" i="1" s="1"/>
  <c r="AX287" i="1"/>
  <c r="BD287" i="1"/>
  <c r="AU287" i="1" l="1"/>
  <c r="BA287" i="1"/>
  <c r="AT287" i="1" s="1"/>
  <c r="AQ288" i="1" l="1"/>
  <c r="AN288" i="1"/>
  <c r="AO288" i="1"/>
  <c r="AR288" i="1"/>
  <c r="BI288" i="1" l="1"/>
  <c r="BE288" i="1" s="1"/>
  <c r="BH288" i="1"/>
  <c r="BB288" i="1" s="1"/>
  <c r="BG288" i="1"/>
  <c r="AY288" i="1" s="1"/>
  <c r="BD288" i="1" l="1"/>
  <c r="AU288" i="1"/>
  <c r="AR289" i="1" s="1"/>
  <c r="BA288" i="1"/>
  <c r="AX288" i="1"/>
  <c r="AO289" i="1"/>
  <c r="AT288" i="1" l="1"/>
  <c r="AQ289" i="1"/>
  <c r="AN289" i="1"/>
  <c r="BG289" i="1" l="1"/>
  <c r="AY289" i="1" s="1"/>
  <c r="BH289" i="1"/>
  <c r="BB289" i="1" s="1"/>
  <c r="BI289" i="1"/>
  <c r="BE289" i="1" s="1"/>
  <c r="AX289" i="1"/>
  <c r="BA289" i="1" l="1"/>
  <c r="BD289" i="1"/>
  <c r="AU289" i="1"/>
  <c r="AT289" i="1" l="1"/>
  <c r="AQ290" i="1"/>
  <c r="AN290" i="1"/>
  <c r="AO290" i="1"/>
  <c r="AR290" i="1"/>
  <c r="BI290" i="1"/>
  <c r="BD290" i="1" s="1"/>
  <c r="BG290" i="1"/>
  <c r="BH290" i="1"/>
  <c r="BA290" i="1" s="1"/>
  <c r="AX290" i="1"/>
  <c r="AT290" i="1" l="1"/>
  <c r="BB290" i="1"/>
  <c r="AY290" i="1"/>
  <c r="BE290" i="1"/>
  <c r="AU290" i="1" l="1"/>
  <c r="AQ291" i="1"/>
  <c r="AN291" i="1"/>
  <c r="AR291" i="1" l="1"/>
  <c r="AO291" i="1"/>
  <c r="BH291" i="1" l="1"/>
  <c r="BI291" i="1"/>
  <c r="BG291" i="1"/>
  <c r="AY291" i="1" l="1"/>
  <c r="AX291" i="1"/>
  <c r="BE291" i="1"/>
  <c r="BD291" i="1"/>
  <c r="BB291" i="1"/>
  <c r="BA291" i="1"/>
  <c r="AT291" i="1" l="1"/>
  <c r="AU291" i="1"/>
  <c r="AR292" i="1" l="1"/>
  <c r="AO292" i="1"/>
  <c r="AQ292" i="1"/>
  <c r="AN292" i="1"/>
  <c r="BI292" i="1" l="1"/>
  <c r="BD292" i="1" s="1"/>
  <c r="BH292" i="1"/>
  <c r="BB292" i="1" s="1"/>
  <c r="BG292" i="1"/>
  <c r="AY292" i="1" s="1"/>
  <c r="BE292" i="1"/>
  <c r="BA292" i="1" l="1"/>
  <c r="AU292" i="1"/>
  <c r="AR293" i="1" s="1"/>
  <c r="AX292" i="1"/>
  <c r="AT292" i="1" s="1"/>
  <c r="AO293" i="1"/>
  <c r="AQ293" i="1" l="1"/>
  <c r="AN293" i="1"/>
  <c r="BH293" i="1" l="1"/>
  <c r="BB293" i="1" s="1"/>
  <c r="BI293" i="1"/>
  <c r="BE293" i="1" s="1"/>
  <c r="BG293" i="1"/>
  <c r="AY293" i="1" s="1"/>
  <c r="BA293" i="1" l="1"/>
  <c r="AU293" i="1"/>
  <c r="BD293" i="1"/>
  <c r="AX293" i="1"/>
  <c r="AR294" i="1"/>
  <c r="AO294" i="1"/>
  <c r="AT293" i="1" l="1"/>
  <c r="AN294" i="1" s="1"/>
  <c r="AQ294" i="1"/>
  <c r="BH294" i="1"/>
  <c r="BI294" i="1"/>
  <c r="BG294" i="1"/>
  <c r="AY294" i="1" l="1"/>
  <c r="AX294" i="1"/>
  <c r="BE294" i="1"/>
  <c r="BD294" i="1"/>
  <c r="BB294" i="1"/>
  <c r="BA294" i="1"/>
  <c r="AT294" i="1" l="1"/>
  <c r="AU294" i="1"/>
  <c r="AO295" i="1" l="1"/>
  <c r="AR295" i="1"/>
  <c r="AQ295" i="1"/>
  <c r="AN295" i="1"/>
  <c r="BH295" i="1" l="1"/>
  <c r="BB295" i="1" s="1"/>
  <c r="BI295" i="1"/>
  <c r="BE295" i="1" s="1"/>
  <c r="BG295" i="1"/>
  <c r="AX295" i="1" s="1"/>
  <c r="BA295" i="1" l="1"/>
  <c r="BD295" i="1"/>
  <c r="AT295" i="1" s="1"/>
  <c r="AY295" i="1"/>
  <c r="AU295" i="1" s="1"/>
  <c r="AN296" i="1" l="1"/>
  <c r="AQ296" i="1"/>
  <c r="AR296" i="1"/>
  <c r="AO296" i="1"/>
  <c r="BI296" i="1" l="1"/>
  <c r="BG296" i="1"/>
  <c r="BH296" i="1"/>
  <c r="BB296" i="1" l="1"/>
  <c r="BA296" i="1"/>
  <c r="AY296" i="1"/>
  <c r="AX296" i="1"/>
  <c r="BE296" i="1"/>
  <c r="BD296" i="1"/>
  <c r="AT296" i="1" l="1"/>
  <c r="AU296" i="1"/>
  <c r="AO297" i="1" l="1"/>
  <c r="AR297" i="1"/>
  <c r="AQ297" i="1"/>
  <c r="AN297" i="1"/>
  <c r="BI297" i="1" l="1"/>
  <c r="BE297" i="1" s="1"/>
  <c r="BG297" i="1"/>
  <c r="AY297" i="1" s="1"/>
  <c r="BH297" i="1"/>
  <c r="BB297" i="1" s="1"/>
  <c r="BD297" i="1"/>
  <c r="AX297" i="1" l="1"/>
  <c r="BA297" i="1"/>
  <c r="AT297" i="1" s="1"/>
  <c r="AU297" i="1"/>
  <c r="AQ298" i="1" l="1"/>
  <c r="AN298" i="1"/>
  <c r="AR298" i="1"/>
  <c r="AO298" i="1"/>
  <c r="BI298" i="1" l="1"/>
  <c r="BE298" i="1" s="1"/>
  <c r="BH298" i="1"/>
  <c r="BB298" i="1" s="1"/>
  <c r="BG298" i="1"/>
  <c r="AY298" i="1" s="1"/>
  <c r="BD298" i="1"/>
  <c r="AU298" i="1" l="1"/>
  <c r="AO299" i="1" s="1"/>
  <c r="BA298" i="1"/>
  <c r="AR299" i="1"/>
  <c r="AX298" i="1"/>
  <c r="AT298" i="1" s="1"/>
  <c r="AN299" i="1" l="1"/>
  <c r="AQ299" i="1"/>
  <c r="BG299" i="1" l="1"/>
  <c r="AY299" i="1" s="1"/>
  <c r="BI299" i="1"/>
  <c r="BE299" i="1" s="1"/>
  <c r="BH299" i="1"/>
  <c r="BB299" i="1" s="1"/>
  <c r="AX299" i="1" l="1"/>
  <c r="BD299" i="1"/>
  <c r="BA299" i="1"/>
  <c r="AU299" i="1"/>
  <c r="AT299" i="1" l="1"/>
  <c r="AQ300" i="1"/>
  <c r="AN300" i="1"/>
  <c r="AR300" i="1"/>
  <c r="AO300" i="1"/>
  <c r="BG300" i="1" l="1"/>
  <c r="AY300" i="1" s="1"/>
  <c r="BH300" i="1"/>
  <c r="BA300" i="1" s="1"/>
  <c r="BI300" i="1"/>
  <c r="BD300" i="1" s="1"/>
  <c r="AX300" i="1"/>
  <c r="AT300" i="1" l="1"/>
  <c r="AQ301" i="1" s="1"/>
  <c r="AN301" i="1"/>
  <c r="BE300" i="1"/>
  <c r="BB300" i="1"/>
  <c r="AU300" i="1" l="1"/>
  <c r="AO301" i="1"/>
  <c r="AR301" i="1"/>
  <c r="BI301" i="1" l="1"/>
  <c r="BG301" i="1"/>
  <c r="BH301" i="1"/>
  <c r="BB301" i="1" l="1"/>
  <c r="BA301" i="1"/>
  <c r="AY301" i="1"/>
  <c r="AX301" i="1"/>
  <c r="BE301" i="1"/>
  <c r="BD301" i="1"/>
  <c r="AT301" i="1" l="1"/>
  <c r="AU301" i="1"/>
  <c r="AR302" i="1" l="1"/>
  <c r="AO302" i="1"/>
  <c r="AQ302" i="1"/>
  <c r="AN302" i="1"/>
  <c r="BH302" i="1" l="1"/>
  <c r="BB302" i="1" s="1"/>
  <c r="BG302" i="1"/>
  <c r="AY302" i="1" s="1"/>
  <c r="BI302" i="1"/>
  <c r="BE302" i="1" s="1"/>
  <c r="AX302" i="1"/>
  <c r="BA302" i="1"/>
  <c r="BD302" i="1" l="1"/>
  <c r="AT302" i="1" s="1"/>
  <c r="AU302" i="1"/>
  <c r="AQ303" i="1" l="1"/>
  <c r="AN303" i="1"/>
  <c r="AO303" i="1"/>
  <c r="AR303" i="1"/>
  <c r="BG303" i="1" l="1"/>
  <c r="AY303" i="1" s="1"/>
  <c r="BI303" i="1"/>
  <c r="BE303" i="1" s="1"/>
  <c r="BH303" i="1"/>
  <c r="BB303" i="1" s="1"/>
  <c r="BD303" i="1" l="1"/>
  <c r="BA303" i="1"/>
  <c r="AU303" i="1"/>
  <c r="AX303" i="1"/>
  <c r="AR304" i="1" l="1"/>
  <c r="AO304" i="1"/>
  <c r="AT303" i="1"/>
  <c r="AQ304" i="1" l="1"/>
  <c r="AN304" i="1"/>
  <c r="BG304" i="1" l="1"/>
  <c r="AY304" i="1" s="1"/>
  <c r="BH304" i="1"/>
  <c r="BB304" i="1" s="1"/>
  <c r="BI304" i="1"/>
  <c r="BE304" i="1" s="1"/>
  <c r="AX304" i="1" l="1"/>
  <c r="BA304" i="1"/>
  <c r="BD304" i="1"/>
  <c r="AT304" i="1" s="1"/>
  <c r="AU304" i="1"/>
  <c r="AO305" i="1" l="1"/>
  <c r="AR305" i="1"/>
  <c r="AN305" i="1"/>
  <c r="AQ305" i="1"/>
  <c r="BI305" i="1" l="1"/>
  <c r="BE305" i="1" s="1"/>
  <c r="BG305" i="1"/>
  <c r="AY305" i="1" s="1"/>
  <c r="BH305" i="1"/>
  <c r="BB305" i="1" s="1"/>
  <c r="BD305" i="1"/>
  <c r="BA305" i="1" l="1"/>
  <c r="AU305" i="1"/>
  <c r="AX305" i="1"/>
  <c r="AT305" i="1" s="1"/>
  <c r="AQ306" i="1" l="1"/>
  <c r="AN306" i="1"/>
  <c r="AO306" i="1"/>
  <c r="AR306" i="1"/>
  <c r="BI306" i="1" l="1"/>
  <c r="BD306" i="1" s="1"/>
  <c r="BH306" i="1"/>
  <c r="BB306" i="1" s="1"/>
  <c r="BG306" i="1"/>
  <c r="AY306" i="1" s="1"/>
  <c r="AX306" i="1" l="1"/>
  <c r="BA306" i="1"/>
  <c r="BE306" i="1"/>
  <c r="AU306" i="1" s="1"/>
  <c r="AT306" i="1" l="1"/>
  <c r="AQ307" i="1"/>
  <c r="AN307" i="1"/>
  <c r="AR307" i="1"/>
  <c r="AO307" i="1"/>
  <c r="BG307" i="1" l="1"/>
  <c r="AY307" i="1" s="1"/>
  <c r="BI307" i="1"/>
  <c r="BE307" i="1" s="1"/>
  <c r="BH307" i="1"/>
  <c r="BA307" i="1" s="1"/>
  <c r="AX307" i="1"/>
  <c r="BD307" i="1"/>
  <c r="AT307" i="1" l="1"/>
  <c r="BB307" i="1"/>
  <c r="AU307" i="1" s="1"/>
  <c r="AO308" i="1" l="1"/>
  <c r="AR308" i="1"/>
  <c r="AN308" i="1"/>
  <c r="AQ308" i="1"/>
  <c r="BH308" i="1" l="1"/>
  <c r="BB308" i="1" s="1"/>
  <c r="BG308" i="1"/>
  <c r="AY308" i="1" s="1"/>
  <c r="BI308" i="1"/>
  <c r="BE308" i="1" s="1"/>
  <c r="AU308" i="1" l="1"/>
  <c r="AO309" i="1" s="1"/>
  <c r="BD308" i="1"/>
  <c r="BA308" i="1"/>
  <c r="AX308" i="1"/>
  <c r="AR309" i="1" l="1"/>
  <c r="AT308" i="1"/>
  <c r="AQ309" i="1" l="1"/>
  <c r="AN309" i="1"/>
  <c r="BI309" i="1" l="1"/>
  <c r="BE309" i="1" s="1"/>
  <c r="BH309" i="1"/>
  <c r="BB309" i="1" s="1"/>
  <c r="BG309" i="1"/>
  <c r="AY309" i="1" s="1"/>
  <c r="BA309" i="1" l="1"/>
  <c r="BD309" i="1"/>
  <c r="AU309" i="1"/>
  <c r="AR310" i="1" s="1"/>
  <c r="AO310" i="1"/>
  <c r="AX309" i="1"/>
  <c r="AT309" i="1" l="1"/>
  <c r="AN310" i="1"/>
  <c r="AQ310" i="1"/>
  <c r="BI310" i="1" l="1"/>
  <c r="BE310" i="1" s="1"/>
  <c r="BG310" i="1"/>
  <c r="AY310" i="1" s="1"/>
  <c r="BH310" i="1"/>
  <c r="BB310" i="1" s="1"/>
  <c r="BD310" i="1" l="1"/>
  <c r="BA310" i="1"/>
  <c r="AX310" i="1"/>
  <c r="AU310" i="1"/>
  <c r="AT310" i="1" l="1"/>
  <c r="AO311" i="1"/>
  <c r="AR311" i="1"/>
  <c r="AN311" i="1"/>
  <c r="AQ311" i="1"/>
  <c r="BH311" i="1" l="1"/>
  <c r="BA311" i="1" s="1"/>
  <c r="BG311" i="1"/>
  <c r="AX311" i="1" s="1"/>
  <c r="BI311" i="1"/>
  <c r="BD311" i="1" s="1"/>
  <c r="AY311" i="1" l="1"/>
  <c r="BE311" i="1"/>
  <c r="BB311" i="1"/>
  <c r="AT311" i="1"/>
  <c r="AQ312" i="1" s="1"/>
  <c r="AN312" i="1" l="1"/>
  <c r="AU311" i="1"/>
  <c r="AO312" i="1"/>
  <c r="BI312" i="1" s="1"/>
  <c r="AR312" i="1"/>
  <c r="BE312" i="1" l="1"/>
  <c r="BD312" i="1"/>
  <c r="BH312" i="1"/>
  <c r="BB312" i="1" s="1"/>
  <c r="BG312" i="1"/>
  <c r="AY312" i="1" s="1"/>
  <c r="BA312" i="1"/>
  <c r="AU312" i="1" l="1"/>
  <c r="AX312" i="1"/>
  <c r="AT312" i="1" s="1"/>
  <c r="AR313" i="1"/>
  <c r="AO313" i="1"/>
  <c r="AN313" i="1" l="1"/>
  <c r="AQ313" i="1"/>
  <c r="BI313" i="1"/>
  <c r="BD313" i="1" s="1"/>
  <c r="BG313" i="1"/>
  <c r="AX313" i="1" s="1"/>
  <c r="BH313" i="1"/>
  <c r="BA313" i="1" s="1"/>
  <c r="BE313" i="1"/>
  <c r="AY313" i="1"/>
  <c r="BB313" i="1"/>
  <c r="AU313" i="1" l="1"/>
  <c r="AR314" i="1" s="1"/>
  <c r="AT313" i="1"/>
  <c r="AQ314" i="1" s="1"/>
  <c r="AN314" i="1"/>
  <c r="AO314" i="1" l="1"/>
  <c r="BG314" i="1" s="1"/>
  <c r="AX314" i="1" s="1"/>
  <c r="BI314" i="1"/>
  <c r="BD314" i="1" s="1"/>
  <c r="BH314" i="1"/>
  <c r="BA314" i="1" s="1"/>
  <c r="AT314" i="1" l="1"/>
  <c r="BB314" i="1"/>
  <c r="BE314" i="1"/>
  <c r="AY314" i="1"/>
  <c r="AU314" i="1" l="1"/>
  <c r="AR315" i="1"/>
  <c r="AO315" i="1"/>
  <c r="AQ315" i="1"/>
  <c r="AN315" i="1"/>
  <c r="BI315" i="1" l="1"/>
  <c r="BE315" i="1" s="1"/>
  <c r="BH315" i="1"/>
  <c r="BB315" i="1" s="1"/>
  <c r="BD315" i="1"/>
  <c r="BG315" i="1"/>
  <c r="AY315" i="1" s="1"/>
  <c r="BA315" i="1"/>
  <c r="AU315" i="1" l="1"/>
  <c r="AR316" i="1" s="1"/>
  <c r="AO316" i="1"/>
  <c r="AX315" i="1"/>
  <c r="AT315" i="1" s="1"/>
  <c r="AN316" i="1" l="1"/>
  <c r="AQ316" i="1"/>
  <c r="BI316" i="1" l="1"/>
  <c r="BH316" i="1"/>
  <c r="BB316" i="1" s="1"/>
  <c r="BG316" i="1"/>
  <c r="AY316" i="1" s="1"/>
  <c r="BD316" i="1" l="1"/>
  <c r="BE316" i="1"/>
  <c r="AU316" i="1" s="1"/>
  <c r="AX316" i="1"/>
  <c r="BA316" i="1"/>
  <c r="AT316" i="1" l="1"/>
  <c r="AQ317" i="1"/>
  <c r="AN317" i="1"/>
  <c r="AR317" i="1"/>
  <c r="AO317" i="1"/>
  <c r="BH317" i="1" l="1"/>
  <c r="BB317" i="1" s="1"/>
  <c r="BI317" i="1"/>
  <c r="BE317" i="1" s="1"/>
  <c r="BG317" i="1"/>
  <c r="AY317" i="1" s="1"/>
  <c r="BD317" i="1"/>
  <c r="BA317" i="1" l="1"/>
  <c r="AU317" i="1"/>
  <c r="AX317" i="1"/>
  <c r="AT317" i="1" s="1"/>
  <c r="AO318" i="1"/>
  <c r="AR318" i="1"/>
  <c r="AN318" i="1" l="1"/>
  <c r="AQ318" i="1"/>
  <c r="BG318" i="1" l="1"/>
  <c r="BI318" i="1"/>
  <c r="BH318" i="1"/>
  <c r="BD318" i="1" l="1"/>
  <c r="BE318" i="1"/>
  <c r="BA318" i="1"/>
  <c r="BB318" i="1"/>
  <c r="AX318" i="1"/>
  <c r="AY318" i="1"/>
  <c r="AU318" i="1" l="1"/>
  <c r="AR319" i="1" s="1"/>
  <c r="AT318" i="1"/>
  <c r="AO319" i="1"/>
  <c r="AQ319" i="1"/>
  <c r="AN319" i="1"/>
  <c r="BI319" i="1" l="1"/>
  <c r="BD319" i="1" s="1"/>
  <c r="BH319" i="1"/>
  <c r="BA319" i="1" s="1"/>
  <c r="BG319" i="1"/>
  <c r="AX319" i="1" s="1"/>
  <c r="BE319" i="1"/>
  <c r="BB319" i="1"/>
  <c r="AT319" i="1" l="1"/>
  <c r="AQ320" i="1" s="1"/>
  <c r="AY319" i="1"/>
  <c r="AN320" i="1"/>
  <c r="AU319" i="1"/>
  <c r="AR320" i="1" l="1"/>
  <c r="AO320" i="1"/>
  <c r="BG320" i="1"/>
  <c r="AX320" i="1" s="1"/>
  <c r="BH320" i="1"/>
  <c r="BA320" i="1" s="1"/>
  <c r="BI320" i="1"/>
  <c r="BD320" i="1" s="1"/>
  <c r="AT320" i="1" l="1"/>
  <c r="AY320" i="1"/>
  <c r="BE320" i="1"/>
  <c r="BB320" i="1"/>
  <c r="AU320" i="1" l="1"/>
  <c r="AQ321" i="1"/>
  <c r="AN321" i="1"/>
  <c r="AO321" i="1" l="1"/>
  <c r="AR321" i="1"/>
  <c r="BI321" i="1" l="1"/>
  <c r="BD321" i="1" s="1"/>
  <c r="BH321" i="1"/>
  <c r="BA321" i="1" s="1"/>
  <c r="BG321" i="1"/>
  <c r="AX321" i="1" s="1"/>
  <c r="AT321" i="1" l="1"/>
  <c r="BB321" i="1"/>
  <c r="BE321" i="1"/>
  <c r="AY321" i="1"/>
  <c r="AU321" i="1" l="1"/>
  <c r="AO322" i="1"/>
  <c r="AR322" i="1"/>
  <c r="AN322" i="1"/>
  <c r="AQ322" i="1"/>
  <c r="BH322" i="1" l="1"/>
  <c r="BB322" i="1" s="1"/>
  <c r="BI322" i="1"/>
  <c r="BE322" i="1" s="1"/>
  <c r="BG322" i="1"/>
  <c r="AY322" i="1" s="1"/>
  <c r="BA322" i="1" l="1"/>
  <c r="AU322" i="1"/>
  <c r="AR323" i="1" s="1"/>
  <c r="BD322" i="1"/>
  <c r="AO323" i="1"/>
  <c r="AX322" i="1"/>
  <c r="AT322" i="1" l="1"/>
  <c r="AN323" i="1"/>
  <c r="AQ323" i="1"/>
  <c r="BG323" i="1" l="1"/>
  <c r="AY323" i="1" s="1"/>
  <c r="BI323" i="1"/>
  <c r="BE323" i="1" s="1"/>
  <c r="BH323" i="1"/>
  <c r="BB323" i="1" s="1"/>
  <c r="BD323" i="1"/>
  <c r="AX323" i="1" l="1"/>
  <c r="BA323" i="1"/>
  <c r="AU323" i="1"/>
  <c r="AT323" i="1" l="1"/>
  <c r="AR324" i="1"/>
  <c r="AO324" i="1"/>
  <c r="AQ324" i="1"/>
  <c r="AN324" i="1"/>
  <c r="BG324" i="1" l="1"/>
  <c r="AY324" i="1" s="1"/>
  <c r="BH324" i="1"/>
  <c r="BA324" i="1" s="1"/>
  <c r="BI324" i="1"/>
  <c r="BD324" i="1" s="1"/>
  <c r="BB324" i="1" l="1"/>
  <c r="BE324" i="1"/>
  <c r="AU324" i="1" s="1"/>
  <c r="AX324" i="1"/>
  <c r="AT324" i="1" s="1"/>
  <c r="AO325" i="1" l="1"/>
  <c r="AR325" i="1"/>
  <c r="AN325" i="1"/>
  <c r="AQ325" i="1"/>
  <c r="BI325" i="1" l="1"/>
  <c r="BE325" i="1" s="1"/>
  <c r="BG325" i="1"/>
  <c r="AY325" i="1" s="1"/>
  <c r="BH325" i="1"/>
  <c r="BB325" i="1" s="1"/>
  <c r="BD325" i="1" l="1"/>
  <c r="BA325" i="1"/>
  <c r="AU325" i="1"/>
  <c r="AX325" i="1"/>
  <c r="AT325" i="1" l="1"/>
  <c r="AO326" i="1"/>
  <c r="AR326" i="1"/>
  <c r="AN326" i="1"/>
  <c r="AQ326" i="1"/>
  <c r="BG326" i="1" l="1"/>
  <c r="AY326" i="1" s="1"/>
  <c r="BI326" i="1"/>
  <c r="BE326" i="1" s="1"/>
  <c r="BH326" i="1"/>
  <c r="BB326" i="1" s="1"/>
  <c r="AX326" i="1"/>
  <c r="BD326" i="1" l="1"/>
  <c r="BA326" i="1"/>
  <c r="AT326" i="1" s="1"/>
  <c r="AU326" i="1"/>
  <c r="AQ327" i="1" l="1"/>
  <c r="AN327" i="1"/>
  <c r="AR327" i="1"/>
  <c r="AO327" i="1"/>
  <c r="BG327" i="1" s="1"/>
  <c r="AY327" i="1" s="1"/>
  <c r="BH327" i="1" l="1"/>
  <c r="BB327" i="1" s="1"/>
  <c r="BI327" i="1"/>
  <c r="BE327" i="1" s="1"/>
  <c r="AX327" i="1"/>
  <c r="BD327" i="1"/>
  <c r="BA327" i="1" l="1"/>
  <c r="AT327" i="1" s="1"/>
  <c r="AU327" i="1"/>
  <c r="AO328" i="1" s="1"/>
  <c r="AR328" i="1" l="1"/>
  <c r="AQ328" i="1"/>
  <c r="AN328" i="1"/>
  <c r="BG328" i="1" s="1"/>
  <c r="BI328" i="1"/>
  <c r="BH328" i="1" l="1"/>
  <c r="BB328" i="1" s="1"/>
  <c r="AY328" i="1"/>
  <c r="AX328" i="1"/>
  <c r="BA328" i="1"/>
  <c r="BD328" i="1"/>
  <c r="BE328" i="1"/>
  <c r="AU328" i="1" s="1"/>
  <c r="AT328" i="1" l="1"/>
  <c r="AO329" i="1"/>
  <c r="AR329" i="1"/>
  <c r="AQ329" i="1"/>
  <c r="AN329" i="1"/>
  <c r="BI329" i="1" l="1"/>
  <c r="BE329" i="1" s="1"/>
  <c r="BG329" i="1"/>
  <c r="AY329" i="1" s="1"/>
  <c r="BD329" i="1"/>
  <c r="BH329" i="1"/>
  <c r="BB329" i="1" s="1"/>
  <c r="AX329" i="1"/>
  <c r="AU329" i="1" l="1"/>
  <c r="BA329" i="1"/>
  <c r="AT329" i="1" s="1"/>
  <c r="AQ330" i="1" l="1"/>
  <c r="AN330" i="1"/>
  <c r="AR330" i="1"/>
  <c r="AO330" i="1"/>
  <c r="BG330" i="1" l="1"/>
  <c r="AY330" i="1" s="1"/>
  <c r="BH330" i="1"/>
  <c r="BB330" i="1" s="1"/>
  <c r="BI330" i="1"/>
  <c r="BE330" i="1" s="1"/>
  <c r="AX330" i="1"/>
  <c r="BA330" i="1" l="1"/>
  <c r="BD330" i="1"/>
  <c r="AT330" i="1" s="1"/>
  <c r="AU330" i="1"/>
  <c r="AQ331" i="1" l="1"/>
  <c r="AN331" i="1"/>
  <c r="AO331" i="1"/>
  <c r="AR331" i="1"/>
  <c r="BG331" i="1" l="1"/>
  <c r="AX331" i="1" s="1"/>
  <c r="BI331" i="1"/>
  <c r="BE331" i="1" s="1"/>
  <c r="BH331" i="1"/>
  <c r="BB331" i="1" s="1"/>
  <c r="BD331" i="1"/>
  <c r="BA331" i="1" l="1"/>
  <c r="AT331" i="1"/>
  <c r="AY331" i="1"/>
  <c r="AU331" i="1" s="1"/>
  <c r="AO332" i="1" l="1"/>
  <c r="AR332" i="1"/>
  <c r="AN332" i="1"/>
  <c r="AQ332" i="1"/>
  <c r="BG332" i="1" l="1"/>
  <c r="AY332" i="1" s="1"/>
  <c r="BI332" i="1"/>
  <c r="BE332" i="1" s="1"/>
  <c r="BH332" i="1"/>
  <c r="BB332" i="1" s="1"/>
  <c r="BD332" i="1"/>
  <c r="AX332" i="1" l="1"/>
  <c r="BA332" i="1"/>
  <c r="AU332" i="1"/>
  <c r="AT332" i="1" l="1"/>
  <c r="AN333" i="1"/>
  <c r="AQ333" i="1"/>
  <c r="AR333" i="1"/>
  <c r="AO333" i="1"/>
  <c r="BG333" i="1" l="1"/>
  <c r="AY333" i="1" s="1"/>
  <c r="BH333" i="1"/>
  <c r="BB333" i="1" s="1"/>
  <c r="BI333" i="1"/>
  <c r="BE333" i="1" s="1"/>
  <c r="BA333" i="1"/>
  <c r="AU333" i="1" l="1"/>
  <c r="BD333" i="1"/>
  <c r="AX333" i="1"/>
  <c r="AT333" i="1" s="1"/>
  <c r="AQ334" i="1" l="1"/>
  <c r="AN334" i="1"/>
  <c r="AR334" i="1"/>
  <c r="AO334" i="1"/>
  <c r="BG334" i="1" l="1"/>
  <c r="AY334" i="1" s="1"/>
  <c r="BI334" i="1"/>
  <c r="BE334" i="1" s="1"/>
  <c r="BH334" i="1"/>
  <c r="BB334" i="1" s="1"/>
  <c r="AX334" i="1"/>
  <c r="BA334" i="1" l="1"/>
  <c r="AU334" i="1"/>
  <c r="BD334" i="1"/>
  <c r="AT334" i="1" l="1"/>
  <c r="AQ335" i="1"/>
  <c r="AN335" i="1"/>
  <c r="AO335" i="1"/>
  <c r="AR335" i="1"/>
  <c r="BG335" i="1" l="1"/>
  <c r="AY335" i="1" s="1"/>
  <c r="BH335" i="1"/>
  <c r="BB335" i="1" s="1"/>
  <c r="BI335" i="1"/>
  <c r="BE335" i="1" s="1"/>
  <c r="AX335" i="1"/>
  <c r="BA335" i="1" l="1"/>
  <c r="BD335" i="1"/>
  <c r="AU335" i="1"/>
  <c r="AT335" i="1" l="1"/>
  <c r="AR336" i="1"/>
  <c r="AO336" i="1"/>
  <c r="AQ336" i="1"/>
  <c r="AN336" i="1"/>
  <c r="BI336" i="1" l="1"/>
  <c r="BE336" i="1" s="1"/>
  <c r="BG336" i="1"/>
  <c r="AY336" i="1" s="1"/>
  <c r="BH336" i="1"/>
  <c r="BB336" i="1" s="1"/>
  <c r="BA336" i="1" l="1"/>
  <c r="AX336" i="1"/>
  <c r="BD336" i="1"/>
  <c r="AT336" i="1" s="1"/>
  <c r="AQ337" i="1" s="1"/>
  <c r="AU336" i="1"/>
  <c r="AN337" i="1" l="1"/>
  <c r="AR337" i="1"/>
  <c r="AO337" i="1"/>
  <c r="BH337" i="1"/>
  <c r="BB337" i="1" s="1"/>
  <c r="BI337" i="1"/>
  <c r="BE337" i="1" s="1"/>
  <c r="BD337" i="1" l="1"/>
  <c r="BA337" i="1"/>
  <c r="BG337" i="1"/>
  <c r="AY337" i="1" l="1"/>
  <c r="AU337" i="1" s="1"/>
  <c r="AX337" i="1"/>
  <c r="AT337" i="1" s="1"/>
  <c r="AQ338" i="1" l="1"/>
  <c r="AN338" i="1"/>
  <c r="AR338" i="1"/>
  <c r="AO338" i="1"/>
  <c r="BG338" i="1" l="1"/>
  <c r="AY338" i="1" s="1"/>
  <c r="BH338" i="1"/>
  <c r="BB338" i="1" s="1"/>
  <c r="AX338" i="1"/>
  <c r="BI338" i="1"/>
  <c r="BE338" i="1" s="1"/>
  <c r="BA338" i="1" l="1"/>
  <c r="BD338" i="1"/>
  <c r="AT338" i="1" s="1"/>
  <c r="AU338" i="1"/>
  <c r="AR339" i="1" l="1"/>
  <c r="AO339" i="1"/>
  <c r="AN339" i="1"/>
  <c r="AQ339" i="1"/>
  <c r="BI339" i="1" l="1"/>
  <c r="BD339" i="1" s="1"/>
  <c r="BG339" i="1"/>
  <c r="AX339" i="1" s="1"/>
  <c r="BH339" i="1"/>
  <c r="BA339" i="1" s="1"/>
  <c r="BE339" i="1"/>
  <c r="AY339" i="1" l="1"/>
  <c r="BB339" i="1"/>
  <c r="AU339" i="1" s="1"/>
  <c r="AT339" i="1"/>
  <c r="AQ340" i="1" l="1"/>
  <c r="AN340" i="1"/>
  <c r="AR340" i="1"/>
  <c r="AO340" i="1"/>
  <c r="BH340" i="1" l="1"/>
  <c r="BB340" i="1" s="1"/>
  <c r="BI340" i="1"/>
  <c r="BE340" i="1" s="1"/>
  <c r="BG340" i="1"/>
  <c r="AY340" i="1" s="1"/>
  <c r="BD340" i="1"/>
  <c r="BA340" i="1"/>
  <c r="AX340" i="1" l="1"/>
  <c r="AT340" i="1" s="1"/>
  <c r="AU340" i="1"/>
  <c r="AO341" i="1" s="1"/>
  <c r="AR341" i="1" l="1"/>
  <c r="AN341" i="1"/>
  <c r="BH341" i="1" s="1"/>
  <c r="BA341" i="1" s="1"/>
  <c r="AQ341" i="1"/>
  <c r="BG341" i="1" l="1"/>
  <c r="BI341" i="1"/>
  <c r="BD341" i="1" s="1"/>
  <c r="AY341" i="1"/>
  <c r="AX341" i="1"/>
  <c r="BB341" i="1"/>
  <c r="BE341" i="1"/>
  <c r="AT341" i="1" l="1"/>
  <c r="AU341" i="1"/>
  <c r="AR342" i="1"/>
  <c r="AO342" i="1"/>
  <c r="AQ342" i="1"/>
  <c r="AN342" i="1"/>
  <c r="BH342" i="1" l="1"/>
  <c r="BB342" i="1" s="1"/>
  <c r="BG342" i="1"/>
  <c r="AY342" i="1" s="1"/>
  <c r="BI342" i="1"/>
  <c r="BE342" i="1" s="1"/>
  <c r="BA342" i="1"/>
  <c r="AX342" i="1" l="1"/>
  <c r="BD342" i="1"/>
  <c r="AT342" i="1" s="1"/>
  <c r="AU342" i="1"/>
  <c r="AQ343" i="1" l="1"/>
  <c r="AN343" i="1"/>
  <c r="AO343" i="1"/>
  <c r="AR343" i="1"/>
  <c r="BI343" i="1" l="1"/>
  <c r="BE343" i="1" s="1"/>
  <c r="BH343" i="1"/>
  <c r="BB343" i="1" s="1"/>
  <c r="BG343" i="1"/>
  <c r="AY343" i="1" s="1"/>
  <c r="BD343" i="1" l="1"/>
  <c r="AU343" i="1"/>
  <c r="AR344" i="1" s="1"/>
  <c r="BA343" i="1"/>
  <c r="AX343" i="1"/>
  <c r="AO344" i="1"/>
  <c r="AT343" i="1" l="1"/>
  <c r="AQ344" i="1"/>
  <c r="AN344" i="1"/>
  <c r="BH344" i="1" l="1"/>
  <c r="BB344" i="1" s="1"/>
  <c r="BG344" i="1"/>
  <c r="AY344" i="1" s="1"/>
  <c r="BA344" i="1"/>
  <c r="BI344" i="1"/>
  <c r="BE344" i="1" s="1"/>
  <c r="AX344" i="1"/>
  <c r="BD344" i="1" l="1"/>
  <c r="AT344" i="1" s="1"/>
  <c r="AU344" i="1"/>
  <c r="AN345" i="1" l="1"/>
  <c r="AQ345" i="1"/>
  <c r="AR345" i="1"/>
  <c r="AO345" i="1"/>
  <c r="BH345" i="1" l="1"/>
  <c r="BB345" i="1" s="1"/>
  <c r="BI345" i="1"/>
  <c r="BE345" i="1" s="1"/>
  <c r="BG345" i="1"/>
  <c r="AY345" i="1" s="1"/>
  <c r="AU345" i="1" l="1"/>
  <c r="AO346" i="1" s="1"/>
  <c r="AX345" i="1"/>
  <c r="BA345" i="1"/>
  <c r="BD345" i="1"/>
  <c r="AR346" i="1"/>
  <c r="AT345" i="1" l="1"/>
  <c r="AQ346" i="1" l="1"/>
  <c r="AN346" i="1"/>
  <c r="BG346" i="1" l="1"/>
  <c r="AY346" i="1" s="1"/>
  <c r="BI346" i="1"/>
  <c r="BE346" i="1" s="1"/>
  <c r="BH346" i="1"/>
  <c r="BB346" i="1" s="1"/>
  <c r="AX346" i="1" l="1"/>
  <c r="BD346" i="1"/>
  <c r="BA346" i="1"/>
  <c r="AU346" i="1"/>
  <c r="AT346" i="1" l="1"/>
  <c r="AO347" i="1"/>
  <c r="AR347" i="1"/>
  <c r="AN347" i="1"/>
  <c r="AQ347" i="1"/>
  <c r="BG347" i="1" l="1"/>
  <c r="AY347" i="1" s="1"/>
  <c r="BH347" i="1"/>
  <c r="BB347" i="1" s="1"/>
  <c r="BI347" i="1"/>
  <c r="BE347" i="1" s="1"/>
  <c r="BA347" i="1" l="1"/>
  <c r="BD347" i="1"/>
  <c r="AU347" i="1"/>
  <c r="AX347" i="1"/>
  <c r="AT347" i="1" s="1"/>
  <c r="AN348" i="1" l="1"/>
  <c r="AQ348" i="1"/>
  <c r="AR348" i="1"/>
  <c r="AO348" i="1"/>
  <c r="BI348" i="1" l="1"/>
  <c r="BE348" i="1" s="1"/>
  <c r="BH348" i="1"/>
  <c r="BB348" i="1" s="1"/>
  <c r="BG348" i="1"/>
  <c r="AY348" i="1" s="1"/>
  <c r="BD348" i="1"/>
  <c r="BA348" i="1" l="1"/>
  <c r="AX348" i="1"/>
  <c r="AU348" i="1"/>
  <c r="AO349" i="1" s="1"/>
  <c r="AT348" i="1"/>
  <c r="AR349" i="1" l="1"/>
  <c r="AQ349" i="1"/>
  <c r="AN349" i="1"/>
  <c r="BG349" i="1" l="1"/>
  <c r="AY349" i="1" s="1"/>
  <c r="BH349" i="1"/>
  <c r="BB349" i="1" s="1"/>
  <c r="BI349" i="1"/>
  <c r="BE349" i="1" s="1"/>
  <c r="BA349" i="1" l="1"/>
  <c r="BD349" i="1"/>
  <c r="AU349" i="1"/>
  <c r="AX349" i="1"/>
  <c r="AR350" i="1" l="1"/>
  <c r="AO350" i="1"/>
  <c r="AT349" i="1"/>
  <c r="AN350" i="1" l="1"/>
  <c r="AQ350" i="1"/>
  <c r="BI350" i="1" l="1"/>
  <c r="BE350" i="1" s="1"/>
  <c r="BH350" i="1"/>
  <c r="BB350" i="1" s="1"/>
  <c r="BG350" i="1"/>
  <c r="AY350" i="1" s="1"/>
  <c r="BA350" i="1"/>
  <c r="BD350" i="1" l="1"/>
  <c r="AU350" i="1"/>
  <c r="AO351" i="1" s="1"/>
  <c r="AR351" i="1"/>
  <c r="AX350" i="1"/>
  <c r="AT350" i="1" s="1"/>
  <c r="AQ351" i="1" l="1"/>
  <c r="AN351" i="1"/>
  <c r="BI351" i="1" l="1"/>
  <c r="BE351" i="1" s="1"/>
  <c r="BG351" i="1"/>
  <c r="AY351" i="1" s="1"/>
  <c r="BH351" i="1"/>
  <c r="BB351" i="1" s="1"/>
  <c r="AX351" i="1" l="1"/>
  <c r="BD351" i="1"/>
  <c r="BA351" i="1"/>
  <c r="AT351" i="1" s="1"/>
  <c r="AU351" i="1"/>
  <c r="AN352" i="1" l="1"/>
  <c r="AQ352" i="1"/>
  <c r="AO352" i="1"/>
  <c r="AR352" i="1"/>
  <c r="BI352" i="1" l="1"/>
  <c r="BE352" i="1" s="1"/>
  <c r="BH352" i="1"/>
  <c r="BB352" i="1" s="1"/>
  <c r="BG352" i="1"/>
  <c r="AY352" i="1" s="1"/>
  <c r="BA352" i="1" l="1"/>
  <c r="AU352" i="1"/>
  <c r="AR353" i="1" s="1"/>
  <c r="AX352" i="1"/>
  <c r="BD352" i="1"/>
  <c r="AO353" i="1"/>
  <c r="AT352" i="1" l="1"/>
  <c r="AN353" i="1"/>
  <c r="AQ353" i="1"/>
  <c r="BH353" i="1" l="1"/>
  <c r="BB353" i="1" s="1"/>
  <c r="BG353" i="1"/>
  <c r="AY353" i="1" s="1"/>
  <c r="BI353" i="1"/>
  <c r="BE353" i="1" s="1"/>
  <c r="AX353" i="1" l="1"/>
  <c r="BA353" i="1"/>
  <c r="BD353" i="1"/>
  <c r="AU353" i="1"/>
  <c r="AR354" i="1" s="1"/>
  <c r="AO354" i="1"/>
  <c r="AT353" i="1" l="1"/>
  <c r="AQ354" i="1"/>
  <c r="AN354" i="1"/>
  <c r="BI354" i="1"/>
  <c r="BE354" i="1" s="1"/>
  <c r="BH354" i="1"/>
  <c r="BB354" i="1" s="1"/>
  <c r="BG354" i="1"/>
  <c r="AY354" i="1" s="1"/>
  <c r="BD354" i="1"/>
  <c r="AU354" i="1" l="1"/>
  <c r="AO355" i="1" s="1"/>
  <c r="AX354" i="1"/>
  <c r="BA354" i="1"/>
  <c r="AR355" i="1" l="1"/>
  <c r="AT354" i="1"/>
  <c r="AQ355" i="1"/>
  <c r="AN355" i="1"/>
  <c r="BI355" i="1" l="1"/>
  <c r="BE355" i="1" s="1"/>
  <c r="BG355" i="1"/>
  <c r="AY355" i="1" s="1"/>
  <c r="BH355" i="1"/>
  <c r="BB355" i="1" s="1"/>
  <c r="AX355" i="1"/>
  <c r="BD355" i="1" l="1"/>
  <c r="BA355" i="1"/>
  <c r="AT355" i="1" s="1"/>
  <c r="AU355" i="1"/>
  <c r="AR356" i="1" s="1"/>
  <c r="AO356" i="1" l="1"/>
  <c r="AN356" i="1"/>
  <c r="AQ356" i="1"/>
  <c r="BH356" i="1"/>
  <c r="BA356" i="1" s="1"/>
  <c r="BI356" i="1"/>
  <c r="BD356" i="1" s="1"/>
  <c r="BG356" i="1"/>
  <c r="AX356" i="1" s="1"/>
  <c r="AT356" i="1" l="1"/>
  <c r="AN357" i="1" s="1"/>
  <c r="AY356" i="1"/>
  <c r="BB356" i="1"/>
  <c r="BE356" i="1"/>
  <c r="AQ357" i="1" l="1"/>
  <c r="AU356" i="1"/>
  <c r="AO357" i="1" l="1"/>
  <c r="AR357" i="1"/>
  <c r="BH357" i="1" l="1"/>
  <c r="BA357" i="1" s="1"/>
  <c r="BG357" i="1"/>
  <c r="AX357" i="1" s="1"/>
  <c r="BI357" i="1"/>
  <c r="BD357" i="1" s="1"/>
  <c r="AT357" i="1" l="1"/>
  <c r="BE357" i="1"/>
  <c r="AY357" i="1"/>
  <c r="BB357" i="1"/>
  <c r="AU357" i="1" l="1"/>
  <c r="AQ358" i="1"/>
  <c r="AN358" i="1"/>
  <c r="AR358" i="1" l="1"/>
  <c r="AO358" i="1"/>
  <c r="BH358" i="1" l="1"/>
  <c r="BA358" i="1" s="1"/>
  <c r="BI358" i="1"/>
  <c r="BD358" i="1" s="1"/>
  <c r="BG358" i="1"/>
  <c r="AX358" i="1" s="1"/>
  <c r="AT358" i="1" l="1"/>
  <c r="AQ359" i="1"/>
  <c r="AN359" i="1"/>
  <c r="AY358" i="1"/>
  <c r="BE358" i="1"/>
  <c r="BB358" i="1"/>
  <c r="AU358" i="1" l="1"/>
  <c r="AO359" i="1" l="1"/>
  <c r="AR359" i="1"/>
  <c r="BG359" i="1" l="1"/>
  <c r="AX359" i="1" s="1"/>
  <c r="BI359" i="1"/>
  <c r="BD359" i="1" s="1"/>
  <c r="BH359" i="1"/>
  <c r="BA359" i="1" s="1"/>
  <c r="AT359" i="1" l="1"/>
  <c r="AY359" i="1"/>
  <c r="BE359" i="1"/>
  <c r="BB359" i="1"/>
  <c r="AU359" i="1" l="1"/>
  <c r="AN360" i="1"/>
  <c r="AQ360" i="1"/>
  <c r="AO360" i="1" l="1"/>
  <c r="AR360" i="1"/>
  <c r="BG360" i="1" l="1"/>
  <c r="BI360" i="1"/>
  <c r="BH360" i="1"/>
  <c r="BB360" i="1" l="1"/>
  <c r="BA360" i="1"/>
  <c r="BE360" i="1"/>
  <c r="BD360" i="1"/>
  <c r="AY360" i="1"/>
  <c r="AU360" i="1" s="1"/>
  <c r="AX360" i="1"/>
  <c r="AO361" i="1" l="1"/>
  <c r="AR361" i="1"/>
  <c r="AT360" i="1"/>
  <c r="AQ361" i="1" l="1"/>
  <c r="AN361" i="1"/>
  <c r="BG361" i="1" l="1"/>
  <c r="AY361" i="1" s="1"/>
  <c r="BI361" i="1"/>
  <c r="BE361" i="1" s="1"/>
  <c r="AX361" i="1"/>
  <c r="BH361" i="1"/>
  <c r="BA361" i="1" l="1"/>
  <c r="BB361" i="1"/>
  <c r="AU361" i="1" s="1"/>
  <c r="BD361" i="1"/>
  <c r="AT361" i="1" l="1"/>
  <c r="AN362" i="1" s="1"/>
  <c r="AR362" i="1"/>
  <c r="AO362" i="1"/>
  <c r="AQ362" i="1" l="1"/>
  <c r="BH362" i="1"/>
  <c r="BA362" i="1" s="1"/>
  <c r="BG362" i="1"/>
  <c r="AX362" i="1" s="1"/>
  <c r="BI362" i="1"/>
  <c r="BD362" i="1" s="1"/>
  <c r="AT362" i="1" l="1"/>
  <c r="AY362" i="1"/>
  <c r="BE362" i="1"/>
  <c r="BB362" i="1"/>
  <c r="AU362" i="1" l="1"/>
  <c r="AQ363" i="1"/>
  <c r="AN363" i="1"/>
  <c r="AO363" i="1" l="1"/>
  <c r="AR363" i="1"/>
  <c r="BI363" i="1" l="1"/>
  <c r="BD363" i="1" s="1"/>
  <c r="BG363" i="1"/>
  <c r="AX363" i="1" s="1"/>
  <c r="BH363" i="1"/>
  <c r="BA363" i="1" s="1"/>
  <c r="AT363" i="1" l="1"/>
  <c r="BB363" i="1"/>
  <c r="BE363" i="1"/>
  <c r="AY363" i="1"/>
  <c r="AU363" i="1" l="1"/>
  <c r="AO364" i="1"/>
  <c r="AR364" i="1"/>
  <c r="AN364" i="1"/>
  <c r="AQ364" i="1"/>
  <c r="BG364" i="1" l="1"/>
  <c r="AY364" i="1" s="1"/>
  <c r="BI364" i="1"/>
  <c r="BE364" i="1" s="1"/>
  <c r="AX364" i="1"/>
  <c r="BH364" i="1"/>
  <c r="BB364" i="1" s="1"/>
  <c r="BD364" i="1"/>
  <c r="BA364" i="1" l="1"/>
  <c r="AT364" i="1" s="1"/>
  <c r="AQ365" i="1" s="1"/>
  <c r="AU364" i="1"/>
  <c r="AN365" i="1" l="1"/>
  <c r="AR365" i="1"/>
  <c r="AO365" i="1"/>
  <c r="BG365" i="1" s="1"/>
  <c r="BH365" i="1"/>
  <c r="BA365" i="1" s="1"/>
  <c r="BI365" i="1"/>
  <c r="BD365" i="1" s="1"/>
  <c r="AY365" i="1" l="1"/>
  <c r="AX365" i="1"/>
  <c r="AT365" i="1" s="1"/>
  <c r="BE365" i="1"/>
  <c r="BB365" i="1"/>
  <c r="AU365" i="1" l="1"/>
  <c r="AO366" i="1" s="1"/>
  <c r="AR366" i="1"/>
  <c r="AQ366" i="1"/>
  <c r="AN366" i="1"/>
  <c r="BI366" i="1" l="1"/>
  <c r="BG366" i="1"/>
  <c r="AY366" i="1" s="1"/>
  <c r="BH366" i="1"/>
  <c r="AX366" i="1" l="1"/>
  <c r="BA366" i="1"/>
  <c r="BB366" i="1"/>
  <c r="BD366" i="1"/>
  <c r="BE366" i="1"/>
  <c r="AU366" i="1" s="1"/>
  <c r="AT366" i="1" l="1"/>
  <c r="AQ367" i="1" s="1"/>
  <c r="AR367" i="1"/>
  <c r="AO367" i="1"/>
  <c r="AN367" i="1"/>
  <c r="BH367" i="1" l="1"/>
  <c r="BA367" i="1" s="1"/>
  <c r="BI367" i="1"/>
  <c r="BD367" i="1" s="1"/>
  <c r="BG367" i="1"/>
  <c r="AX367" i="1" s="1"/>
  <c r="BE367" i="1" l="1"/>
  <c r="AY367" i="1"/>
  <c r="BB367" i="1"/>
  <c r="AT367" i="1"/>
  <c r="AQ368" i="1" s="1"/>
  <c r="AU367" i="1" l="1"/>
  <c r="AN368" i="1"/>
  <c r="AO368" i="1"/>
  <c r="BI368" i="1" s="1"/>
  <c r="BE368" i="1" s="1"/>
  <c r="AR368" i="1"/>
  <c r="BG368" i="1" l="1"/>
  <c r="AX368" i="1" s="1"/>
  <c r="BH368" i="1"/>
  <c r="BB368" i="1" s="1"/>
  <c r="BD368" i="1"/>
  <c r="AY368" i="1"/>
  <c r="BA368" i="1" l="1"/>
  <c r="AU368" i="1"/>
  <c r="AR369" i="1" s="1"/>
  <c r="AT368" i="1"/>
  <c r="AO369" i="1" l="1"/>
  <c r="AN369" i="1"/>
  <c r="AQ369" i="1"/>
  <c r="BI369" i="1" l="1"/>
  <c r="BE369" i="1" s="1"/>
  <c r="BG369" i="1"/>
  <c r="AY369" i="1" s="1"/>
  <c r="BD369" i="1"/>
  <c r="BH369" i="1"/>
  <c r="BB369" i="1" s="1"/>
  <c r="AX369" i="1" l="1"/>
  <c r="BA369" i="1"/>
  <c r="AT369" i="1" s="1"/>
  <c r="AU369" i="1"/>
  <c r="AQ370" i="1" l="1"/>
  <c r="AN370" i="1"/>
  <c r="AR370" i="1"/>
  <c r="AO370" i="1"/>
  <c r="BI370" i="1" l="1"/>
  <c r="BE370" i="1" s="1"/>
  <c r="BG370" i="1"/>
  <c r="AY370" i="1" s="1"/>
  <c r="BH370" i="1"/>
  <c r="BB370" i="1" s="1"/>
  <c r="BD370" i="1"/>
  <c r="AX370" i="1" l="1"/>
  <c r="AU370" i="1"/>
  <c r="BA370" i="1"/>
  <c r="AT370" i="1" l="1"/>
  <c r="AN371" i="1"/>
  <c r="AQ371" i="1"/>
  <c r="AO371" i="1"/>
  <c r="AR371" i="1"/>
  <c r="BG371" i="1" l="1"/>
  <c r="AY371" i="1" s="1"/>
  <c r="BH371" i="1"/>
  <c r="BB371" i="1" s="1"/>
  <c r="BI371" i="1"/>
  <c r="BE371" i="1" s="1"/>
  <c r="AX371" i="1" l="1"/>
  <c r="BA371" i="1"/>
  <c r="BD371" i="1"/>
  <c r="AU371" i="1"/>
  <c r="AT371" i="1" l="1"/>
  <c r="AN372" i="1" s="1"/>
  <c r="AR372" i="1"/>
  <c r="AO372" i="1"/>
  <c r="AQ372" i="1" l="1"/>
  <c r="BG372" i="1"/>
  <c r="AX372" i="1" s="1"/>
  <c r="BI372" i="1"/>
  <c r="BH372" i="1"/>
  <c r="BA372" i="1" s="1"/>
  <c r="BD372" i="1"/>
  <c r="BE372" i="1"/>
  <c r="AY372" i="1" l="1"/>
  <c r="BB372" i="1"/>
  <c r="AU372" i="1" s="1"/>
  <c r="AT372" i="1"/>
  <c r="AQ373" i="1" l="1"/>
  <c r="AN373" i="1"/>
  <c r="AO373" i="1"/>
  <c r="AR373" i="1"/>
  <c r="BH373" i="1" l="1"/>
  <c r="BB373" i="1" s="1"/>
  <c r="BG373" i="1"/>
  <c r="AY373" i="1" s="1"/>
  <c r="BI373" i="1"/>
  <c r="BE373" i="1" s="1"/>
  <c r="BA373" i="1"/>
  <c r="BD373" i="1" l="1"/>
  <c r="AX373" i="1"/>
  <c r="AT373" i="1" s="1"/>
  <c r="AU373" i="1"/>
  <c r="AR374" i="1" l="1"/>
  <c r="AO374" i="1"/>
  <c r="AN374" i="1"/>
  <c r="AQ374" i="1"/>
  <c r="BG374" i="1" l="1"/>
  <c r="AY374" i="1" s="1"/>
  <c r="BH374" i="1"/>
  <c r="BB374" i="1" s="1"/>
  <c r="BI374" i="1"/>
  <c r="BE374" i="1" s="1"/>
  <c r="AX374" i="1"/>
  <c r="BA374" i="1"/>
  <c r="BD374" i="1" l="1"/>
  <c r="AT374" i="1" s="1"/>
  <c r="AU374" i="1"/>
  <c r="AR375" i="1" l="1"/>
  <c r="AO375" i="1"/>
  <c r="AQ375" i="1"/>
  <c r="AN375" i="1"/>
  <c r="BG375" i="1" l="1"/>
  <c r="BI375" i="1"/>
  <c r="BH375" i="1"/>
  <c r="BA375" i="1" s="1"/>
  <c r="BD375" i="1"/>
  <c r="AX375" i="1"/>
  <c r="BE375" i="1"/>
  <c r="AY375" i="1"/>
  <c r="BB375" i="1" l="1"/>
  <c r="AT375" i="1"/>
  <c r="AU375" i="1"/>
  <c r="AR376" i="1" l="1"/>
  <c r="AO376" i="1"/>
  <c r="AN376" i="1"/>
  <c r="AQ376" i="1"/>
  <c r="BH376" i="1" l="1"/>
  <c r="BB376" i="1" s="1"/>
  <c r="BG376" i="1"/>
  <c r="AY376" i="1" s="1"/>
  <c r="BI376" i="1"/>
  <c r="BE376" i="1" s="1"/>
  <c r="BA376" i="1"/>
  <c r="AU376" i="1" l="1"/>
  <c r="AX376" i="1"/>
  <c r="BD376" i="1"/>
  <c r="AT376" i="1" l="1"/>
  <c r="AQ377" i="1" s="1"/>
  <c r="AO377" i="1"/>
  <c r="AR377" i="1"/>
  <c r="AN377" i="1" l="1"/>
  <c r="BH377" i="1" s="1"/>
  <c r="BB377" i="1" s="1"/>
  <c r="BG377" i="1" l="1"/>
  <c r="AY377" i="1" s="1"/>
  <c r="BI377" i="1"/>
  <c r="BE377" i="1" s="1"/>
  <c r="BA377" i="1"/>
  <c r="BD377" i="1"/>
  <c r="AX377" i="1"/>
  <c r="AU377" i="1" l="1"/>
  <c r="AT377" i="1"/>
  <c r="AN378" i="1" s="1"/>
  <c r="AQ378" i="1"/>
  <c r="AR378" i="1"/>
  <c r="AO378" i="1"/>
  <c r="BI378" i="1" l="1"/>
  <c r="BD378" i="1" s="1"/>
  <c r="BH378" i="1"/>
  <c r="BB378" i="1" s="1"/>
  <c r="BG378" i="1"/>
  <c r="AY378" i="1" s="1"/>
  <c r="BA378" i="1" l="1"/>
  <c r="AX378" i="1"/>
  <c r="BE378" i="1"/>
  <c r="AU378" i="1" s="1"/>
  <c r="AT378" i="1" l="1"/>
  <c r="AQ379" i="1"/>
  <c r="AN379" i="1"/>
  <c r="AR379" i="1"/>
  <c r="AO379" i="1"/>
  <c r="BI379" i="1" s="1"/>
  <c r="BD379" i="1" s="1"/>
  <c r="BH379" i="1" l="1"/>
  <c r="BA379" i="1" s="1"/>
  <c r="BG379" i="1"/>
  <c r="AX379" i="1" s="1"/>
  <c r="BE379" i="1"/>
  <c r="AY379" i="1"/>
  <c r="BB379" i="1" l="1"/>
  <c r="AT379" i="1"/>
  <c r="AU379" i="1"/>
  <c r="AO380" i="1" s="1"/>
  <c r="AQ380" i="1"/>
  <c r="AN380" i="1"/>
  <c r="AR380" i="1" l="1"/>
  <c r="BH380" i="1"/>
  <c r="BG380" i="1"/>
  <c r="BI380" i="1"/>
  <c r="AX380" i="1" l="1"/>
  <c r="AY380" i="1"/>
  <c r="BD380" i="1"/>
  <c r="BE380" i="1"/>
  <c r="BA380" i="1"/>
  <c r="BB380" i="1"/>
  <c r="AU380" i="1" l="1"/>
  <c r="AT380" i="1"/>
  <c r="AQ381" i="1" l="1"/>
  <c r="AN381" i="1"/>
  <c r="AR381" i="1"/>
  <c r="AO381" i="1"/>
  <c r="BG381" i="1" l="1"/>
  <c r="AY381" i="1" s="1"/>
  <c r="BI381" i="1"/>
  <c r="BE381" i="1" s="1"/>
  <c r="BH381" i="1"/>
  <c r="BB381" i="1" s="1"/>
  <c r="AX381" i="1"/>
  <c r="BD381" i="1"/>
  <c r="AU381" i="1" l="1"/>
  <c r="BA381" i="1"/>
  <c r="AT381" i="1" s="1"/>
  <c r="AN382" i="1" l="1"/>
  <c r="AQ382" i="1"/>
  <c r="AO382" i="1"/>
  <c r="AR382" i="1"/>
  <c r="BI382" i="1" l="1"/>
  <c r="BE382" i="1" s="1"/>
  <c r="BG382" i="1"/>
  <c r="AY382" i="1" s="1"/>
  <c r="BH382" i="1"/>
  <c r="BB382" i="1" s="1"/>
  <c r="AX382" i="1"/>
  <c r="BD382" i="1" l="1"/>
  <c r="AU382" i="1"/>
  <c r="AR383" i="1" s="1"/>
  <c r="BA382" i="1"/>
  <c r="AT382" i="1" s="1"/>
  <c r="AO383" i="1" l="1"/>
  <c r="AQ383" i="1"/>
  <c r="AN383" i="1"/>
  <c r="BG383" i="1" l="1"/>
  <c r="AY383" i="1" s="1"/>
  <c r="BI383" i="1"/>
  <c r="BE383" i="1" s="1"/>
  <c r="BH383" i="1"/>
  <c r="BB383" i="1" s="1"/>
  <c r="AX383" i="1"/>
  <c r="BD383" i="1" l="1"/>
  <c r="BA383" i="1"/>
  <c r="AT383" i="1" s="1"/>
  <c r="AU383" i="1"/>
  <c r="AR384" i="1" l="1"/>
  <c r="AO384" i="1"/>
  <c r="AN384" i="1"/>
  <c r="AQ384" i="1"/>
  <c r="BG384" i="1" l="1"/>
  <c r="AY384" i="1" s="1"/>
  <c r="BI384" i="1"/>
  <c r="BE384" i="1" s="1"/>
  <c r="BH384" i="1"/>
  <c r="BA384" i="1" s="1"/>
  <c r="AX384" i="1" l="1"/>
  <c r="BB384" i="1"/>
  <c r="AU384" i="1" s="1"/>
  <c r="BD384" i="1"/>
  <c r="AT384" i="1" s="1"/>
  <c r="AQ385" i="1" l="1"/>
  <c r="AN385" i="1"/>
  <c r="AO385" i="1"/>
  <c r="AR385" i="1"/>
  <c r="BG385" i="1" l="1"/>
  <c r="AX385" i="1" s="1"/>
  <c r="BH385" i="1"/>
  <c r="BA385" i="1" s="1"/>
  <c r="BI385" i="1"/>
  <c r="BD385" i="1" s="1"/>
  <c r="AT385" i="1" l="1"/>
  <c r="AY385" i="1"/>
  <c r="BE385" i="1"/>
  <c r="BB385" i="1"/>
  <c r="AU385" i="1" l="1"/>
  <c r="AQ386" i="1"/>
  <c r="AN386" i="1"/>
  <c r="AR386" i="1" l="1"/>
  <c r="AO386" i="1"/>
  <c r="BG386" i="1" l="1"/>
  <c r="BH386" i="1"/>
  <c r="BI386" i="1"/>
  <c r="BB386" i="1" l="1"/>
  <c r="BA386" i="1"/>
  <c r="BE386" i="1"/>
  <c r="BD386" i="1"/>
  <c r="AY386" i="1"/>
  <c r="AX386" i="1"/>
  <c r="AU386" i="1" l="1"/>
  <c r="AT386" i="1"/>
  <c r="AO387" i="1"/>
  <c r="AR387" i="1"/>
  <c r="AQ387" i="1"/>
  <c r="AN387" i="1"/>
  <c r="BH387" i="1" l="1"/>
  <c r="BB387" i="1" s="1"/>
  <c r="BI387" i="1"/>
  <c r="BE387" i="1" s="1"/>
  <c r="BG387" i="1"/>
  <c r="AY387" i="1" s="1"/>
  <c r="AU387" i="1" l="1"/>
  <c r="AR388" i="1" s="1"/>
  <c r="BD387" i="1"/>
  <c r="AO388" i="1"/>
  <c r="AX387" i="1"/>
  <c r="BA387" i="1"/>
  <c r="AT387" i="1" l="1"/>
  <c r="AN388" i="1"/>
  <c r="AQ388" i="1"/>
  <c r="BI388" i="1" l="1"/>
  <c r="BE388" i="1" s="1"/>
  <c r="BG388" i="1"/>
  <c r="AY388" i="1" s="1"/>
  <c r="BH388" i="1"/>
  <c r="BB388" i="1" s="1"/>
  <c r="BD388" i="1"/>
  <c r="AX388" i="1"/>
  <c r="BA388" i="1" l="1"/>
  <c r="AT388" i="1" s="1"/>
  <c r="AQ389" i="1" s="1"/>
  <c r="AU388" i="1"/>
  <c r="AN389" i="1" l="1"/>
  <c r="AO389" i="1"/>
  <c r="BG389" i="1" s="1"/>
  <c r="AY389" i="1" s="1"/>
  <c r="AR389" i="1"/>
  <c r="BI389" i="1"/>
  <c r="BD389" i="1" s="1"/>
  <c r="BH389" i="1" l="1"/>
  <c r="BB389" i="1" s="1"/>
  <c r="AX389" i="1"/>
  <c r="BA389" i="1"/>
  <c r="BE389" i="1"/>
  <c r="AT389" i="1" l="1"/>
  <c r="AU389" i="1"/>
  <c r="AR390" i="1"/>
  <c r="AO390" i="1"/>
  <c r="AQ390" i="1"/>
  <c r="AN390" i="1"/>
  <c r="BI390" i="1" l="1"/>
  <c r="BE390" i="1" s="1"/>
  <c r="BH390" i="1"/>
  <c r="BB390" i="1" s="1"/>
  <c r="BD390" i="1"/>
  <c r="BG390" i="1"/>
  <c r="AY390" i="1" s="1"/>
  <c r="AU390" i="1" s="1"/>
  <c r="AR391" i="1" s="1"/>
  <c r="BA390" i="1"/>
  <c r="AO391" i="1" l="1"/>
  <c r="AX390" i="1"/>
  <c r="AT390" i="1" s="1"/>
  <c r="AN391" i="1" s="1"/>
  <c r="BG391" i="1" l="1"/>
  <c r="AY391" i="1" s="1"/>
  <c r="AQ391" i="1"/>
  <c r="BH391" i="1"/>
  <c r="BB391" i="1" s="1"/>
  <c r="AX391" i="1"/>
  <c r="BI391" i="1"/>
  <c r="BE391" i="1" s="1"/>
  <c r="AU391" i="1" s="1"/>
  <c r="BA391" i="1"/>
  <c r="BD391" i="1" l="1"/>
  <c r="AT391" i="1" s="1"/>
  <c r="AR392" i="1"/>
  <c r="AO392" i="1"/>
  <c r="AQ392" i="1" l="1"/>
  <c r="AN392" i="1"/>
  <c r="BG392" i="1" s="1"/>
  <c r="BI392" i="1"/>
  <c r="BE392" i="1" s="1"/>
  <c r="BH392" i="1"/>
  <c r="BB392" i="1" s="1"/>
  <c r="BD392" i="1"/>
  <c r="AY392" i="1" l="1"/>
  <c r="AX392" i="1"/>
  <c r="BA392" i="1"/>
  <c r="AU392" i="1"/>
  <c r="AT392" i="1" l="1"/>
  <c r="AQ393" i="1"/>
  <c r="AN393" i="1"/>
  <c r="AO393" i="1"/>
  <c r="BI393" i="1" s="1"/>
  <c r="BE393" i="1" s="1"/>
  <c r="AR393" i="1"/>
  <c r="BH393" i="1" l="1"/>
  <c r="BB393" i="1" s="1"/>
  <c r="BG393" i="1"/>
  <c r="AY393" i="1" s="1"/>
  <c r="AU393" i="1" s="1"/>
  <c r="BD393" i="1"/>
  <c r="AX393" i="1"/>
  <c r="BA393" i="1"/>
  <c r="AO394" i="1" l="1"/>
  <c r="AR394" i="1"/>
  <c r="AT393" i="1"/>
  <c r="AQ394" i="1" l="1"/>
  <c r="AN394" i="1"/>
  <c r="BH394" i="1" l="1"/>
  <c r="BB394" i="1" s="1"/>
  <c r="BI394" i="1"/>
  <c r="BE394" i="1" s="1"/>
  <c r="BG394" i="1"/>
  <c r="AY394" i="1" s="1"/>
  <c r="BA394" i="1"/>
  <c r="AU394" i="1" l="1"/>
  <c r="AX394" i="1"/>
  <c r="BD394" i="1"/>
  <c r="AT394" i="1" s="1"/>
  <c r="AN395" i="1" l="1"/>
  <c r="AQ395" i="1"/>
  <c r="AR395" i="1"/>
  <c r="AO395" i="1"/>
  <c r="BI395" i="1" l="1"/>
  <c r="BE395" i="1" s="1"/>
  <c r="BD395" i="1"/>
  <c r="BH395" i="1"/>
  <c r="BB395" i="1" s="1"/>
  <c r="BG395" i="1"/>
  <c r="AY395" i="1" s="1"/>
  <c r="AU395" i="1" l="1"/>
  <c r="AR396" i="1" s="1"/>
  <c r="BA395" i="1"/>
  <c r="AX395" i="1"/>
  <c r="AO396" i="1"/>
  <c r="AT395" i="1" l="1"/>
  <c r="AQ396" i="1"/>
  <c r="AN396" i="1"/>
  <c r="BH396" i="1" l="1"/>
  <c r="BB396" i="1" s="1"/>
  <c r="BG396" i="1"/>
  <c r="AY396" i="1" s="1"/>
  <c r="BI396" i="1"/>
  <c r="BE396" i="1" s="1"/>
  <c r="BA396" i="1" l="1"/>
  <c r="AX396" i="1"/>
  <c r="AU396" i="1"/>
  <c r="AR397" i="1" s="1"/>
  <c r="AO397" i="1"/>
  <c r="BD396" i="1"/>
  <c r="AT396" i="1" s="1"/>
  <c r="AQ397" i="1" l="1"/>
  <c r="AN397" i="1"/>
  <c r="BH397" i="1" l="1"/>
  <c r="BB397" i="1" s="1"/>
  <c r="BG397" i="1"/>
  <c r="AY397" i="1" s="1"/>
  <c r="BI397" i="1"/>
  <c r="BE397" i="1" s="1"/>
  <c r="BA397" i="1" l="1"/>
  <c r="AX397" i="1"/>
  <c r="AU397" i="1"/>
  <c r="BD397" i="1"/>
  <c r="AT397" i="1" l="1"/>
  <c r="AN398" i="1"/>
  <c r="AQ398" i="1"/>
  <c r="AO398" i="1"/>
  <c r="AR398" i="1"/>
  <c r="BI398" i="1" l="1"/>
  <c r="BE398" i="1" s="1"/>
  <c r="BH398" i="1"/>
  <c r="BB398" i="1" s="1"/>
  <c r="BG398" i="1"/>
  <c r="AY398" i="1" s="1"/>
  <c r="BA398" i="1" l="1"/>
  <c r="BD398" i="1"/>
  <c r="AU398" i="1"/>
  <c r="AX398" i="1"/>
  <c r="AT398" i="1" l="1"/>
  <c r="AQ399" i="1"/>
  <c r="AN399" i="1"/>
  <c r="AR399" i="1"/>
  <c r="AO399" i="1"/>
  <c r="BH399" i="1" l="1"/>
  <c r="BB399" i="1" s="1"/>
  <c r="BI399" i="1"/>
  <c r="BE399" i="1" s="1"/>
  <c r="BG399" i="1"/>
  <c r="AY399" i="1" s="1"/>
  <c r="BA399" i="1" l="1"/>
  <c r="AU399" i="1"/>
  <c r="AO400" i="1" s="1"/>
  <c r="BD399" i="1"/>
  <c r="AX399" i="1"/>
  <c r="AR400" i="1"/>
  <c r="AT399" i="1" l="1"/>
  <c r="AQ400" i="1" s="1"/>
  <c r="AN400" i="1"/>
  <c r="BH400" i="1" l="1"/>
  <c r="BB400" i="1" s="1"/>
  <c r="BG400" i="1"/>
  <c r="AY400" i="1" s="1"/>
  <c r="BI400" i="1"/>
  <c r="BE400" i="1" s="1"/>
  <c r="BA400" i="1" l="1"/>
  <c r="BD400" i="1"/>
  <c r="AU400" i="1"/>
  <c r="AX400" i="1"/>
  <c r="AT400" i="1" l="1"/>
  <c r="AQ401" i="1"/>
  <c r="AN401" i="1"/>
  <c r="AR401" i="1"/>
  <c r="AO401" i="1"/>
  <c r="BH401" i="1" l="1"/>
  <c r="BB401" i="1" s="1"/>
  <c r="BG401" i="1"/>
  <c r="AY401" i="1" s="1"/>
  <c r="BA401" i="1"/>
  <c r="BI401" i="1"/>
  <c r="BE401" i="1" s="1"/>
  <c r="AX401" i="1" l="1"/>
  <c r="BD401" i="1"/>
  <c r="AU401" i="1"/>
  <c r="AT401" i="1" l="1"/>
  <c r="AN402" i="1" s="1"/>
  <c r="AQ402" i="1"/>
  <c r="AR402" i="1"/>
  <c r="AO402" i="1"/>
  <c r="BI402" i="1" l="1"/>
  <c r="BE402" i="1" s="1"/>
  <c r="BG402" i="1"/>
  <c r="AY402" i="1" s="1"/>
  <c r="BH402" i="1"/>
  <c r="BB402" i="1" s="1"/>
  <c r="BD402" i="1" l="1"/>
  <c r="AX402" i="1"/>
  <c r="AU402" i="1"/>
  <c r="BA402" i="1"/>
  <c r="AT402" i="1" s="1"/>
  <c r="AN403" i="1" l="1"/>
  <c r="AQ403" i="1"/>
  <c r="AO403" i="1"/>
  <c r="AR403" i="1"/>
  <c r="BG403" i="1" l="1"/>
  <c r="AY403" i="1" s="1"/>
  <c r="BI403" i="1"/>
  <c r="BE403" i="1" s="1"/>
  <c r="BH403" i="1"/>
  <c r="BB403" i="1" s="1"/>
  <c r="BD403" i="1" l="1"/>
  <c r="BA403" i="1"/>
  <c r="AU403" i="1"/>
  <c r="AX403" i="1"/>
  <c r="AT403" i="1" l="1"/>
  <c r="AQ404" i="1" s="1"/>
  <c r="AR404" i="1"/>
  <c r="AO404" i="1"/>
  <c r="AN404" i="1" l="1"/>
  <c r="BH404" i="1"/>
  <c r="BB404" i="1" s="1"/>
  <c r="BG404" i="1"/>
  <c r="AY404" i="1" s="1"/>
  <c r="BI404" i="1"/>
  <c r="BE404" i="1" s="1"/>
  <c r="BA404" i="1" l="1"/>
  <c r="BD404" i="1"/>
  <c r="AX404" i="1"/>
  <c r="AU404" i="1"/>
  <c r="AT404" i="1" l="1"/>
  <c r="AQ405" i="1" s="1"/>
  <c r="AO405" i="1"/>
  <c r="AR405" i="1"/>
  <c r="AN405" i="1" l="1"/>
  <c r="BH405" i="1"/>
  <c r="BB405" i="1" s="1"/>
  <c r="BG405" i="1"/>
  <c r="AY405" i="1" s="1"/>
  <c r="BI405" i="1"/>
  <c r="BD405" i="1" s="1"/>
  <c r="AX405" i="1" l="1"/>
  <c r="BA405" i="1"/>
  <c r="AT405" i="1" s="1"/>
  <c r="BE405" i="1"/>
  <c r="AU405" i="1" s="1"/>
  <c r="AR406" i="1" s="1"/>
  <c r="AN406" i="1" l="1"/>
  <c r="AQ406" i="1"/>
  <c r="AO406" i="1"/>
  <c r="BG406" i="1" s="1"/>
  <c r="AY406" i="1" s="1"/>
  <c r="BH406" i="1"/>
  <c r="BI406" i="1"/>
  <c r="AX406" i="1" l="1"/>
  <c r="BE406" i="1"/>
  <c r="BD406" i="1"/>
  <c r="BB406" i="1"/>
  <c r="AU406" i="1" s="1"/>
  <c r="BA406" i="1"/>
  <c r="AT406" i="1" l="1"/>
  <c r="AQ407" i="1" s="1"/>
  <c r="AR407" i="1"/>
  <c r="AO407" i="1"/>
  <c r="AN407" i="1" l="1"/>
  <c r="BG407" i="1"/>
  <c r="AY407" i="1" s="1"/>
  <c r="BI407" i="1"/>
  <c r="BE407" i="1" s="1"/>
  <c r="BH407" i="1"/>
  <c r="BB407" i="1" s="1"/>
  <c r="BD407" i="1"/>
  <c r="AX407" i="1" l="1"/>
  <c r="BA407" i="1"/>
  <c r="AU407" i="1"/>
  <c r="AT407" i="1" l="1"/>
  <c r="AO408" i="1"/>
  <c r="AR408" i="1"/>
  <c r="AN408" i="1"/>
  <c r="AQ408" i="1"/>
  <c r="BH408" i="1" l="1"/>
  <c r="BA408" i="1" s="1"/>
  <c r="BI408" i="1"/>
  <c r="BD408" i="1" s="1"/>
  <c r="BG408" i="1"/>
  <c r="AX408" i="1" s="1"/>
  <c r="BB408" i="1"/>
  <c r="BE408" i="1"/>
  <c r="AY408" i="1" l="1"/>
  <c r="AU408" i="1" s="1"/>
  <c r="AT408" i="1"/>
  <c r="AQ409" i="1" l="1"/>
  <c r="AN409" i="1"/>
  <c r="AO409" i="1"/>
  <c r="AR409" i="1"/>
  <c r="BH409" i="1" l="1"/>
  <c r="BA409" i="1" s="1"/>
  <c r="BG409" i="1"/>
  <c r="AX409" i="1" s="1"/>
  <c r="BI409" i="1"/>
  <c r="BD409" i="1" s="1"/>
  <c r="AT409" i="1" l="1"/>
  <c r="AY409" i="1"/>
  <c r="BE409" i="1"/>
  <c r="BB409" i="1"/>
  <c r="AU409" i="1" l="1"/>
  <c r="AQ410" i="1"/>
  <c r="AN410" i="1"/>
  <c r="AR410" i="1" l="1"/>
  <c r="AO410" i="1"/>
  <c r="BI410" i="1" l="1"/>
  <c r="BD410" i="1" s="1"/>
  <c r="BG410" i="1"/>
  <c r="AX410" i="1" s="1"/>
  <c r="BH410" i="1"/>
  <c r="BA410" i="1" s="1"/>
  <c r="AT410" i="1" l="1"/>
  <c r="BB410" i="1"/>
  <c r="BE410" i="1"/>
  <c r="AY410" i="1"/>
  <c r="AU410" i="1" l="1"/>
  <c r="AR411" i="1"/>
  <c r="AO411" i="1"/>
  <c r="AQ411" i="1"/>
  <c r="AN411" i="1"/>
  <c r="BI411" i="1" l="1"/>
  <c r="BD411" i="1" s="1"/>
  <c r="BG411" i="1"/>
  <c r="AX411" i="1" s="1"/>
  <c r="BH411" i="1"/>
  <c r="BA411" i="1" s="1"/>
  <c r="BE411" i="1"/>
  <c r="AY411" i="1" l="1"/>
  <c r="BB411" i="1"/>
  <c r="AT411" i="1"/>
  <c r="AU411" i="1" l="1"/>
  <c r="AR412" i="1" s="1"/>
  <c r="AO412" i="1"/>
  <c r="AQ412" i="1"/>
  <c r="AN412" i="1"/>
  <c r="BH412" i="1" s="1"/>
  <c r="BA412" i="1" s="1"/>
  <c r="BI412" i="1" l="1"/>
  <c r="BD412" i="1" s="1"/>
  <c r="BG412" i="1"/>
  <c r="AX412" i="1" s="1"/>
  <c r="BE412" i="1"/>
  <c r="AY412" i="1"/>
  <c r="BB412" i="1"/>
  <c r="AT412" i="1" l="1"/>
  <c r="AQ413" i="1" s="1"/>
  <c r="AN413" i="1"/>
  <c r="AU412" i="1"/>
  <c r="AR413" i="1" l="1"/>
  <c r="AO413" i="1"/>
  <c r="BG413" i="1" l="1"/>
  <c r="AX413" i="1" s="1"/>
  <c r="BI413" i="1"/>
  <c r="BD413" i="1" s="1"/>
  <c r="BH413" i="1"/>
  <c r="BA413" i="1" s="1"/>
  <c r="AT413" i="1" l="1"/>
  <c r="AY413" i="1"/>
  <c r="BB413" i="1"/>
  <c r="BE413" i="1"/>
  <c r="AU413" i="1" l="1"/>
  <c r="AQ414" i="1"/>
  <c r="AN414" i="1"/>
  <c r="AO414" i="1" l="1"/>
  <c r="AR414" i="1"/>
  <c r="BG414" i="1" l="1"/>
  <c r="BI414" i="1"/>
  <c r="BH414" i="1"/>
  <c r="BE414" i="1" l="1"/>
  <c r="BD414" i="1"/>
  <c r="BB414" i="1"/>
  <c r="BA414" i="1"/>
  <c r="AY414" i="1"/>
  <c r="AX414" i="1"/>
  <c r="AU414" i="1" l="1"/>
  <c r="AT414" i="1"/>
  <c r="AO415" i="1"/>
  <c r="AR415" i="1"/>
  <c r="AN415" i="1"/>
  <c r="AQ415" i="1"/>
  <c r="BG415" i="1" l="1"/>
  <c r="AY415" i="1" s="1"/>
  <c r="BH415" i="1"/>
  <c r="BB415" i="1" s="1"/>
  <c r="AX415" i="1"/>
  <c r="BI415" i="1"/>
  <c r="BE415" i="1" s="1"/>
  <c r="BA415" i="1" l="1"/>
  <c r="BD415" i="1"/>
  <c r="AT415" i="1" s="1"/>
  <c r="AU415" i="1"/>
  <c r="AO416" i="1" l="1"/>
  <c r="AR416" i="1"/>
  <c r="AQ416" i="1"/>
  <c r="AN416" i="1"/>
  <c r="BG416" i="1" l="1"/>
  <c r="AY416" i="1" s="1"/>
  <c r="BI416" i="1"/>
  <c r="BE416" i="1" s="1"/>
  <c r="BH416" i="1"/>
  <c r="BB416" i="1" s="1"/>
  <c r="AX416" i="1" l="1"/>
  <c r="BA416" i="1"/>
  <c r="BD416" i="1"/>
  <c r="AU416" i="1"/>
  <c r="AT416" i="1" l="1"/>
  <c r="AN417" i="1" s="1"/>
  <c r="AO417" i="1"/>
  <c r="AR417" i="1"/>
  <c r="AQ417" i="1" l="1"/>
  <c r="BG417" i="1"/>
  <c r="AY417" i="1" s="1"/>
  <c r="BI417" i="1"/>
  <c r="BE417" i="1" s="1"/>
  <c r="BH417" i="1"/>
  <c r="BB417" i="1" s="1"/>
  <c r="AX417" i="1" l="1"/>
  <c r="BD417" i="1"/>
  <c r="BA417" i="1"/>
  <c r="AU417" i="1"/>
  <c r="AR418" i="1" l="1"/>
  <c r="AO418" i="1"/>
  <c r="AT417" i="1"/>
  <c r="AN418" i="1" l="1"/>
  <c r="AQ418" i="1"/>
  <c r="BH418" i="1" l="1"/>
  <c r="BB418" i="1" s="1"/>
  <c r="BI418" i="1"/>
  <c r="BE418" i="1" s="1"/>
  <c r="BG418" i="1"/>
  <c r="AY418" i="1" s="1"/>
  <c r="BA418" i="1"/>
  <c r="AX418" i="1" l="1"/>
  <c r="BD418" i="1"/>
  <c r="AT418" i="1" s="1"/>
  <c r="AQ419" i="1" s="1"/>
  <c r="AU418" i="1"/>
  <c r="AN419" i="1" l="1"/>
  <c r="AO419" i="1"/>
  <c r="AR419" i="1"/>
  <c r="BG419" i="1"/>
  <c r="AY419" i="1" s="1"/>
  <c r="BH419" i="1"/>
  <c r="BB419" i="1" s="1"/>
  <c r="BI419" i="1"/>
  <c r="BE419" i="1" s="1"/>
  <c r="AX419" i="1"/>
  <c r="BA419" i="1" l="1"/>
  <c r="BD419" i="1"/>
  <c r="AT419" i="1" s="1"/>
  <c r="AU419" i="1"/>
  <c r="AR420" i="1" s="1"/>
  <c r="AO420" i="1" l="1"/>
  <c r="AQ420" i="1"/>
  <c r="AN420" i="1"/>
  <c r="BH420" i="1" l="1"/>
  <c r="BB420" i="1" s="1"/>
  <c r="BI420" i="1"/>
  <c r="BG420" i="1"/>
  <c r="AY420" i="1" s="1"/>
  <c r="BA420" i="1" l="1"/>
  <c r="AX420" i="1"/>
  <c r="BD420" i="1"/>
  <c r="BE420" i="1"/>
  <c r="AU420" i="1" s="1"/>
  <c r="AT420" i="1" l="1"/>
  <c r="AQ421" i="1"/>
  <c r="AN421" i="1"/>
  <c r="AO421" i="1"/>
  <c r="AR421" i="1"/>
  <c r="BH421" i="1" l="1"/>
  <c r="BB421" i="1" s="1"/>
  <c r="BI421" i="1"/>
  <c r="BE421" i="1" s="1"/>
  <c r="BG421" i="1"/>
  <c r="AY421" i="1" s="1"/>
  <c r="BA421" i="1" l="1"/>
  <c r="AU421" i="1"/>
  <c r="AR422" i="1" s="1"/>
  <c r="AO422" i="1"/>
  <c r="AX421" i="1"/>
  <c r="BD421" i="1"/>
  <c r="AT421" i="1" l="1"/>
  <c r="AQ422" i="1" l="1"/>
  <c r="AN422" i="1"/>
  <c r="BI422" i="1" l="1"/>
  <c r="BE422" i="1" s="1"/>
  <c r="BH422" i="1"/>
  <c r="BB422" i="1" s="1"/>
  <c r="BG422" i="1"/>
  <c r="AY422" i="1" s="1"/>
  <c r="BD422" i="1"/>
  <c r="AX422" i="1" l="1"/>
  <c r="AU422" i="1"/>
  <c r="BA422" i="1"/>
  <c r="AT422" i="1" l="1"/>
  <c r="AN423" i="1"/>
  <c r="AQ423" i="1"/>
  <c r="AO423" i="1"/>
  <c r="AR423" i="1"/>
  <c r="BH423" i="1" l="1"/>
  <c r="BB423" i="1" s="1"/>
  <c r="BI423" i="1"/>
  <c r="BE423" i="1" s="1"/>
  <c r="BG423" i="1"/>
  <c r="AY423" i="1" s="1"/>
  <c r="BD423" i="1" l="1"/>
  <c r="BA423" i="1"/>
  <c r="AU423" i="1"/>
  <c r="AR424" i="1" s="1"/>
  <c r="AX423" i="1"/>
  <c r="AT423" i="1" s="1"/>
  <c r="AO424" i="1"/>
  <c r="AQ424" i="1" l="1"/>
  <c r="AN424" i="1"/>
  <c r="BG424" i="1" l="1"/>
  <c r="BI424" i="1"/>
  <c r="BH424" i="1"/>
  <c r="BA424" i="1" l="1"/>
  <c r="BB424" i="1"/>
  <c r="BD424" i="1"/>
  <c r="BE424" i="1"/>
  <c r="AX424" i="1"/>
  <c r="AT424" i="1" s="1"/>
  <c r="AY424" i="1"/>
  <c r="AU424" i="1" s="1"/>
  <c r="AR425" i="1" l="1"/>
  <c r="AO425" i="1"/>
  <c r="AN425" i="1"/>
  <c r="AQ425" i="1"/>
  <c r="BG425" i="1" l="1"/>
  <c r="AX425" i="1" s="1"/>
  <c r="BH425" i="1"/>
  <c r="BA425" i="1" s="1"/>
  <c r="BI425" i="1"/>
  <c r="BD425" i="1" s="1"/>
  <c r="AY425" i="1"/>
  <c r="BE425" i="1"/>
  <c r="BB425" i="1" l="1"/>
  <c r="AU425" i="1" s="1"/>
  <c r="AT425" i="1"/>
  <c r="AQ426" i="1" l="1"/>
  <c r="AN426" i="1"/>
  <c r="AO426" i="1"/>
  <c r="AR426" i="1"/>
  <c r="BH426" i="1" l="1"/>
  <c r="BB426" i="1" s="1"/>
  <c r="BI426" i="1"/>
  <c r="BE426" i="1" s="1"/>
  <c r="BG426" i="1"/>
  <c r="AY426" i="1" s="1"/>
  <c r="BA426" i="1"/>
  <c r="BD426" i="1" l="1"/>
  <c r="AU426" i="1"/>
  <c r="AR427" i="1" s="1"/>
  <c r="AX426" i="1"/>
  <c r="AT426" i="1" l="1"/>
  <c r="AQ427" i="1" s="1"/>
  <c r="AO427" i="1"/>
  <c r="AN427" i="1" l="1"/>
  <c r="BG427" i="1"/>
  <c r="AY427" i="1" s="1"/>
  <c r="BH427" i="1"/>
  <c r="BB427" i="1" s="1"/>
  <c r="AX427" i="1"/>
  <c r="BI427" i="1"/>
  <c r="BE427" i="1" s="1"/>
  <c r="BA427" i="1" l="1"/>
  <c r="BD427" i="1"/>
  <c r="AT427" i="1" s="1"/>
  <c r="AU427" i="1"/>
  <c r="AO428" i="1" l="1"/>
  <c r="AR428" i="1"/>
  <c r="AQ428" i="1"/>
  <c r="AN428" i="1"/>
  <c r="BI428" i="1" l="1"/>
  <c r="BE428" i="1" s="1"/>
  <c r="BG428" i="1"/>
  <c r="AY428" i="1" s="1"/>
  <c r="BD428" i="1"/>
  <c r="BH428" i="1"/>
  <c r="BB428" i="1" s="1"/>
  <c r="AX428" i="1" l="1"/>
  <c r="AU428" i="1"/>
  <c r="BA428" i="1"/>
  <c r="AT428" i="1" s="1"/>
  <c r="AQ429" i="1" l="1"/>
  <c r="AN429" i="1"/>
  <c r="AO429" i="1"/>
  <c r="AR429" i="1"/>
  <c r="BG429" i="1" l="1"/>
  <c r="AY429" i="1" s="1"/>
  <c r="BH429" i="1"/>
  <c r="BB429" i="1" s="1"/>
  <c r="AX429" i="1"/>
  <c r="BI429" i="1"/>
  <c r="BE429" i="1" s="1"/>
  <c r="BA429" i="1"/>
  <c r="BD429" i="1" l="1"/>
  <c r="AT429" i="1" s="1"/>
  <c r="AU429" i="1"/>
  <c r="AQ430" i="1" l="1"/>
  <c r="AN430" i="1"/>
  <c r="AR430" i="1"/>
  <c r="AO430" i="1"/>
  <c r="BH430" i="1" l="1"/>
  <c r="BB430" i="1" s="1"/>
  <c r="BI430" i="1"/>
  <c r="BE430" i="1" s="1"/>
  <c r="BG430" i="1"/>
  <c r="AY430" i="1" s="1"/>
  <c r="BD430" i="1"/>
  <c r="BA430" i="1" l="1"/>
  <c r="AU430" i="1"/>
  <c r="AO431" i="1" s="1"/>
  <c r="AX430" i="1"/>
  <c r="AT430" i="1" s="1"/>
  <c r="AR431" i="1" l="1"/>
  <c r="AN431" i="1"/>
  <c r="AQ431" i="1"/>
  <c r="BG431" i="1" l="1"/>
  <c r="AY431" i="1" s="1"/>
  <c r="BH431" i="1"/>
  <c r="BB431" i="1" s="1"/>
  <c r="BI431" i="1"/>
  <c r="BE431" i="1" s="1"/>
  <c r="AX431" i="1"/>
  <c r="BA431" i="1"/>
  <c r="BD431" i="1" l="1"/>
  <c r="AT431" i="1" s="1"/>
  <c r="AU431" i="1"/>
  <c r="AR432" i="1" l="1"/>
  <c r="AO432" i="1"/>
  <c r="AQ432" i="1"/>
  <c r="AN432" i="1"/>
  <c r="BI432" i="1" l="1"/>
  <c r="BD432" i="1" s="1"/>
  <c r="BG432" i="1"/>
  <c r="AX432" i="1" s="1"/>
  <c r="BH432" i="1"/>
  <c r="BA432" i="1" s="1"/>
  <c r="AY432" i="1"/>
  <c r="BE432" i="1"/>
  <c r="BB432" i="1" l="1"/>
  <c r="AU432" i="1" s="1"/>
  <c r="AO433" i="1" s="1"/>
  <c r="AT432" i="1"/>
  <c r="AR433" i="1" l="1"/>
  <c r="AQ433" i="1"/>
  <c r="AN433" i="1"/>
  <c r="BI433" i="1" l="1"/>
  <c r="BE433" i="1" s="1"/>
  <c r="BD433" i="1"/>
  <c r="BG433" i="1"/>
  <c r="AY433" i="1" s="1"/>
  <c r="BH433" i="1"/>
  <c r="BB433" i="1" s="1"/>
  <c r="AX433" i="1" l="1"/>
  <c r="BA433" i="1"/>
  <c r="AT433" i="1" s="1"/>
  <c r="AU433" i="1"/>
  <c r="AR434" i="1" l="1"/>
  <c r="AO434" i="1"/>
  <c r="AN434" i="1"/>
  <c r="AQ434" i="1"/>
  <c r="BI434" i="1" l="1"/>
  <c r="BD434" i="1" s="1"/>
  <c r="BH434" i="1"/>
  <c r="BA434" i="1" s="1"/>
  <c r="BG434" i="1"/>
  <c r="AX434" i="1" s="1"/>
  <c r="BE434" i="1" l="1"/>
  <c r="BB434" i="1"/>
  <c r="AY434" i="1"/>
  <c r="AT434" i="1"/>
  <c r="AU434" i="1" l="1"/>
  <c r="AR435" i="1"/>
  <c r="AO435" i="1"/>
  <c r="AN435" i="1"/>
  <c r="BI435" i="1" s="1"/>
  <c r="AQ435" i="1"/>
  <c r="BH435" i="1"/>
  <c r="BG435" i="1"/>
  <c r="BE435" i="1" l="1"/>
  <c r="BD435" i="1"/>
  <c r="AY435" i="1"/>
  <c r="AX435" i="1"/>
  <c r="BB435" i="1"/>
  <c r="BA435" i="1"/>
  <c r="AT435" i="1" l="1"/>
  <c r="AU435" i="1"/>
  <c r="AR436" i="1" l="1"/>
  <c r="AO436" i="1"/>
  <c r="AQ436" i="1"/>
  <c r="AN436" i="1"/>
  <c r="BI436" i="1" l="1"/>
  <c r="BE436" i="1" s="1"/>
  <c r="BG436" i="1"/>
  <c r="AY436" i="1" s="1"/>
  <c r="BH436" i="1"/>
  <c r="BB436" i="1" s="1"/>
  <c r="BD436" i="1" l="1"/>
  <c r="AX436" i="1"/>
  <c r="BA436" i="1"/>
  <c r="AU436" i="1"/>
  <c r="AT436" i="1" l="1"/>
  <c r="AR437" i="1"/>
  <c r="AO437" i="1"/>
  <c r="AQ437" i="1"/>
  <c r="AN437" i="1"/>
  <c r="BG437" i="1" l="1"/>
  <c r="AY437" i="1" s="1"/>
  <c r="BI437" i="1"/>
  <c r="BE437" i="1" s="1"/>
  <c r="AX437" i="1"/>
  <c r="BH437" i="1"/>
  <c r="BB437" i="1" s="1"/>
  <c r="BD437" i="1"/>
  <c r="BA437" i="1" l="1"/>
  <c r="AT437" i="1" s="1"/>
  <c r="AU437" i="1"/>
  <c r="AR438" i="1" l="1"/>
  <c r="AO438" i="1"/>
  <c r="AN438" i="1"/>
  <c r="AQ438" i="1"/>
  <c r="BH438" i="1" l="1"/>
  <c r="BB438" i="1" s="1"/>
  <c r="BI438" i="1"/>
  <c r="BE438" i="1" s="1"/>
  <c r="BG438" i="1"/>
  <c r="AY438" i="1" s="1"/>
  <c r="BA438" i="1"/>
  <c r="AX438" i="1" l="1"/>
  <c r="AU438" i="1"/>
  <c r="AR439" i="1" s="1"/>
  <c r="BD438" i="1"/>
  <c r="AT438" i="1" s="1"/>
  <c r="AO439" i="1" l="1"/>
  <c r="AQ439" i="1"/>
  <c r="AN439" i="1"/>
  <c r="BI439" i="1" l="1"/>
  <c r="BE439" i="1" s="1"/>
  <c r="BH439" i="1"/>
  <c r="BB439" i="1" s="1"/>
  <c r="BD439" i="1"/>
  <c r="BG439" i="1"/>
  <c r="AY439" i="1" s="1"/>
  <c r="BA439" i="1"/>
  <c r="AU439" i="1" l="1"/>
  <c r="AO440" i="1"/>
  <c r="AR440" i="1"/>
  <c r="AX439" i="1"/>
  <c r="AT439" i="1" s="1"/>
  <c r="AN440" i="1" l="1"/>
  <c r="AQ440" i="1"/>
  <c r="BH440" i="1" l="1"/>
  <c r="BB440" i="1" s="1"/>
  <c r="BG440" i="1"/>
  <c r="AY440" i="1" s="1"/>
  <c r="BI440" i="1"/>
  <c r="BE440" i="1" s="1"/>
  <c r="AX440" i="1" l="1"/>
  <c r="BA440" i="1"/>
  <c r="BD440" i="1"/>
  <c r="AU440" i="1"/>
  <c r="AR441" i="1" s="1"/>
  <c r="AO441" i="1" l="1"/>
  <c r="AT440" i="1"/>
  <c r="AQ441" i="1"/>
  <c r="AN441" i="1"/>
  <c r="BG441" i="1" s="1"/>
  <c r="BI441" i="1"/>
  <c r="BE441" i="1" s="1"/>
  <c r="BH441" i="1" l="1"/>
  <c r="BB441" i="1" s="1"/>
  <c r="AY441" i="1"/>
  <c r="AX441" i="1"/>
  <c r="BD441" i="1"/>
  <c r="BA441" i="1"/>
  <c r="AU441" i="1"/>
  <c r="AT441" i="1" l="1"/>
  <c r="AQ442" i="1"/>
  <c r="AN442" i="1"/>
  <c r="AR442" i="1"/>
  <c r="AO442" i="1"/>
  <c r="BH442" i="1" l="1"/>
  <c r="BB442" i="1" s="1"/>
  <c r="BI442" i="1"/>
  <c r="BE442" i="1" s="1"/>
  <c r="BG442" i="1"/>
  <c r="AY442" i="1" s="1"/>
  <c r="BD442" i="1"/>
  <c r="BA442" i="1"/>
  <c r="AX442" i="1" l="1"/>
  <c r="AU442" i="1"/>
  <c r="AR443" i="1" s="1"/>
  <c r="AO443" i="1"/>
  <c r="AT442" i="1"/>
  <c r="AQ443" i="1" l="1"/>
  <c r="AN443" i="1"/>
  <c r="BI443" i="1" l="1"/>
  <c r="BE443" i="1" s="1"/>
  <c r="BG443" i="1"/>
  <c r="AY443" i="1" s="1"/>
  <c r="BD443" i="1"/>
  <c r="BH443" i="1"/>
  <c r="BB443" i="1" s="1"/>
  <c r="AX443" i="1"/>
  <c r="BA443" i="1" l="1"/>
  <c r="AT443" i="1" s="1"/>
  <c r="AU443" i="1"/>
  <c r="AO444" i="1" s="1"/>
  <c r="AR444" i="1" l="1"/>
  <c r="AQ444" i="1"/>
  <c r="AN444" i="1"/>
  <c r="BI444" i="1"/>
  <c r="BE444" i="1" s="1"/>
  <c r="BG444" i="1"/>
  <c r="AY444" i="1" s="1"/>
  <c r="BH444" i="1"/>
  <c r="BB444" i="1" s="1"/>
  <c r="BD444" i="1"/>
  <c r="AU444" i="1" l="1"/>
  <c r="BA444" i="1"/>
  <c r="AX444" i="1"/>
  <c r="AT444" i="1" s="1"/>
  <c r="AQ445" i="1" l="1"/>
  <c r="AN445" i="1"/>
  <c r="AO445" i="1"/>
  <c r="AR445" i="1"/>
  <c r="BG445" i="1" l="1"/>
  <c r="AY445" i="1" s="1"/>
  <c r="BI445" i="1"/>
  <c r="BE445" i="1" s="1"/>
  <c r="BH445" i="1"/>
  <c r="BB445" i="1" s="1"/>
  <c r="BA445" i="1" l="1"/>
  <c r="AU445" i="1"/>
  <c r="AX445" i="1"/>
  <c r="BD445" i="1"/>
  <c r="AT445" i="1" l="1"/>
  <c r="AR446" i="1"/>
  <c r="AO446" i="1"/>
  <c r="AQ446" i="1" l="1"/>
  <c r="AN446" i="1"/>
  <c r="BH446" i="1" l="1"/>
  <c r="BB446" i="1" s="1"/>
  <c r="BG446" i="1"/>
  <c r="AY446" i="1" s="1"/>
  <c r="BI446" i="1"/>
  <c r="BE446" i="1" s="1"/>
  <c r="BA446" i="1" l="1"/>
  <c r="BD446" i="1"/>
  <c r="AU446" i="1"/>
  <c r="AX446" i="1"/>
  <c r="AO447" i="1" l="1"/>
  <c r="AR447" i="1"/>
  <c r="AT446" i="1"/>
  <c r="AN447" i="1" l="1"/>
  <c r="AQ447" i="1"/>
  <c r="BG447" i="1" l="1"/>
  <c r="BH447" i="1"/>
  <c r="BI447" i="1"/>
  <c r="BD447" i="1" l="1"/>
  <c r="BE447" i="1"/>
  <c r="AX447" i="1"/>
  <c r="AY447" i="1"/>
  <c r="BA447" i="1"/>
  <c r="BB447" i="1"/>
  <c r="AU447" i="1" l="1"/>
  <c r="AT447" i="1"/>
  <c r="AQ448" i="1" l="1"/>
  <c r="AN448" i="1"/>
  <c r="AR448" i="1"/>
  <c r="AO448" i="1"/>
  <c r="BH448" i="1" l="1"/>
  <c r="BB448" i="1" s="1"/>
  <c r="BI448" i="1"/>
  <c r="BD448" i="1" s="1"/>
  <c r="BG448" i="1"/>
  <c r="AX448" i="1" s="1"/>
  <c r="BA448" i="1" l="1"/>
  <c r="AT448" i="1" s="1"/>
  <c r="AY448" i="1"/>
  <c r="BE448" i="1"/>
  <c r="AU448" i="1" l="1"/>
  <c r="AN449" i="1"/>
  <c r="AQ449" i="1"/>
  <c r="AR449" i="1" l="1"/>
  <c r="AO449" i="1"/>
  <c r="BH449" i="1" l="1"/>
  <c r="BA449" i="1" s="1"/>
  <c r="BG449" i="1"/>
  <c r="AX449" i="1" s="1"/>
  <c r="BI449" i="1"/>
  <c r="BD449" i="1" s="1"/>
  <c r="AT449" i="1" l="1"/>
  <c r="BE449" i="1"/>
  <c r="AY449" i="1"/>
  <c r="BB449" i="1"/>
  <c r="AU449" i="1" l="1"/>
  <c r="AQ450" i="1"/>
  <c r="AN450" i="1"/>
  <c r="AR450" i="1" l="1"/>
  <c r="AO450" i="1"/>
  <c r="BI450" i="1" l="1"/>
  <c r="BD450" i="1" s="1"/>
  <c r="BG450" i="1"/>
  <c r="BH450" i="1"/>
  <c r="BB450" i="1" l="1"/>
  <c r="BA450" i="1"/>
  <c r="AY450" i="1"/>
  <c r="AX450" i="1"/>
  <c r="AT450" i="1" s="1"/>
  <c r="BE450" i="1"/>
  <c r="AU450" i="1" s="1"/>
  <c r="AN451" i="1" l="1"/>
  <c r="AQ451" i="1"/>
  <c r="AO451" i="1"/>
  <c r="AR451" i="1"/>
  <c r="BH451" i="1" l="1"/>
  <c r="BB451" i="1" s="1"/>
  <c r="BG451" i="1"/>
  <c r="AY451" i="1" s="1"/>
  <c r="BI451" i="1"/>
  <c r="BE451" i="1" s="1"/>
  <c r="BA451" i="1"/>
  <c r="AX451" i="1"/>
  <c r="AU451" i="1" l="1"/>
  <c r="AR452" i="1"/>
  <c r="AO452" i="1"/>
  <c r="BD451" i="1"/>
  <c r="AT451" i="1" s="1"/>
  <c r="AQ452" i="1" l="1"/>
  <c r="AN452" i="1"/>
  <c r="BH452" i="1" l="1"/>
  <c r="BB452" i="1" s="1"/>
  <c r="BI452" i="1"/>
  <c r="BE452" i="1" s="1"/>
  <c r="BG452" i="1"/>
  <c r="AY452" i="1" s="1"/>
  <c r="BA452" i="1" l="1"/>
  <c r="BD452" i="1"/>
  <c r="AU452" i="1"/>
  <c r="AX452" i="1"/>
  <c r="AR453" i="1"/>
  <c r="AO453" i="1"/>
  <c r="AT452" i="1" l="1"/>
  <c r="AQ453" i="1"/>
  <c r="AN453" i="1"/>
  <c r="BH453" i="1" l="1"/>
  <c r="BB453" i="1" s="1"/>
  <c r="BI453" i="1"/>
  <c r="BE453" i="1" s="1"/>
  <c r="BG453" i="1"/>
  <c r="AY453" i="1" s="1"/>
  <c r="BA453" i="1"/>
  <c r="AU453" i="1" l="1"/>
  <c r="AX453" i="1"/>
  <c r="AO454" i="1"/>
  <c r="AR454" i="1"/>
  <c r="BD453" i="1"/>
  <c r="AT453" i="1" s="1"/>
  <c r="AQ454" i="1" l="1"/>
  <c r="AN454" i="1"/>
  <c r="BH454" i="1" l="1"/>
  <c r="BB454" i="1" s="1"/>
  <c r="BI454" i="1"/>
  <c r="BG454" i="1"/>
  <c r="BA454" i="1"/>
  <c r="AX454" i="1" l="1"/>
  <c r="AY454" i="1"/>
  <c r="BD454" i="1"/>
  <c r="BE454" i="1"/>
  <c r="AT454" i="1" l="1"/>
  <c r="AQ455" i="1"/>
  <c r="AN455" i="1"/>
  <c r="AU454" i="1"/>
  <c r="AR455" i="1" l="1"/>
  <c r="AO455" i="1"/>
  <c r="BH455" i="1"/>
  <c r="BB455" i="1" s="1"/>
  <c r="BG455" i="1"/>
  <c r="AY455" i="1" s="1"/>
  <c r="BI455" i="1"/>
  <c r="BD455" i="1" s="1"/>
  <c r="AX455" i="1" l="1"/>
  <c r="BA455" i="1"/>
  <c r="AT455" i="1" s="1"/>
  <c r="BE455" i="1"/>
  <c r="AU455" i="1" s="1"/>
  <c r="AO456" i="1" s="1"/>
  <c r="AR456" i="1" l="1"/>
  <c r="AQ456" i="1"/>
  <c r="AN456" i="1"/>
  <c r="BG456" i="1" l="1"/>
  <c r="BH456" i="1"/>
  <c r="BI456" i="1"/>
  <c r="BD456" i="1" l="1"/>
  <c r="BE456" i="1"/>
  <c r="BA456" i="1"/>
  <c r="BB456" i="1"/>
  <c r="AX456" i="1"/>
  <c r="AT456" i="1" s="1"/>
  <c r="AY456" i="1"/>
  <c r="AU456" i="1" l="1"/>
  <c r="AR457" i="1" s="1"/>
  <c r="AQ457" i="1"/>
  <c r="AN457" i="1"/>
  <c r="AO457" i="1" l="1"/>
  <c r="BG457" i="1"/>
  <c r="AY457" i="1" s="1"/>
  <c r="BH457" i="1"/>
  <c r="BB457" i="1" s="1"/>
  <c r="AX457" i="1"/>
  <c r="BI457" i="1"/>
  <c r="BE457" i="1" s="1"/>
  <c r="BD457" i="1" l="1"/>
  <c r="BA457" i="1"/>
  <c r="AT457" i="1" s="1"/>
  <c r="AU457" i="1"/>
  <c r="AR458" i="1" l="1"/>
  <c r="AO458" i="1"/>
  <c r="AQ458" i="1"/>
  <c r="AN458" i="1"/>
  <c r="BI458" i="1" l="1"/>
  <c r="BE458" i="1" s="1"/>
  <c r="BG458" i="1"/>
  <c r="AY458" i="1" s="1"/>
  <c r="BH458" i="1"/>
  <c r="BB458" i="1" s="1"/>
  <c r="AX458" i="1" l="1"/>
  <c r="BD458" i="1"/>
  <c r="AU458" i="1"/>
  <c r="BA458" i="1"/>
  <c r="AT458" i="1" l="1"/>
  <c r="AQ459" i="1" s="1"/>
  <c r="AN459" i="1"/>
  <c r="AO459" i="1"/>
  <c r="AR459" i="1"/>
  <c r="BH459" i="1" l="1"/>
  <c r="BB459" i="1" s="1"/>
  <c r="BI459" i="1"/>
  <c r="BE459" i="1" s="1"/>
  <c r="BG459" i="1"/>
  <c r="AY459" i="1" s="1"/>
  <c r="BA459" i="1"/>
  <c r="AX459" i="1" l="1"/>
  <c r="BD459" i="1"/>
  <c r="AT459" i="1" s="1"/>
  <c r="AU459" i="1"/>
  <c r="AR460" i="1" s="1"/>
  <c r="AO460" i="1"/>
  <c r="AQ460" i="1" l="1"/>
  <c r="AN460" i="1"/>
  <c r="BI460" i="1" l="1"/>
  <c r="BE460" i="1" s="1"/>
  <c r="BG460" i="1"/>
  <c r="AY460" i="1" s="1"/>
  <c r="BH460" i="1"/>
  <c r="BB460" i="1" s="1"/>
  <c r="BD460" i="1"/>
  <c r="AX460" i="1" l="1"/>
  <c r="BA460" i="1"/>
  <c r="AT460" i="1" s="1"/>
  <c r="AU460" i="1"/>
  <c r="AN461" i="1" l="1"/>
  <c r="AQ461" i="1"/>
  <c r="AR461" i="1"/>
  <c r="AO461" i="1"/>
  <c r="BG461" i="1" l="1"/>
  <c r="BI461" i="1"/>
  <c r="BH461" i="1"/>
  <c r="BB461" i="1" l="1"/>
  <c r="BA461" i="1"/>
  <c r="BE461" i="1"/>
  <c r="BD461" i="1"/>
  <c r="AY461" i="1"/>
  <c r="AX461" i="1"/>
  <c r="AT461" i="1" s="1"/>
  <c r="AU461" i="1" l="1"/>
  <c r="AQ462" i="1"/>
  <c r="AN462" i="1"/>
  <c r="AO462" i="1"/>
  <c r="AR462" i="1"/>
  <c r="BG462" i="1" l="1"/>
  <c r="AY462" i="1" s="1"/>
  <c r="BI462" i="1"/>
  <c r="BE462" i="1" s="1"/>
  <c r="BH462" i="1"/>
  <c r="BB462" i="1" s="1"/>
  <c r="AX462" i="1" l="1"/>
  <c r="BA462" i="1"/>
  <c r="BD462" i="1"/>
  <c r="AU462" i="1"/>
  <c r="AR463" i="1" l="1"/>
  <c r="AO463" i="1"/>
  <c r="AT462" i="1"/>
  <c r="AQ463" i="1" l="1"/>
  <c r="AN463" i="1"/>
  <c r="BI463" i="1" l="1"/>
  <c r="BE463" i="1" s="1"/>
  <c r="BG463" i="1"/>
  <c r="AY463" i="1" s="1"/>
  <c r="BH463" i="1"/>
  <c r="BB463" i="1" s="1"/>
  <c r="AX463" i="1"/>
  <c r="BD463" i="1"/>
  <c r="BA463" i="1" l="1"/>
  <c r="AT463" i="1" s="1"/>
  <c r="AU463" i="1"/>
  <c r="AO464" i="1" s="1"/>
  <c r="AR464" i="1"/>
  <c r="AQ464" i="1" l="1"/>
  <c r="AN464" i="1"/>
  <c r="BG464" i="1" l="1"/>
  <c r="AY464" i="1" s="1"/>
  <c r="BH464" i="1"/>
  <c r="BB464" i="1" s="1"/>
  <c r="BI464" i="1"/>
  <c r="BE464" i="1" s="1"/>
  <c r="BA464" i="1" l="1"/>
  <c r="AX464" i="1"/>
  <c r="BD464" i="1"/>
  <c r="AU464" i="1"/>
  <c r="AT464" i="1" l="1"/>
  <c r="AR465" i="1"/>
  <c r="AO465" i="1"/>
  <c r="AN465" i="1"/>
  <c r="AQ465" i="1"/>
  <c r="BG465" i="1" l="1"/>
  <c r="AY465" i="1" s="1"/>
  <c r="BI465" i="1"/>
  <c r="BD465" i="1" s="1"/>
  <c r="BH465" i="1"/>
  <c r="BA465" i="1" s="1"/>
  <c r="BE465" i="1"/>
  <c r="BB465" i="1" l="1"/>
  <c r="AU465" i="1" s="1"/>
  <c r="AX465" i="1"/>
  <c r="AT465" i="1" s="1"/>
  <c r="AR466" i="1" l="1"/>
  <c r="AO466" i="1"/>
  <c r="AQ466" i="1"/>
  <c r="AN466" i="1"/>
  <c r="BG466" i="1" l="1"/>
  <c r="AY466" i="1" s="1"/>
  <c r="BH466" i="1"/>
  <c r="BB466" i="1" s="1"/>
  <c r="BI466" i="1"/>
  <c r="BE466" i="1" s="1"/>
  <c r="AX466" i="1" l="1"/>
  <c r="BA466" i="1"/>
  <c r="BD466" i="1"/>
  <c r="AT466" i="1" s="1"/>
  <c r="AU466" i="1"/>
  <c r="AN467" i="1" l="1"/>
  <c r="AQ467" i="1"/>
  <c r="AR467" i="1"/>
  <c r="AO467" i="1"/>
  <c r="BG467" i="1" l="1"/>
  <c r="AY467" i="1" s="1"/>
  <c r="BH467" i="1"/>
  <c r="BB467" i="1" s="1"/>
  <c r="BI467" i="1"/>
  <c r="BE467" i="1" s="1"/>
  <c r="AX467" i="1"/>
  <c r="AU467" i="1" l="1"/>
  <c r="BD467" i="1"/>
  <c r="BA467" i="1"/>
  <c r="AT467" i="1" s="1"/>
  <c r="AQ468" i="1" l="1"/>
  <c r="B10" i="2" s="1"/>
  <c r="AN468" i="1"/>
  <c r="AR468" i="1"/>
  <c r="AO468" i="1"/>
  <c r="C4" i="2" l="1"/>
  <c r="C10" i="2"/>
  <c r="D10" i="2" s="1"/>
  <c r="BI468" i="1"/>
  <c r="BE468" i="1" s="1"/>
  <c r="BG468" i="1"/>
  <c r="AY468" i="1" s="1"/>
  <c r="BH468" i="1"/>
  <c r="BB468" i="1" s="1"/>
  <c r="B4" i="2"/>
  <c r="AX468" i="1" l="1"/>
  <c r="D16" i="2"/>
  <c r="F16" i="2" s="1"/>
  <c r="E15" i="2"/>
  <c r="G15" i="2" s="1"/>
  <c r="D18" i="2"/>
  <c r="F18" i="2" s="1"/>
  <c r="E16" i="2"/>
  <c r="G16" i="2" s="1"/>
  <c r="D14" i="2"/>
  <c r="F14" i="2" s="1"/>
  <c r="E18" i="2"/>
  <c r="G18" i="2" s="1"/>
  <c r="D15" i="2"/>
  <c r="F15" i="2" s="1"/>
  <c r="D17" i="2"/>
  <c r="F17" i="2" s="1"/>
  <c r="E14" i="2"/>
  <c r="G14" i="2" s="1"/>
  <c r="E17" i="2"/>
  <c r="G17" i="2" s="1"/>
  <c r="BA468" i="1"/>
  <c r="BD468" i="1"/>
  <c r="AU468" i="1"/>
  <c r="AT468" i="1" l="1"/>
  <c r="AQ469" i="1" s="1"/>
  <c r="AO469" i="1"/>
  <c r="AR469" i="1"/>
  <c r="AN469" i="1" l="1"/>
  <c r="BI469" i="1" s="1"/>
  <c r="BH469" i="1"/>
  <c r="BB469" i="1" s="1"/>
  <c r="BG469" i="1"/>
  <c r="AY469" i="1" s="1"/>
  <c r="BE469" i="1" l="1"/>
  <c r="AU469" i="1" s="1"/>
  <c r="BD469" i="1"/>
  <c r="BA469" i="1"/>
  <c r="AX469" i="1"/>
  <c r="AT469" i="1" l="1"/>
  <c r="AR470" i="1"/>
  <c r="AO470" i="1"/>
  <c r="AQ470" i="1"/>
  <c r="AN470" i="1"/>
  <c r="BG470" i="1" l="1"/>
  <c r="AY470" i="1" s="1"/>
  <c r="BH470" i="1"/>
  <c r="BB470" i="1" s="1"/>
  <c r="BI470" i="1"/>
  <c r="AX470" i="1" l="1"/>
  <c r="BD470" i="1"/>
  <c r="BE470" i="1"/>
  <c r="AU470" i="1" s="1"/>
  <c r="BA470" i="1"/>
  <c r="AT470" i="1" l="1"/>
  <c r="AN471" i="1"/>
  <c r="AQ471" i="1"/>
  <c r="AO471" i="1"/>
  <c r="AR471" i="1"/>
  <c r="BG471" i="1" l="1"/>
  <c r="AX471" i="1" s="1"/>
  <c r="BH471" i="1"/>
  <c r="BA471" i="1" s="1"/>
  <c r="BI471" i="1"/>
  <c r="BD471" i="1" s="1"/>
  <c r="AT471" i="1" l="1"/>
  <c r="BB471" i="1"/>
  <c r="BE471" i="1"/>
  <c r="AY471" i="1"/>
  <c r="AU471" i="1" l="1"/>
  <c r="AR472" i="1" s="1"/>
  <c r="AO472" i="1"/>
  <c r="AQ472" i="1"/>
  <c r="AN472" i="1"/>
  <c r="BH472" i="1" l="1"/>
  <c r="BB472" i="1" s="1"/>
  <c r="BG472" i="1"/>
  <c r="AY472" i="1" s="1"/>
  <c r="BA472" i="1"/>
  <c r="BI472" i="1"/>
  <c r="BE472" i="1" s="1"/>
  <c r="AX472" i="1"/>
  <c r="BD472" i="1" l="1"/>
  <c r="AT472" i="1" s="1"/>
  <c r="AU472" i="1"/>
  <c r="AN473" i="1" l="1"/>
  <c r="AQ473" i="1"/>
  <c r="AO473" i="1"/>
  <c r="AR473" i="1"/>
  <c r="BI473" i="1" l="1"/>
  <c r="BE473" i="1" s="1"/>
  <c r="BG473" i="1"/>
  <c r="AY473" i="1" s="1"/>
  <c r="BH473" i="1"/>
  <c r="BB473" i="1" s="1"/>
  <c r="BD473" i="1"/>
  <c r="BA473" i="1" l="1"/>
  <c r="AX473" i="1"/>
  <c r="AT473" i="1" s="1"/>
  <c r="AU473" i="1"/>
  <c r="AO474" i="1" l="1"/>
  <c r="AR474" i="1"/>
  <c r="AQ474" i="1"/>
  <c r="AN474" i="1"/>
  <c r="BG474" i="1" l="1"/>
  <c r="AY474" i="1" s="1"/>
  <c r="BH474" i="1"/>
  <c r="BB474" i="1" s="1"/>
  <c r="BI474" i="1"/>
  <c r="BD474" i="1" s="1"/>
  <c r="AX474" i="1"/>
  <c r="BE474" i="1"/>
  <c r="AU474" i="1" s="1"/>
  <c r="AO475" i="1" s="1"/>
  <c r="BA474" i="1" l="1"/>
  <c r="AT474" i="1" s="1"/>
  <c r="AR475" i="1"/>
  <c r="AQ475" i="1" l="1"/>
  <c r="AN475" i="1"/>
  <c r="BI475" i="1" l="1"/>
  <c r="BH475" i="1"/>
  <c r="BG475" i="1"/>
  <c r="BD475" i="1" l="1"/>
  <c r="BE475" i="1"/>
  <c r="AY475" i="1"/>
  <c r="AX475" i="1"/>
  <c r="BA475" i="1"/>
  <c r="BB475" i="1"/>
  <c r="AT475" i="1" l="1"/>
  <c r="AN476" i="1"/>
  <c r="AQ476" i="1"/>
  <c r="AU475" i="1"/>
  <c r="AO476" i="1" l="1"/>
  <c r="AR476" i="1"/>
  <c r="BH476" i="1"/>
  <c r="BB476" i="1" s="1"/>
  <c r="BI476" i="1"/>
  <c r="BG476" i="1"/>
  <c r="AX476" i="1" s="1"/>
  <c r="BA476" i="1" l="1"/>
  <c r="BE476" i="1"/>
  <c r="BD476" i="1"/>
  <c r="AT476" i="1" s="1"/>
  <c r="AY476" i="1"/>
  <c r="AU476" i="1" s="1"/>
  <c r="AQ477" i="1" l="1"/>
  <c r="AN477" i="1"/>
  <c r="AR477" i="1"/>
  <c r="AO477" i="1"/>
  <c r="BI477" i="1" l="1"/>
  <c r="BE477" i="1" s="1"/>
  <c r="BH477" i="1"/>
  <c r="BG477" i="1"/>
  <c r="AY477" i="1" s="1"/>
  <c r="AX477" i="1"/>
  <c r="BD477" i="1"/>
  <c r="BB477" i="1" l="1"/>
  <c r="AU477" i="1" s="1"/>
  <c r="BA477" i="1"/>
  <c r="AT477" i="1" s="1"/>
  <c r="AN478" i="1" l="1"/>
  <c r="AQ478" i="1"/>
  <c r="AO478" i="1"/>
  <c r="AR478" i="1"/>
  <c r="BH478" i="1" l="1"/>
  <c r="BG478" i="1"/>
  <c r="AY478" i="1" s="1"/>
  <c r="BI478" i="1"/>
  <c r="BE478" i="1" l="1"/>
  <c r="BD478" i="1"/>
  <c r="AX478" i="1"/>
  <c r="BA478" i="1"/>
  <c r="BB478" i="1"/>
  <c r="AU478" i="1" s="1"/>
  <c r="AO479" i="1" l="1"/>
  <c r="AR479" i="1"/>
  <c r="AT478" i="1"/>
  <c r="AQ479" i="1" l="1"/>
  <c r="AN479" i="1"/>
  <c r="BH479" i="1" l="1"/>
  <c r="BG479" i="1"/>
  <c r="AY479" i="1" s="1"/>
  <c r="BI479" i="1"/>
  <c r="AX479" i="1"/>
  <c r="BD479" i="1" l="1"/>
  <c r="BE479" i="1"/>
  <c r="BA479" i="1"/>
  <c r="AT479" i="1" s="1"/>
  <c r="BB479" i="1"/>
  <c r="AU479" i="1" s="1"/>
  <c r="AR480" i="1" l="1"/>
  <c r="AO480" i="1"/>
  <c r="AN480" i="1"/>
  <c r="AQ480" i="1"/>
  <c r="BI480" i="1" l="1"/>
  <c r="BE480" i="1" s="1"/>
  <c r="BG480" i="1"/>
  <c r="AY480" i="1" s="1"/>
  <c r="BH480" i="1"/>
  <c r="BB480" i="1" s="1"/>
  <c r="AX480" i="1"/>
  <c r="BD480" i="1"/>
  <c r="BA480" i="1" l="1"/>
  <c r="AT480" i="1"/>
  <c r="AU480" i="1"/>
  <c r="AR481" i="1" l="1"/>
  <c r="AO481" i="1"/>
  <c r="AQ481" i="1"/>
  <c r="AN481" i="1"/>
  <c r="BI481" i="1" l="1"/>
  <c r="BE481" i="1" s="1"/>
  <c r="BG481" i="1"/>
  <c r="AY481" i="1" s="1"/>
  <c r="BH481" i="1"/>
  <c r="BB481" i="1" s="1"/>
  <c r="AX481" i="1"/>
  <c r="BA481" i="1"/>
  <c r="BD481" i="1"/>
  <c r="AU481" i="1" l="1"/>
  <c r="AO482" i="1"/>
  <c r="AR482" i="1"/>
  <c r="AT481" i="1"/>
  <c r="AQ482" i="1" l="1"/>
  <c r="AN482" i="1"/>
  <c r="BI482" i="1"/>
  <c r="BE482" i="1"/>
  <c r="BG482" i="1" l="1"/>
  <c r="AY482" i="1" s="1"/>
  <c r="BD482" i="1"/>
  <c r="BH482" i="1"/>
  <c r="BB482" i="1" s="1"/>
  <c r="AX482" i="1"/>
  <c r="BA482" i="1" l="1"/>
  <c r="AT482" i="1" s="1"/>
  <c r="AU482" i="1"/>
  <c r="AQ483" i="1" l="1"/>
  <c r="AN483" i="1"/>
  <c r="AR483" i="1"/>
  <c r="AO483" i="1"/>
  <c r="BH483" i="1" l="1"/>
  <c r="BA483" i="1" s="1"/>
  <c r="BI483" i="1"/>
  <c r="BG483" i="1"/>
  <c r="AY483" i="1" l="1"/>
  <c r="AX483" i="1"/>
  <c r="BE483" i="1"/>
  <c r="BD483" i="1"/>
  <c r="BB483" i="1"/>
  <c r="AT483" i="1" l="1"/>
  <c r="AU483" i="1"/>
  <c r="AR484" i="1" l="1"/>
  <c r="AO484" i="1"/>
  <c r="AN484" i="1"/>
  <c r="AQ484" i="1"/>
  <c r="BI484" i="1" l="1"/>
  <c r="BE484" i="1" s="1"/>
  <c r="BH484" i="1"/>
  <c r="BA484" i="1" s="1"/>
  <c r="BD484" i="1"/>
  <c r="BG484" i="1"/>
  <c r="AX484" i="1" s="1"/>
  <c r="AT484" i="1" s="1"/>
  <c r="BB484" i="1"/>
  <c r="AY484" i="1" l="1"/>
  <c r="AU484" i="1"/>
  <c r="AQ485" i="1"/>
  <c r="AN485" i="1"/>
  <c r="AO485" i="1" l="1"/>
  <c r="BH485" i="1" s="1"/>
  <c r="BA485" i="1" s="1"/>
  <c r="AR485" i="1"/>
  <c r="BB485" i="1" l="1"/>
  <c r="BI485" i="1"/>
  <c r="BD485" i="1" s="1"/>
  <c r="BG485" i="1"/>
  <c r="AX485" i="1" s="1"/>
  <c r="AT485" i="1" l="1"/>
  <c r="AN486" i="1"/>
  <c r="AQ486" i="1"/>
  <c r="BE485" i="1"/>
  <c r="AY485" i="1"/>
  <c r="AU485" i="1" s="1"/>
  <c r="AR486" i="1" l="1"/>
  <c r="AO486" i="1"/>
  <c r="BI486" i="1" s="1"/>
  <c r="BD486" i="1" s="1"/>
  <c r="BG486" i="1"/>
  <c r="AX486" i="1" s="1"/>
  <c r="BH486" i="1"/>
  <c r="BA486" i="1" s="1"/>
  <c r="AT486" i="1" l="1"/>
  <c r="BB486" i="1"/>
  <c r="AY486" i="1"/>
  <c r="BE486" i="1"/>
  <c r="AQ487" i="1"/>
  <c r="AN487" i="1"/>
  <c r="AU486" i="1" l="1"/>
  <c r="AO487" i="1" l="1"/>
  <c r="AR487" i="1"/>
  <c r="BH487" i="1" l="1"/>
  <c r="BA487" i="1" s="1"/>
  <c r="BI487" i="1"/>
  <c r="BB487" i="1"/>
  <c r="BG487" i="1"/>
  <c r="AX487" i="1" s="1"/>
  <c r="BE487" i="1" l="1"/>
  <c r="BD487" i="1"/>
  <c r="AT487" i="1" s="1"/>
  <c r="AY487" i="1"/>
  <c r="AU487" i="1" s="1"/>
  <c r="AQ488" i="1" l="1"/>
  <c r="AN488" i="1"/>
  <c r="AR488" i="1"/>
  <c r="AO488" i="1"/>
  <c r="BH488" i="1" l="1"/>
  <c r="BA488" i="1" s="1"/>
  <c r="BI488" i="1"/>
  <c r="BG488" i="1"/>
  <c r="AY488" i="1" l="1"/>
  <c r="AX488" i="1"/>
  <c r="BD488" i="1"/>
  <c r="BE488" i="1"/>
  <c r="BB488" i="1"/>
  <c r="AT488" i="1" l="1"/>
  <c r="AU488" i="1"/>
  <c r="AQ489" i="1" l="1"/>
  <c r="AN489" i="1"/>
  <c r="AO489" i="1"/>
  <c r="AR489" i="1"/>
  <c r="BH489" i="1" l="1"/>
  <c r="BA489" i="1" s="1"/>
  <c r="BI489" i="1"/>
  <c r="BD489" i="1" s="1"/>
  <c r="BG489" i="1"/>
  <c r="BB489" i="1"/>
  <c r="BE489" i="1"/>
  <c r="AY489" i="1" l="1"/>
  <c r="AU489" i="1" s="1"/>
  <c r="AX489" i="1"/>
  <c r="AT489" i="1" s="1"/>
  <c r="AQ490" i="1" l="1"/>
  <c r="AN490" i="1"/>
  <c r="AO490" i="1"/>
  <c r="AR490" i="1"/>
  <c r="BI490" i="1" l="1"/>
  <c r="BE490" i="1" s="1"/>
  <c r="BG490" i="1"/>
  <c r="AY490" i="1" s="1"/>
  <c r="BH490" i="1"/>
  <c r="BB490" i="1" s="1"/>
  <c r="BD490" i="1"/>
  <c r="AX490" i="1" l="1"/>
  <c r="AU490" i="1"/>
  <c r="AO491" i="1" s="1"/>
  <c r="AR491" i="1"/>
  <c r="BA490" i="1"/>
  <c r="AT490" i="1" s="1"/>
  <c r="AN491" i="1" l="1"/>
  <c r="AQ491" i="1"/>
  <c r="BI491" i="1" l="1"/>
  <c r="BE491" i="1" s="1"/>
  <c r="BH491" i="1"/>
  <c r="BD491" i="1"/>
  <c r="BG491" i="1"/>
  <c r="AY491" i="1" s="1"/>
  <c r="AX491" i="1" l="1"/>
  <c r="BB491" i="1"/>
  <c r="AU491" i="1" s="1"/>
  <c r="BA491" i="1"/>
  <c r="AT491" i="1" s="1"/>
  <c r="AO492" i="1" l="1"/>
  <c r="AR492" i="1"/>
  <c r="AQ492" i="1"/>
  <c r="AN492" i="1"/>
  <c r="BG492" i="1" l="1"/>
  <c r="BH492" i="1"/>
  <c r="BI492" i="1"/>
  <c r="BE492" i="1" l="1"/>
  <c r="BD492" i="1"/>
  <c r="BB492" i="1"/>
  <c r="BA492" i="1"/>
  <c r="AY492" i="1"/>
  <c r="AU492" i="1" s="1"/>
  <c r="AX492" i="1"/>
  <c r="AT492" i="1" s="1"/>
  <c r="AR493" i="1" l="1"/>
  <c r="AO493" i="1"/>
  <c r="AN493" i="1"/>
  <c r="AQ493" i="1"/>
  <c r="BH493" i="1" l="1"/>
  <c r="BB493" i="1" s="1"/>
  <c r="BI493" i="1"/>
  <c r="BE493" i="1" s="1"/>
  <c r="BG493" i="1"/>
  <c r="BA493" i="1"/>
  <c r="AY493" i="1" l="1"/>
  <c r="AU493" i="1" s="1"/>
  <c r="AX493" i="1"/>
  <c r="BD493" i="1"/>
  <c r="AT493" i="1" l="1"/>
  <c r="AO494" i="1"/>
  <c r="AR494" i="1"/>
  <c r="AQ494" i="1" l="1"/>
  <c r="AN494" i="1"/>
  <c r="BH494" i="1" l="1"/>
  <c r="BB494" i="1" s="1"/>
  <c r="BI494" i="1"/>
  <c r="BE494" i="1" s="1"/>
  <c r="BG494" i="1"/>
  <c r="AY494" i="1" s="1"/>
  <c r="BA494" i="1"/>
  <c r="AU494" i="1" l="1"/>
  <c r="AO495" i="1"/>
  <c r="AR495" i="1"/>
  <c r="AX494" i="1"/>
  <c r="BD494" i="1"/>
  <c r="AT494" i="1" l="1"/>
  <c r="AQ495" i="1"/>
  <c r="AN495" i="1"/>
  <c r="BG495" i="1" l="1"/>
  <c r="AY495" i="1" s="1"/>
  <c r="BH495" i="1"/>
  <c r="BB495" i="1" s="1"/>
  <c r="BI495" i="1"/>
  <c r="BE495" i="1" s="1"/>
  <c r="AX495" i="1"/>
  <c r="BA495" i="1" l="1"/>
  <c r="BD495" i="1"/>
  <c r="AU495" i="1"/>
  <c r="AT495" i="1" l="1"/>
  <c r="AQ496" i="1"/>
  <c r="AN496" i="1"/>
  <c r="AR496" i="1"/>
  <c r="AO496" i="1"/>
  <c r="BH496" i="1" l="1"/>
  <c r="BB496" i="1" s="1"/>
  <c r="BA496" i="1"/>
  <c r="BI496" i="1"/>
  <c r="BE496" i="1" s="1"/>
  <c r="BG496" i="1"/>
  <c r="AY496" i="1" s="1"/>
  <c r="AU496" i="1" s="1"/>
  <c r="BD496" i="1"/>
  <c r="AX496" i="1" l="1"/>
  <c r="AR497" i="1"/>
  <c r="AO497" i="1"/>
  <c r="AT496" i="1"/>
  <c r="AN497" i="1" l="1"/>
  <c r="AQ497" i="1"/>
  <c r="BG497" i="1" l="1"/>
  <c r="AY497" i="1" s="1"/>
  <c r="BH497" i="1"/>
  <c r="BB497" i="1" s="1"/>
  <c r="BI497" i="1"/>
  <c r="BE497" i="1" s="1"/>
  <c r="AX497" i="1"/>
  <c r="BD497" i="1"/>
  <c r="BA497" i="1"/>
  <c r="AT497" i="1" l="1"/>
  <c r="AU497" i="1"/>
  <c r="AO498" i="1" l="1"/>
  <c r="AR498" i="1"/>
  <c r="AQ498" i="1"/>
  <c r="AN498" i="1"/>
  <c r="BI498" i="1" l="1"/>
  <c r="BE498" i="1" s="1"/>
  <c r="BG498" i="1"/>
  <c r="AY498" i="1" s="1"/>
  <c r="BH498" i="1"/>
  <c r="BB498" i="1" s="1"/>
  <c r="BD498" i="1"/>
  <c r="BA498" i="1" l="1"/>
  <c r="AU498" i="1"/>
  <c r="AX498" i="1"/>
  <c r="AT498" i="1" s="1"/>
  <c r="AN499" i="1" l="1"/>
  <c r="AQ499" i="1"/>
  <c r="AR499" i="1"/>
  <c r="AO499" i="1"/>
  <c r="BI499" i="1" l="1"/>
  <c r="BE499" i="1" s="1"/>
  <c r="BD499" i="1"/>
  <c r="BH499" i="1"/>
  <c r="BB499" i="1" s="1"/>
  <c r="BG499" i="1"/>
  <c r="AY499" i="1" s="1"/>
  <c r="BA499" i="1" l="1"/>
  <c r="AX499" i="1"/>
  <c r="AU499" i="1"/>
  <c r="AR500" i="1" s="1"/>
  <c r="AO500" i="1"/>
  <c r="AT499" i="1"/>
  <c r="AQ500" i="1" l="1"/>
  <c r="AN500" i="1"/>
  <c r="BH500" i="1" l="1"/>
  <c r="BB500" i="1" s="1"/>
  <c r="BG500" i="1"/>
  <c r="AY500" i="1" s="1"/>
  <c r="BA500" i="1"/>
  <c r="BI500" i="1"/>
  <c r="BE500" i="1" s="1"/>
  <c r="AU500" i="1" s="1"/>
  <c r="AX500" i="1"/>
  <c r="BD500" i="1"/>
  <c r="AT500" i="1" l="1"/>
  <c r="AQ501" i="1"/>
  <c r="AN501" i="1"/>
  <c r="AR501" i="1"/>
  <c r="AO501" i="1"/>
  <c r="BI501" i="1" l="1"/>
  <c r="BE501" i="1" s="1"/>
  <c r="BG501" i="1"/>
  <c r="BD501" i="1"/>
  <c r="BH501" i="1"/>
  <c r="AY501" i="1" l="1"/>
  <c r="AX501" i="1"/>
  <c r="BB501" i="1"/>
  <c r="AU501" i="1" s="1"/>
  <c r="BA501" i="1"/>
  <c r="AT501" i="1" s="1"/>
  <c r="AN502" i="1" l="1"/>
  <c r="AQ502" i="1"/>
  <c r="AO502" i="1"/>
  <c r="AR502" i="1"/>
  <c r="BG502" i="1" l="1"/>
  <c r="BI502" i="1"/>
  <c r="BH502" i="1"/>
  <c r="BA502" i="1" l="1"/>
  <c r="BB502" i="1"/>
  <c r="BE502" i="1"/>
  <c r="BD502" i="1"/>
  <c r="AX502" i="1"/>
  <c r="AT502" i="1" s="1"/>
  <c r="AY502" i="1"/>
  <c r="AU502" i="1" s="1"/>
  <c r="AR503" i="1" s="1"/>
  <c r="AO503" i="1" l="1"/>
  <c r="AN503" i="1"/>
  <c r="AQ503" i="1"/>
  <c r="BG503" i="1" l="1"/>
  <c r="BH503" i="1"/>
  <c r="BI503" i="1"/>
  <c r="BE503" i="1" l="1"/>
  <c r="BD503" i="1"/>
  <c r="BB503" i="1"/>
  <c r="BA503" i="1"/>
  <c r="AY503" i="1"/>
  <c r="AX503" i="1"/>
  <c r="AT503" i="1" s="1"/>
  <c r="AQ504" i="1" s="1"/>
  <c r="AN504" i="1" l="1"/>
  <c r="AU503" i="1"/>
  <c r="AO504" i="1" l="1"/>
  <c r="AR504" i="1"/>
  <c r="BH504" i="1" l="1"/>
  <c r="BI504" i="1"/>
  <c r="BG504" i="1"/>
  <c r="BE504" i="1" l="1"/>
  <c r="BD504" i="1"/>
  <c r="AY504" i="1"/>
  <c r="AX504" i="1"/>
  <c r="BB504" i="1"/>
  <c r="BA504" i="1"/>
  <c r="AT504" i="1" l="1"/>
  <c r="AU504" i="1"/>
  <c r="AO505" i="1" l="1"/>
  <c r="AR505" i="1"/>
  <c r="AQ505" i="1"/>
  <c r="AN505" i="1"/>
  <c r="BG505" i="1" l="1"/>
  <c r="AY505" i="1" s="1"/>
  <c r="AX505" i="1"/>
  <c r="BI505" i="1"/>
  <c r="BE505" i="1" s="1"/>
  <c r="BH505" i="1"/>
  <c r="BB505" i="1" s="1"/>
  <c r="BD505" i="1" l="1"/>
  <c r="BA505" i="1"/>
  <c r="AT505" i="1" s="1"/>
  <c r="AU505" i="1"/>
  <c r="AN506" i="1" l="1"/>
  <c r="AQ506" i="1"/>
  <c r="AR506" i="1"/>
  <c r="AO506" i="1"/>
  <c r="BH506" i="1" l="1"/>
  <c r="BB506" i="1" s="1"/>
  <c r="BG506" i="1"/>
  <c r="AY506" i="1" s="1"/>
  <c r="BA506" i="1"/>
  <c r="BI506" i="1"/>
  <c r="BE506" i="1" s="1"/>
  <c r="BD506" i="1" l="1"/>
  <c r="AX506" i="1"/>
  <c r="AT506" i="1" s="1"/>
  <c r="AU506" i="1"/>
  <c r="AQ507" i="1" l="1"/>
  <c r="AN507" i="1"/>
  <c r="AR507" i="1"/>
  <c r="AO507" i="1"/>
  <c r="BG507" i="1" l="1"/>
  <c r="AX507" i="1" s="1"/>
  <c r="BH507" i="1"/>
  <c r="BB507" i="1" s="1"/>
  <c r="BI507" i="1"/>
  <c r="BE507" i="1" s="1"/>
  <c r="BA507" i="1"/>
  <c r="BD507" i="1" l="1"/>
  <c r="AT507" i="1" s="1"/>
  <c r="AY507" i="1"/>
  <c r="AU507" i="1" s="1"/>
  <c r="AQ508" i="1" l="1"/>
  <c r="AN508" i="1"/>
  <c r="AR508" i="1"/>
  <c r="AO508" i="1"/>
  <c r="BH508" i="1" l="1"/>
  <c r="BB508" i="1" s="1"/>
  <c r="BG508" i="1"/>
  <c r="AX508" i="1" s="1"/>
  <c r="BI508" i="1"/>
  <c r="BD508" i="1" s="1"/>
  <c r="BE508" i="1" l="1"/>
  <c r="BA508" i="1"/>
  <c r="AT508" i="1" s="1"/>
  <c r="AY508" i="1"/>
  <c r="AU508" i="1" s="1"/>
  <c r="AQ509" i="1" l="1"/>
  <c r="AN509" i="1"/>
  <c r="AR509" i="1"/>
  <c r="AO509" i="1"/>
  <c r="BI509" i="1" l="1"/>
  <c r="BD509" i="1" s="1"/>
  <c r="BH509" i="1"/>
  <c r="BB509" i="1" s="1"/>
  <c r="BG509" i="1"/>
  <c r="AX509" i="1" s="1"/>
  <c r="BA509" i="1"/>
  <c r="AT509" i="1" l="1"/>
  <c r="BE509" i="1"/>
  <c r="AY509" i="1"/>
  <c r="AU509" i="1" s="1"/>
  <c r="AO510" i="1" l="1"/>
  <c r="AR510" i="1"/>
  <c r="AN510" i="1"/>
  <c r="AQ510" i="1"/>
  <c r="BH510" i="1" l="1"/>
  <c r="BA510" i="1" s="1"/>
  <c r="BG510" i="1"/>
  <c r="AY510" i="1" s="1"/>
  <c r="BI510" i="1"/>
  <c r="BD510" i="1" s="1"/>
  <c r="AX510" i="1"/>
  <c r="BB510" i="1"/>
  <c r="BE510" i="1"/>
  <c r="AT510" i="1" l="1"/>
  <c r="AN511" i="1"/>
  <c r="AQ511" i="1"/>
  <c r="AU510" i="1"/>
  <c r="AO511" i="1" l="1"/>
  <c r="AR511" i="1"/>
  <c r="BG511" i="1"/>
  <c r="BH511" i="1"/>
  <c r="BA511" i="1" s="1"/>
  <c r="BI511" i="1"/>
  <c r="BD511" i="1" s="1"/>
  <c r="AX511" i="1"/>
  <c r="AT511" i="1" l="1"/>
  <c r="BE511" i="1"/>
  <c r="BB511" i="1"/>
  <c r="AY511" i="1"/>
  <c r="AU511" i="1" l="1"/>
  <c r="AQ512" i="1"/>
  <c r="AN512" i="1"/>
  <c r="AO512" i="1" l="1"/>
  <c r="AR512" i="1"/>
  <c r="BI512" i="1" l="1"/>
  <c r="BG512" i="1"/>
  <c r="AX512" i="1" s="1"/>
  <c r="BH512" i="1"/>
  <c r="BA512" i="1" s="1"/>
  <c r="BB512" i="1" l="1"/>
  <c r="BE512" i="1"/>
  <c r="BD512" i="1"/>
  <c r="AT512" i="1" s="1"/>
  <c r="AY512" i="1"/>
  <c r="AU512" i="1" s="1"/>
  <c r="AQ513" i="1" l="1"/>
  <c r="AN513" i="1"/>
  <c r="AO513" i="1"/>
  <c r="AR513" i="1"/>
  <c r="BG513" i="1" l="1"/>
  <c r="BH513" i="1"/>
  <c r="BB513" i="1" s="1"/>
  <c r="BI513" i="1"/>
  <c r="BE513" i="1" l="1"/>
  <c r="BD513" i="1"/>
  <c r="AY513" i="1"/>
  <c r="AU513" i="1" s="1"/>
  <c r="AX513" i="1"/>
  <c r="BA513" i="1"/>
  <c r="AR514" i="1" l="1"/>
  <c r="AO514" i="1"/>
  <c r="AT513" i="1"/>
  <c r="AQ514" i="1" l="1"/>
  <c r="AN514" i="1"/>
  <c r="BG514" i="1" l="1"/>
  <c r="AY514" i="1" s="1"/>
  <c r="AX514" i="1"/>
  <c r="BI514" i="1"/>
  <c r="BH514" i="1"/>
  <c r="BB514" i="1" s="1"/>
  <c r="BA514" i="1" l="1"/>
  <c r="BD514" i="1"/>
  <c r="AT514" i="1" s="1"/>
  <c r="BE514" i="1"/>
  <c r="AU514" i="1" s="1"/>
  <c r="AQ515" i="1" l="1"/>
  <c r="AN515" i="1"/>
  <c r="AR515" i="1"/>
  <c r="AO515" i="1"/>
  <c r="BG515" i="1" l="1"/>
  <c r="AY515" i="1" s="1"/>
  <c r="BI515" i="1"/>
  <c r="BE515" i="1" s="1"/>
  <c r="BH515" i="1"/>
  <c r="BB515" i="1" s="1"/>
  <c r="AU515" i="1" s="1"/>
  <c r="BD515" i="1"/>
  <c r="BA515" i="1" l="1"/>
  <c r="AO516" i="1"/>
  <c r="AR516" i="1"/>
  <c r="AX515" i="1"/>
  <c r="AT515" i="1" s="1"/>
  <c r="AN516" i="1" l="1"/>
  <c r="AQ516" i="1"/>
  <c r="BH516" i="1" l="1"/>
  <c r="BB516" i="1" s="1"/>
  <c r="BG516" i="1"/>
  <c r="AY516" i="1" s="1"/>
  <c r="BI516" i="1"/>
  <c r="BE516" i="1" s="1"/>
  <c r="AX516" i="1"/>
  <c r="BA516" i="1"/>
  <c r="AU516" i="1" l="1"/>
  <c r="BD516" i="1"/>
  <c r="AT516" i="1" s="1"/>
  <c r="AN517" i="1" l="1"/>
  <c r="AQ517" i="1"/>
  <c r="AO517" i="1"/>
  <c r="AR517" i="1"/>
  <c r="BH517" i="1" l="1"/>
  <c r="BB517" i="1" s="1"/>
  <c r="BG517" i="1"/>
  <c r="BI517" i="1"/>
  <c r="BE517" i="1" s="1"/>
  <c r="BA517" i="1"/>
  <c r="AY517" i="1" l="1"/>
  <c r="AU517" i="1" s="1"/>
  <c r="AX517" i="1"/>
  <c r="BD517" i="1"/>
  <c r="AT517" i="1" l="1"/>
  <c r="AR518" i="1"/>
  <c r="AO518" i="1"/>
  <c r="AQ518" i="1" l="1"/>
  <c r="AN518" i="1"/>
  <c r="BI518" i="1" l="1"/>
  <c r="BE518" i="1" s="1"/>
  <c r="BH518" i="1"/>
  <c r="BB518" i="1" s="1"/>
  <c r="BG518" i="1"/>
  <c r="AY518" i="1" s="1"/>
  <c r="AU518" i="1" s="1"/>
  <c r="BD518" i="1"/>
  <c r="BA518" i="1"/>
  <c r="AX518" i="1" l="1"/>
  <c r="AT518" i="1" s="1"/>
  <c r="AO519" i="1"/>
  <c r="AR519" i="1"/>
  <c r="AN519" i="1" l="1"/>
  <c r="AQ519" i="1"/>
  <c r="BI519" i="1"/>
  <c r="BG519" i="1"/>
  <c r="AY519" i="1" s="1"/>
  <c r="BH519" i="1"/>
  <c r="BB519" i="1" l="1"/>
  <c r="BA519" i="1"/>
  <c r="BE519" i="1"/>
  <c r="BD519" i="1"/>
  <c r="AX519" i="1"/>
  <c r="AU519" i="1" l="1"/>
  <c r="AO520" i="1"/>
  <c r="AR520" i="1"/>
  <c r="AT519" i="1"/>
  <c r="AQ520" i="1" l="1"/>
  <c r="AN520" i="1"/>
  <c r="BH520" i="1" l="1"/>
  <c r="BB520" i="1" s="1"/>
  <c r="BI520" i="1"/>
  <c r="BE520" i="1" s="1"/>
  <c r="BG520" i="1"/>
  <c r="AY520" i="1" s="1"/>
  <c r="BD520" i="1" l="1"/>
  <c r="AU520" i="1"/>
  <c r="AX520" i="1"/>
  <c r="BA520" i="1"/>
  <c r="AO521" i="1" l="1"/>
  <c r="AR521" i="1"/>
  <c r="AT520" i="1"/>
  <c r="AQ521" i="1" l="1"/>
  <c r="AN521" i="1"/>
  <c r="BG521" i="1" l="1"/>
  <c r="AY521" i="1" s="1"/>
  <c r="BH521" i="1"/>
  <c r="BB521" i="1" s="1"/>
  <c r="BI521" i="1"/>
  <c r="BE521" i="1" s="1"/>
  <c r="AX521" i="1"/>
  <c r="BA521" i="1"/>
  <c r="BD521" i="1" l="1"/>
  <c r="AT521" i="1" s="1"/>
  <c r="AU521" i="1"/>
  <c r="AR522" i="1" l="1"/>
  <c r="AO522" i="1"/>
  <c r="AN522" i="1"/>
  <c r="AQ522" i="1"/>
  <c r="BG522" i="1" l="1"/>
  <c r="AX522" i="1" s="1"/>
  <c r="BH522" i="1"/>
  <c r="BA522" i="1" s="1"/>
  <c r="BI522" i="1"/>
  <c r="BD522" i="1" s="1"/>
  <c r="AY522" i="1"/>
  <c r="BE522" i="1"/>
  <c r="BB522" i="1"/>
  <c r="AU522" i="1" l="1"/>
  <c r="AT522" i="1"/>
  <c r="AQ523" i="1" l="1"/>
  <c r="AN523" i="1"/>
  <c r="AO523" i="1"/>
  <c r="AR523" i="1"/>
  <c r="BI523" i="1" l="1"/>
  <c r="BG523" i="1"/>
  <c r="BH523" i="1"/>
  <c r="BA523" i="1" l="1"/>
  <c r="BB523" i="1"/>
  <c r="AY523" i="1"/>
  <c r="AX523" i="1"/>
  <c r="BD523" i="1"/>
  <c r="BE523" i="1"/>
  <c r="AU523" i="1" l="1"/>
  <c r="AT523" i="1"/>
  <c r="AN524" i="1" l="1"/>
  <c r="AQ524" i="1"/>
  <c r="AR524" i="1"/>
  <c r="AO524" i="1"/>
  <c r="BG524" i="1" l="1"/>
  <c r="AY524" i="1" s="1"/>
  <c r="BH524" i="1"/>
  <c r="BI524" i="1"/>
  <c r="BE524" i="1" s="1"/>
  <c r="AX524" i="1"/>
  <c r="BB524" i="1" l="1"/>
  <c r="BA524" i="1"/>
  <c r="BD524" i="1"/>
  <c r="AU524" i="1"/>
  <c r="AT524" i="1" l="1"/>
  <c r="AN525" i="1"/>
  <c r="AQ525" i="1"/>
  <c r="AR525" i="1"/>
  <c r="AO525" i="1"/>
  <c r="BH525" i="1" l="1"/>
  <c r="BB525" i="1" s="1"/>
  <c r="BI525" i="1"/>
  <c r="BE525" i="1" s="1"/>
  <c r="BG525" i="1"/>
  <c r="BA525" i="1"/>
  <c r="AY525" i="1" l="1"/>
  <c r="AU525" i="1" s="1"/>
  <c r="AX525" i="1"/>
  <c r="BD525" i="1"/>
  <c r="AT525" i="1" l="1"/>
  <c r="AN526" i="1"/>
  <c r="AQ526" i="1"/>
  <c r="AO526" i="1"/>
  <c r="AR526" i="1"/>
  <c r="BH526" i="1" l="1"/>
  <c r="BB526" i="1" s="1"/>
  <c r="BA526" i="1"/>
  <c r="BI526" i="1"/>
  <c r="BE526" i="1" s="1"/>
  <c r="BG526" i="1"/>
  <c r="AY526" i="1" s="1"/>
  <c r="AU526" i="1" l="1"/>
  <c r="AO527" i="1"/>
  <c r="AR527" i="1"/>
  <c r="BD526" i="1"/>
  <c r="AX526" i="1"/>
  <c r="AT526" i="1" l="1"/>
  <c r="AN527" i="1"/>
  <c r="AQ527" i="1"/>
  <c r="BG527" i="1" l="1"/>
  <c r="AY527" i="1" s="1"/>
  <c r="BH527" i="1"/>
  <c r="AX527" i="1"/>
  <c r="BI527" i="1"/>
  <c r="BB527" i="1" l="1"/>
  <c r="BA527" i="1"/>
  <c r="BE527" i="1"/>
  <c r="BD527" i="1"/>
  <c r="AU527" i="1"/>
  <c r="AT527" i="1" l="1"/>
  <c r="AR528" i="1"/>
  <c r="AO528" i="1"/>
  <c r="AQ528" i="1" l="1"/>
  <c r="AN528" i="1"/>
  <c r="BH528" i="1" l="1"/>
  <c r="BB528" i="1" s="1"/>
  <c r="BG528" i="1"/>
  <c r="AY528" i="1" s="1"/>
  <c r="BI528" i="1"/>
  <c r="BE528" i="1" s="1"/>
  <c r="BA528" i="1"/>
  <c r="AX528" i="1"/>
  <c r="AU528" i="1" l="1"/>
  <c r="BD528" i="1"/>
  <c r="AT528" i="1" s="1"/>
  <c r="AO529" i="1"/>
  <c r="AR529" i="1"/>
  <c r="AN529" i="1" l="1"/>
  <c r="AQ529" i="1"/>
  <c r="BI529" i="1" l="1"/>
  <c r="BE529" i="1" s="1"/>
  <c r="BH529" i="1"/>
  <c r="BG529" i="1"/>
  <c r="BD529" i="1" l="1"/>
  <c r="AY529" i="1"/>
  <c r="AX529" i="1"/>
  <c r="BB529" i="1"/>
  <c r="BA529" i="1"/>
  <c r="AT529" i="1" s="1"/>
  <c r="AQ530" i="1" l="1"/>
  <c r="AN530" i="1"/>
  <c r="AU529" i="1"/>
  <c r="AR530" i="1" l="1"/>
  <c r="AO530" i="1"/>
  <c r="BH530" i="1"/>
  <c r="BI530" i="1"/>
  <c r="BE530" i="1" s="1"/>
  <c r="BG530" i="1"/>
  <c r="AY530" i="1" l="1"/>
  <c r="AX530" i="1"/>
  <c r="BD530" i="1"/>
  <c r="BB530" i="1"/>
  <c r="BA530" i="1"/>
  <c r="AT530" i="1" l="1"/>
  <c r="AU530" i="1"/>
  <c r="AO531" i="1" l="1"/>
  <c r="AR531" i="1"/>
  <c r="AQ531" i="1"/>
  <c r="AN531" i="1"/>
  <c r="BI531" i="1" l="1"/>
  <c r="BE531" i="1" s="1"/>
  <c r="BD531" i="1"/>
  <c r="BG531" i="1"/>
  <c r="BH531" i="1"/>
  <c r="AY531" i="1" l="1"/>
  <c r="AX531" i="1"/>
  <c r="BB531" i="1"/>
  <c r="BA531" i="1"/>
  <c r="AT531" i="1" s="1"/>
  <c r="AN532" i="1" l="1"/>
  <c r="AQ532" i="1"/>
  <c r="AU531" i="1"/>
  <c r="AO532" i="1" l="1"/>
  <c r="AR532" i="1"/>
  <c r="BH532" i="1"/>
  <c r="BG532" i="1"/>
  <c r="BI532" i="1"/>
  <c r="AY532" i="1" l="1"/>
  <c r="AX532" i="1"/>
  <c r="BE532" i="1"/>
  <c r="BD532" i="1"/>
  <c r="BB532" i="1"/>
  <c r="BA532" i="1"/>
  <c r="AT532" i="1" l="1"/>
  <c r="AU532" i="1"/>
  <c r="AQ533" i="1" l="1"/>
  <c r="AN533" i="1"/>
  <c r="AR533" i="1"/>
  <c r="AO533" i="1"/>
  <c r="BI533" i="1" l="1"/>
  <c r="BE533" i="1" s="1"/>
  <c r="BG533" i="1"/>
  <c r="AY533" i="1" s="1"/>
  <c r="BH533" i="1"/>
  <c r="BB533" i="1" s="1"/>
  <c r="BD533" i="1"/>
  <c r="AU533" i="1" l="1"/>
  <c r="BA533" i="1"/>
  <c r="AO534" i="1"/>
  <c r="AR534" i="1"/>
  <c r="AX533" i="1"/>
  <c r="AT533" i="1" s="1"/>
  <c r="AQ534" i="1" l="1"/>
  <c r="AN534" i="1"/>
  <c r="BH534" i="1" l="1"/>
  <c r="BB534" i="1" s="1"/>
  <c r="BI534" i="1"/>
  <c r="BG534" i="1"/>
  <c r="AY534" i="1" s="1"/>
  <c r="BA534" i="1"/>
  <c r="BD534" i="1" l="1"/>
  <c r="BE534" i="1"/>
  <c r="AU534" i="1" s="1"/>
  <c r="AX534" i="1"/>
  <c r="AT534" i="1" s="1"/>
  <c r="AN535" i="1" l="1"/>
  <c r="AQ535" i="1"/>
  <c r="AO535" i="1"/>
  <c r="AR535" i="1"/>
  <c r="BI535" i="1" l="1"/>
  <c r="BE535" i="1" s="1"/>
  <c r="BH535" i="1"/>
  <c r="BB535" i="1" s="1"/>
  <c r="BG535" i="1"/>
  <c r="AY535" i="1" s="1"/>
  <c r="BD535" i="1"/>
  <c r="AX535" i="1"/>
  <c r="BA535" i="1" l="1"/>
  <c r="AT535" i="1" s="1"/>
  <c r="AU535" i="1"/>
  <c r="AO536" i="1" l="1"/>
  <c r="AR536" i="1"/>
  <c r="AQ536" i="1"/>
  <c r="AN536" i="1"/>
  <c r="BH536" i="1" l="1"/>
  <c r="BG536" i="1"/>
  <c r="BI536" i="1"/>
  <c r="BA536" i="1"/>
  <c r="AX536" i="1"/>
  <c r="BD536" i="1"/>
  <c r="BE536" i="1"/>
  <c r="AY536" i="1"/>
  <c r="BB536" i="1"/>
  <c r="AT536" i="1" l="1"/>
  <c r="AU536" i="1"/>
  <c r="AR537" i="1" l="1"/>
  <c r="AO537" i="1"/>
  <c r="AQ537" i="1"/>
  <c r="AN537" i="1"/>
  <c r="BG537" i="1" l="1"/>
  <c r="AY537" i="1" s="1"/>
  <c r="BI537" i="1"/>
  <c r="BE537" i="1" s="1"/>
  <c r="BH537" i="1"/>
  <c r="BB537" i="1" s="1"/>
  <c r="BD537" i="1"/>
  <c r="BA537" i="1"/>
  <c r="AX537" i="1" l="1"/>
  <c r="AT537" i="1"/>
  <c r="AQ538" i="1" s="1"/>
  <c r="AN538" i="1"/>
  <c r="AU537" i="1"/>
  <c r="AR538" i="1" l="1"/>
  <c r="AO538" i="1"/>
  <c r="BH538" i="1"/>
  <c r="BB538" i="1" s="1"/>
  <c r="BI538" i="1"/>
  <c r="BE538" i="1" s="1"/>
  <c r="BD538" i="1"/>
  <c r="BG538" i="1"/>
  <c r="AY538" i="1" s="1"/>
  <c r="AU538" i="1" s="1"/>
  <c r="BA538" i="1"/>
  <c r="AX538" i="1" l="1"/>
  <c r="AT538" i="1"/>
  <c r="AO539" i="1"/>
  <c r="AR539" i="1"/>
  <c r="AQ539" i="1" l="1"/>
  <c r="AN539" i="1"/>
  <c r="BH539" i="1" l="1"/>
  <c r="BB539" i="1" s="1"/>
  <c r="BI539" i="1"/>
  <c r="BE539" i="1" s="1"/>
  <c r="BG539" i="1"/>
  <c r="AY539" i="1" s="1"/>
  <c r="BD539" i="1"/>
  <c r="BA539" i="1"/>
  <c r="AX539" i="1" l="1"/>
  <c r="AT539" i="1"/>
  <c r="AU539" i="1"/>
  <c r="AO540" i="1" l="1"/>
  <c r="AR540" i="1"/>
  <c r="AQ540" i="1"/>
  <c r="AN540" i="1"/>
  <c r="BH540" i="1" l="1"/>
  <c r="BB540" i="1" s="1"/>
  <c r="BG540" i="1"/>
  <c r="AY540" i="1" s="1"/>
  <c r="BI540" i="1"/>
  <c r="BE540" i="1" s="1"/>
  <c r="BA540" i="1"/>
  <c r="AX540" i="1"/>
  <c r="BD540" i="1"/>
  <c r="AU540" i="1" l="1"/>
  <c r="AT540" i="1"/>
  <c r="AQ541" i="1" s="1"/>
  <c r="AN541" i="1"/>
  <c r="AO541" i="1" l="1"/>
  <c r="AR541" i="1"/>
  <c r="BI541" i="1"/>
  <c r="BH541" i="1"/>
  <c r="BB541" i="1" s="1"/>
  <c r="BG541" i="1"/>
  <c r="AY541" i="1" s="1"/>
  <c r="BA541" i="1"/>
  <c r="AX541" i="1" l="1"/>
  <c r="BE541" i="1"/>
  <c r="AU541" i="1" s="1"/>
  <c r="BD541" i="1"/>
  <c r="AT541" i="1" s="1"/>
  <c r="AR542" i="1" l="1"/>
  <c r="AO542" i="1"/>
  <c r="AQ542" i="1"/>
  <c r="AN542" i="1"/>
  <c r="BH542" i="1" l="1"/>
  <c r="BB542" i="1" s="1"/>
  <c r="BI542" i="1"/>
  <c r="BE542" i="1" s="1"/>
  <c r="BA542" i="1"/>
  <c r="BG542" i="1"/>
  <c r="BD542" i="1"/>
  <c r="AY542" i="1" l="1"/>
  <c r="AU542" i="1" s="1"/>
  <c r="AX542" i="1"/>
  <c r="AT542" i="1" s="1"/>
  <c r="AN543" i="1" l="1"/>
  <c r="AQ543" i="1"/>
  <c r="AR543" i="1"/>
  <c r="AO543" i="1"/>
  <c r="BH543" i="1" l="1"/>
  <c r="BI543" i="1"/>
  <c r="BE543" i="1" s="1"/>
  <c r="BG543" i="1"/>
  <c r="AY543" i="1" s="1"/>
  <c r="BD543" i="1"/>
  <c r="AX543" i="1" l="1"/>
  <c r="BB543" i="1"/>
  <c r="AU543" i="1" s="1"/>
  <c r="BA543" i="1"/>
  <c r="AT543" i="1" s="1"/>
  <c r="AN544" i="1" l="1"/>
  <c r="AQ544" i="1"/>
  <c r="AO544" i="1"/>
  <c r="AR544" i="1"/>
  <c r="BG544" i="1" l="1"/>
  <c r="AY544" i="1" s="1"/>
  <c r="BI544" i="1"/>
  <c r="BE544" i="1" s="1"/>
  <c r="BH544" i="1"/>
  <c r="BB544" i="1" s="1"/>
  <c r="AX544" i="1"/>
  <c r="BD544" i="1"/>
  <c r="BA544" i="1"/>
  <c r="AU544" i="1" l="1"/>
  <c r="AT544" i="1"/>
  <c r="AQ545" i="1" l="1"/>
  <c r="AN545" i="1"/>
  <c r="AR545" i="1"/>
  <c r="AO545" i="1"/>
  <c r="BH545" i="1" l="1"/>
  <c r="BB545" i="1" s="1"/>
  <c r="BA545" i="1"/>
  <c r="BI545" i="1"/>
  <c r="BE545" i="1" s="1"/>
  <c r="BD545" i="1"/>
  <c r="BG545" i="1"/>
  <c r="AY545" i="1" l="1"/>
  <c r="AU545" i="1" s="1"/>
  <c r="AX545" i="1"/>
  <c r="AT545" i="1" s="1"/>
  <c r="AN546" i="1" l="1"/>
  <c r="AQ546" i="1"/>
  <c r="AR546" i="1"/>
  <c r="AO546" i="1"/>
  <c r="BH546" i="1" l="1"/>
  <c r="BB546" i="1" s="1"/>
  <c r="BI546" i="1"/>
  <c r="BE546" i="1" s="1"/>
  <c r="BA546" i="1"/>
  <c r="BD546" i="1"/>
  <c r="BG546" i="1"/>
  <c r="AY546" i="1" l="1"/>
  <c r="AU546" i="1" s="1"/>
  <c r="AX546" i="1"/>
  <c r="AT546" i="1" s="1"/>
  <c r="AN547" i="1" l="1"/>
  <c r="AQ547" i="1"/>
  <c r="AR547" i="1"/>
  <c r="AO547" i="1"/>
  <c r="BH547" i="1" l="1"/>
  <c r="BB547" i="1" s="1"/>
  <c r="BG547" i="1"/>
  <c r="AY547" i="1" s="1"/>
  <c r="BA547" i="1"/>
  <c r="BI547" i="1"/>
  <c r="BE547" i="1" s="1"/>
  <c r="AX547" i="1"/>
  <c r="AU547" i="1" l="1"/>
  <c r="BD547" i="1"/>
  <c r="AT547" i="1" s="1"/>
  <c r="AN548" i="1" l="1"/>
  <c r="AQ548" i="1"/>
  <c r="AR548" i="1"/>
  <c r="AO548" i="1"/>
  <c r="BG548" i="1" l="1"/>
  <c r="AX548" i="1" s="1"/>
  <c r="AY548" i="1"/>
  <c r="BI548" i="1"/>
  <c r="BH548" i="1"/>
  <c r="BA548" i="1" l="1"/>
  <c r="BB548" i="1"/>
  <c r="BD548" i="1"/>
  <c r="BE548" i="1"/>
  <c r="AU548" i="1" s="1"/>
  <c r="AT548" i="1"/>
  <c r="AR549" i="1" l="1"/>
  <c r="AO549" i="1"/>
  <c r="AQ549" i="1"/>
  <c r="AN549" i="1"/>
  <c r="BI549" i="1" l="1"/>
  <c r="BD549" i="1" s="1"/>
  <c r="BG549" i="1"/>
  <c r="AX549" i="1" s="1"/>
  <c r="BH549" i="1"/>
  <c r="BA549" i="1" s="1"/>
  <c r="AY549" i="1"/>
  <c r="BB549" i="1"/>
  <c r="BE549" i="1"/>
  <c r="AT549" i="1" l="1"/>
  <c r="AU549" i="1"/>
  <c r="AR550" i="1" l="1"/>
  <c r="AO550" i="1"/>
  <c r="AQ550" i="1"/>
  <c r="AN550" i="1"/>
  <c r="BH550" i="1" l="1"/>
  <c r="BI550" i="1"/>
  <c r="BG550" i="1"/>
  <c r="AY550" i="1" s="1"/>
  <c r="AX550" i="1" l="1"/>
  <c r="BE550" i="1"/>
  <c r="BD550" i="1"/>
  <c r="BB550" i="1"/>
  <c r="AU550" i="1" s="1"/>
  <c r="BA550" i="1"/>
  <c r="AT550" i="1" s="1"/>
  <c r="AN551" i="1" l="1"/>
  <c r="AQ551" i="1"/>
  <c r="AO551" i="1"/>
  <c r="AR551" i="1"/>
  <c r="BH551" i="1"/>
  <c r="BG551" i="1"/>
  <c r="BI551" i="1"/>
  <c r="AX551" i="1" l="1"/>
  <c r="AY551" i="1"/>
  <c r="BD551" i="1"/>
  <c r="BE551" i="1"/>
  <c r="BA551" i="1"/>
  <c r="BB551" i="1"/>
  <c r="AU551" i="1" l="1"/>
  <c r="AT551" i="1"/>
  <c r="AQ552" i="1" l="1"/>
  <c r="AN552" i="1"/>
  <c r="AR552" i="1"/>
  <c r="AO552" i="1"/>
  <c r="BG552" i="1" l="1"/>
  <c r="BH552" i="1"/>
  <c r="BI552" i="1"/>
  <c r="BD552" i="1" l="1"/>
  <c r="BE552" i="1"/>
  <c r="BA552" i="1"/>
  <c r="BB552" i="1"/>
  <c r="AX552" i="1"/>
  <c r="AT552" i="1" s="1"/>
  <c r="AY552" i="1"/>
  <c r="AU552" i="1" s="1"/>
  <c r="AR553" i="1" s="1"/>
  <c r="AO553" i="1" l="1"/>
  <c r="AN553" i="1"/>
  <c r="AQ553" i="1"/>
  <c r="BG553" i="1"/>
  <c r="AX553" i="1" s="1"/>
  <c r="BI553" i="1"/>
  <c r="BD553" i="1" s="1"/>
  <c r="BH553" i="1"/>
  <c r="BA553" i="1" s="1"/>
  <c r="AT553" i="1" l="1"/>
  <c r="BB553" i="1"/>
  <c r="AY553" i="1"/>
  <c r="BE553" i="1"/>
  <c r="AU553" i="1" l="1"/>
  <c r="AQ554" i="1"/>
  <c r="AN554" i="1"/>
  <c r="AR554" i="1" l="1"/>
  <c r="AO554" i="1"/>
  <c r="BG554" i="1" l="1"/>
  <c r="AX554" i="1" s="1"/>
  <c r="BH554" i="1"/>
  <c r="BA554" i="1" s="1"/>
  <c r="BI554" i="1"/>
  <c r="BD554" i="1" s="1"/>
  <c r="AT554" i="1" l="1"/>
  <c r="BB554" i="1"/>
  <c r="BE554" i="1"/>
  <c r="AY554" i="1"/>
  <c r="AU554" i="1" l="1"/>
  <c r="AN555" i="1"/>
  <c r="AQ555" i="1"/>
  <c r="AO555" i="1" l="1"/>
  <c r="AR555" i="1"/>
  <c r="BI555" i="1" l="1"/>
  <c r="BD555" i="1" s="1"/>
  <c r="BG555" i="1"/>
  <c r="AX555" i="1" s="1"/>
  <c r="BH555" i="1"/>
  <c r="BA555" i="1" s="1"/>
  <c r="AT555" i="1" l="1"/>
  <c r="BE555" i="1"/>
  <c r="AY555" i="1"/>
  <c r="BB555" i="1"/>
  <c r="AU555" i="1" l="1"/>
  <c r="AQ556" i="1"/>
  <c r="AN556" i="1"/>
  <c r="AO556" i="1" l="1"/>
  <c r="AR556" i="1"/>
  <c r="BI556" i="1" l="1"/>
  <c r="BD556" i="1" s="1"/>
  <c r="BG556" i="1"/>
  <c r="AX556" i="1" s="1"/>
  <c r="BH556" i="1"/>
  <c r="BA556" i="1" s="1"/>
  <c r="BE556" i="1" l="1"/>
  <c r="AT556" i="1"/>
  <c r="BB556" i="1"/>
  <c r="AY556" i="1"/>
  <c r="AU556" i="1" l="1"/>
  <c r="AO557" i="1"/>
  <c r="AR557" i="1"/>
  <c r="AN557" i="1"/>
  <c r="AQ557" i="1"/>
  <c r="BH557" i="1" l="1"/>
  <c r="BG557" i="1"/>
  <c r="BI557" i="1"/>
  <c r="BD557" i="1" s="1"/>
  <c r="BA557" i="1"/>
  <c r="AX557" i="1"/>
  <c r="BB557" i="1"/>
  <c r="AY557" i="1"/>
  <c r="BE557" i="1" l="1"/>
  <c r="AU557" i="1" s="1"/>
  <c r="AT557" i="1"/>
  <c r="AN558" i="1" s="1"/>
  <c r="AR558" i="1" l="1"/>
  <c r="AO558" i="1"/>
  <c r="BI558" i="1"/>
  <c r="BD558" i="1" s="1"/>
  <c r="AQ558" i="1"/>
  <c r="BH558" i="1"/>
  <c r="BA558" i="1" s="1"/>
  <c r="BG558" i="1"/>
  <c r="AX558" i="1" s="1"/>
  <c r="BE558" i="1" l="1"/>
  <c r="BB558" i="1"/>
  <c r="AT558" i="1"/>
  <c r="AY558" i="1"/>
  <c r="AU558" i="1" l="1"/>
  <c r="AN559" i="1"/>
  <c r="AQ559" i="1"/>
  <c r="AR559" i="1"/>
  <c r="AO559" i="1"/>
  <c r="BH559" i="1" l="1"/>
  <c r="BA559" i="1" s="1"/>
  <c r="BI559" i="1"/>
  <c r="BE559" i="1" s="1"/>
  <c r="BG559" i="1"/>
  <c r="AY559" i="1" s="1"/>
  <c r="BD559" i="1" l="1"/>
  <c r="AX559" i="1"/>
  <c r="BB559" i="1"/>
  <c r="AU559" i="1" s="1"/>
  <c r="AT559" i="1" l="1"/>
  <c r="AR560" i="1"/>
  <c r="AO560" i="1"/>
  <c r="AQ560" i="1"/>
  <c r="AN560" i="1"/>
  <c r="BH560" i="1" l="1"/>
  <c r="BB560" i="1" s="1"/>
  <c r="BG560" i="1"/>
  <c r="AY560" i="1" s="1"/>
  <c r="BI560" i="1"/>
  <c r="BE560" i="1" s="1"/>
  <c r="BA560" i="1"/>
  <c r="BD560" i="1" l="1"/>
  <c r="AX560" i="1"/>
  <c r="AT560" i="1" s="1"/>
  <c r="AU560" i="1"/>
  <c r="AQ561" i="1" l="1"/>
  <c r="AN561" i="1"/>
  <c r="AR561" i="1"/>
  <c r="AO561" i="1"/>
  <c r="BI561" i="1" l="1"/>
  <c r="BE561" i="1" s="1"/>
  <c r="BH561" i="1"/>
  <c r="BB561" i="1" s="1"/>
  <c r="BD561" i="1"/>
  <c r="BG561" i="1"/>
  <c r="AY561" i="1" s="1"/>
  <c r="BA561" i="1"/>
  <c r="AU561" i="1" l="1"/>
  <c r="AR562" i="1" s="1"/>
  <c r="AX561" i="1"/>
  <c r="AT561" i="1" s="1"/>
  <c r="AO562" i="1"/>
  <c r="AQ562" i="1" l="1"/>
  <c r="AN562" i="1"/>
  <c r="BH562" i="1" l="1"/>
  <c r="BB562" i="1" s="1"/>
  <c r="BG562" i="1"/>
  <c r="AY562" i="1" s="1"/>
  <c r="BI562" i="1"/>
  <c r="BE562" i="1" s="1"/>
  <c r="BA562" i="1" l="1"/>
  <c r="AU562" i="1"/>
  <c r="AR563" i="1" s="1"/>
  <c r="AO563" i="1"/>
  <c r="AX562" i="1"/>
  <c r="BD562" i="1"/>
  <c r="AT562" i="1" l="1"/>
  <c r="AQ563" i="1"/>
  <c r="AN563" i="1"/>
  <c r="BH563" i="1" l="1"/>
  <c r="BB563" i="1" s="1"/>
  <c r="BI563" i="1"/>
  <c r="BE563" i="1" s="1"/>
  <c r="BG563" i="1"/>
  <c r="AY563" i="1" s="1"/>
  <c r="BD563" i="1"/>
  <c r="AU563" i="1" l="1"/>
  <c r="BA563" i="1"/>
  <c r="AX563" i="1"/>
  <c r="AT563" i="1" s="1"/>
  <c r="AO564" i="1"/>
  <c r="AR564" i="1"/>
  <c r="AQ564" i="1" l="1"/>
  <c r="AN564" i="1"/>
  <c r="BH564" i="1" l="1"/>
  <c r="BB564" i="1" s="1"/>
  <c r="BG564" i="1"/>
  <c r="AY564" i="1" s="1"/>
  <c r="BI564" i="1"/>
  <c r="BE564" i="1" s="1"/>
  <c r="AX564" i="1"/>
  <c r="BD564" i="1"/>
  <c r="BA564" i="1" l="1"/>
  <c r="AU564" i="1"/>
  <c r="AR565" i="1" s="1"/>
  <c r="AO565" i="1"/>
  <c r="AT564" i="1"/>
  <c r="AN565" i="1" l="1"/>
  <c r="AQ565" i="1"/>
  <c r="BG565" i="1" l="1"/>
  <c r="AY565" i="1" s="1"/>
  <c r="BH565" i="1"/>
  <c r="BB565" i="1" s="1"/>
  <c r="BI565" i="1"/>
  <c r="BE565" i="1" s="1"/>
  <c r="AX565" i="1"/>
  <c r="BA565" i="1" l="1"/>
  <c r="AU565" i="1"/>
  <c r="BD565" i="1"/>
  <c r="AT565" i="1" l="1"/>
  <c r="AQ566" i="1"/>
  <c r="AN566" i="1"/>
  <c r="AO566" i="1"/>
  <c r="AR566" i="1"/>
  <c r="BI566" i="1" l="1"/>
  <c r="BE566" i="1" s="1"/>
  <c r="BG566" i="1"/>
  <c r="AY566" i="1" s="1"/>
  <c r="BH566" i="1"/>
  <c r="BB566" i="1" s="1"/>
  <c r="BD566" i="1" l="1"/>
  <c r="BA566" i="1"/>
  <c r="AX566" i="1"/>
  <c r="AU566" i="1"/>
  <c r="AT566" i="1" l="1"/>
  <c r="AO567" i="1"/>
  <c r="AR567" i="1"/>
  <c r="AN567" i="1"/>
  <c r="AQ567" i="1"/>
  <c r="BG567" i="1" l="1"/>
  <c r="AY567" i="1" s="1"/>
  <c r="BH567" i="1"/>
  <c r="BB567" i="1" s="1"/>
  <c r="BI567" i="1"/>
  <c r="BE567" i="1" s="1"/>
  <c r="AX567" i="1"/>
  <c r="BA567" i="1"/>
  <c r="BD567" i="1" l="1"/>
  <c r="AT567" i="1" s="1"/>
  <c r="AQ568" i="1" s="1"/>
  <c r="AU567" i="1"/>
  <c r="AN568" i="1" l="1"/>
  <c r="AO568" i="1"/>
  <c r="AR568" i="1"/>
  <c r="BH568" i="1" l="1"/>
  <c r="BI568" i="1"/>
  <c r="BG568" i="1"/>
  <c r="BE568" i="1" l="1"/>
  <c r="BD568" i="1"/>
  <c r="AY568" i="1"/>
  <c r="AX568" i="1"/>
  <c r="BB568" i="1"/>
  <c r="BA568" i="1"/>
  <c r="AU568" i="1" l="1"/>
  <c r="AT568" i="1"/>
  <c r="AQ569" i="1" l="1"/>
  <c r="AN569" i="1"/>
  <c r="AR569" i="1"/>
  <c r="AO569" i="1"/>
  <c r="BG569" i="1" l="1"/>
  <c r="AY569" i="1" s="1"/>
  <c r="BI569" i="1"/>
  <c r="BE569" i="1" s="1"/>
  <c r="BH569" i="1"/>
  <c r="BB569" i="1" s="1"/>
  <c r="AX569" i="1" l="1"/>
  <c r="BD569" i="1"/>
  <c r="BA569" i="1"/>
  <c r="AU569" i="1"/>
  <c r="AT569" i="1" l="1"/>
  <c r="AN570" i="1" s="1"/>
  <c r="AO570" i="1"/>
  <c r="AR570" i="1"/>
  <c r="AQ570" i="1" l="1"/>
  <c r="BH570" i="1"/>
  <c r="BB570" i="1" s="1"/>
  <c r="BI570" i="1"/>
  <c r="BE570" i="1" s="1"/>
  <c r="BG570" i="1"/>
  <c r="AY570" i="1" s="1"/>
  <c r="BD570" i="1"/>
  <c r="BA570" i="1" l="1"/>
  <c r="AU570" i="1"/>
  <c r="AR571" i="1" s="1"/>
  <c r="AX570" i="1"/>
  <c r="AT570" i="1" l="1"/>
  <c r="AO571" i="1"/>
  <c r="AQ571" i="1"/>
  <c r="AN571" i="1"/>
  <c r="BG571" i="1" l="1"/>
  <c r="AY571" i="1" s="1"/>
  <c r="BH571" i="1"/>
  <c r="BB571" i="1" s="1"/>
  <c r="BI571" i="1"/>
  <c r="BE571" i="1" s="1"/>
  <c r="AX571" i="1" l="1"/>
  <c r="BA571" i="1"/>
  <c r="AU571" i="1"/>
  <c r="BD571" i="1"/>
  <c r="AT571" i="1" l="1"/>
  <c r="AQ572" i="1"/>
  <c r="AN572" i="1"/>
  <c r="AR572" i="1"/>
  <c r="AO572" i="1"/>
  <c r="BG572" i="1" l="1"/>
  <c r="AY572" i="1" s="1"/>
  <c r="BH572" i="1"/>
  <c r="BB572" i="1" s="1"/>
  <c r="BI572" i="1"/>
  <c r="BE572" i="1" s="1"/>
  <c r="AX572" i="1"/>
  <c r="BD572" i="1" l="1"/>
  <c r="BA572" i="1"/>
  <c r="AU572" i="1"/>
  <c r="AT572" i="1" l="1"/>
  <c r="AN573" i="1"/>
  <c r="AQ573" i="1"/>
  <c r="AO573" i="1"/>
  <c r="AR573" i="1"/>
  <c r="BH573" i="1" l="1"/>
  <c r="BB573" i="1" s="1"/>
  <c r="BG573" i="1"/>
  <c r="AY573" i="1" s="1"/>
  <c r="BI573" i="1"/>
  <c r="BE573" i="1" s="1"/>
  <c r="AX573" i="1" l="1"/>
  <c r="BD573" i="1"/>
  <c r="AU573" i="1"/>
  <c r="BA573" i="1"/>
  <c r="AT573" i="1" s="1"/>
  <c r="AQ574" i="1" l="1"/>
  <c r="AN574" i="1"/>
  <c r="AR574" i="1"/>
  <c r="AO574" i="1"/>
  <c r="BG574" i="1" l="1"/>
  <c r="AY574" i="1" s="1"/>
  <c r="BI574" i="1"/>
  <c r="BE574" i="1" s="1"/>
  <c r="BH574" i="1"/>
  <c r="BB574" i="1" s="1"/>
  <c r="BD574" i="1" l="1"/>
  <c r="AU574" i="1"/>
  <c r="BA574" i="1"/>
  <c r="AX574" i="1"/>
  <c r="AT574" i="1" l="1"/>
  <c r="AN575" i="1"/>
  <c r="AQ575" i="1"/>
  <c r="AR575" i="1"/>
  <c r="AO575" i="1"/>
  <c r="BG575" i="1" l="1"/>
  <c r="AX575" i="1" s="1"/>
  <c r="BH575" i="1"/>
  <c r="BA575" i="1" s="1"/>
  <c r="BI575" i="1"/>
  <c r="BD575" i="1" s="1"/>
  <c r="AT575" i="1" l="1"/>
  <c r="AY575" i="1"/>
  <c r="BB575" i="1"/>
  <c r="BE575" i="1"/>
  <c r="AU575" i="1" l="1"/>
  <c r="AQ576" i="1"/>
  <c r="AN576" i="1"/>
  <c r="AO576" i="1" l="1"/>
  <c r="AR576" i="1"/>
  <c r="BG576" i="1" l="1"/>
  <c r="AX576" i="1" s="1"/>
  <c r="BH576" i="1"/>
  <c r="BA576" i="1" s="1"/>
  <c r="BI576" i="1"/>
  <c r="BD576" i="1" s="1"/>
  <c r="AT576" i="1" l="1"/>
  <c r="BB576" i="1"/>
  <c r="AY576" i="1"/>
  <c r="BE576" i="1"/>
  <c r="AU576" i="1" l="1"/>
  <c r="AQ577" i="1"/>
  <c r="AN577" i="1"/>
  <c r="AR577" i="1" l="1"/>
  <c r="AO577" i="1"/>
  <c r="BH577" i="1" l="1"/>
  <c r="BI577" i="1"/>
  <c r="BG577" i="1"/>
  <c r="AY577" i="1" l="1"/>
  <c r="AX577" i="1"/>
  <c r="BE577" i="1"/>
  <c r="BD577" i="1"/>
  <c r="BB577" i="1"/>
  <c r="BA577" i="1"/>
  <c r="AT577" i="1" l="1"/>
  <c r="AU577" i="1"/>
  <c r="AR578" i="1" l="1"/>
  <c r="AO578" i="1"/>
  <c r="AQ578" i="1"/>
  <c r="AN578" i="1"/>
  <c r="BG578" i="1" l="1"/>
  <c r="AX578" i="1" s="1"/>
  <c r="BI578" i="1"/>
  <c r="BH578" i="1"/>
  <c r="BA578" i="1" s="1"/>
  <c r="BD578" i="1"/>
  <c r="BE578" i="1"/>
  <c r="BB578" i="1" l="1"/>
  <c r="AY578" i="1"/>
  <c r="AU578" i="1" s="1"/>
  <c r="AT578" i="1"/>
  <c r="AN579" i="1" l="1"/>
  <c r="AQ579" i="1"/>
  <c r="AR579" i="1"/>
  <c r="AO579" i="1"/>
  <c r="BG579" i="1" l="1"/>
  <c r="AY579" i="1" s="1"/>
  <c r="BI579" i="1"/>
  <c r="BE579" i="1" s="1"/>
  <c r="BH579" i="1"/>
  <c r="BB579" i="1" s="1"/>
  <c r="AX579" i="1"/>
  <c r="BD579" i="1"/>
  <c r="BA579" i="1" l="1"/>
  <c r="AT579" i="1"/>
  <c r="AQ580" i="1" s="1"/>
  <c r="AU579" i="1"/>
  <c r="AN580" i="1"/>
  <c r="AR580" i="1" l="1"/>
  <c r="AO580" i="1"/>
  <c r="BH580" i="1" s="1"/>
  <c r="BA580" i="1" s="1"/>
  <c r="BB580" i="1" l="1"/>
  <c r="BG580" i="1"/>
  <c r="AX580" i="1" s="1"/>
  <c r="BI580" i="1"/>
  <c r="BD580" i="1" s="1"/>
  <c r="AT580" i="1" l="1"/>
  <c r="AN581" i="1"/>
  <c r="AQ581" i="1"/>
  <c r="AY580" i="1"/>
  <c r="BE580" i="1"/>
  <c r="AU580" i="1" l="1"/>
  <c r="AR581" i="1" l="1"/>
  <c r="AO581" i="1"/>
  <c r="BH581" i="1" l="1"/>
  <c r="BA581" i="1" s="1"/>
  <c r="BG581" i="1"/>
  <c r="AX581" i="1" s="1"/>
  <c r="BI581" i="1"/>
  <c r="BD581" i="1" s="1"/>
  <c r="AT581" i="1" l="1"/>
  <c r="BE581" i="1"/>
  <c r="BB581" i="1"/>
  <c r="AY581" i="1"/>
  <c r="AU581" i="1" l="1"/>
  <c r="AO582" i="1"/>
  <c r="AR582" i="1"/>
  <c r="AQ582" i="1"/>
  <c r="AN582" i="1"/>
  <c r="BG582" i="1" l="1"/>
  <c r="AY582" i="1" s="1"/>
  <c r="BH582" i="1"/>
  <c r="BB582" i="1" s="1"/>
  <c r="BI582" i="1"/>
  <c r="BE582" i="1" s="1"/>
  <c r="AX582" i="1"/>
  <c r="BD582" i="1" l="1"/>
  <c r="BA582" i="1"/>
  <c r="AU582" i="1"/>
  <c r="AT582" i="1" l="1"/>
  <c r="AN583" i="1" s="1"/>
  <c r="AQ583" i="1"/>
  <c r="AR583" i="1"/>
  <c r="AO583" i="1"/>
  <c r="BI583" i="1" l="1"/>
  <c r="BD583" i="1" s="1"/>
  <c r="BH583" i="1"/>
  <c r="BA583" i="1" s="1"/>
  <c r="BG583" i="1"/>
  <c r="AX583" i="1" s="1"/>
  <c r="AY583" i="1" l="1"/>
  <c r="AT583" i="1"/>
  <c r="BE583" i="1"/>
  <c r="BB583" i="1"/>
  <c r="AQ584" i="1" l="1"/>
  <c r="AN584" i="1"/>
  <c r="AU583" i="1"/>
  <c r="AR584" i="1" l="1"/>
  <c r="AO584" i="1"/>
  <c r="BI584" i="1" l="1"/>
  <c r="BD584" i="1" s="1"/>
  <c r="BG584" i="1"/>
  <c r="AX584" i="1" s="1"/>
  <c r="BH584" i="1"/>
  <c r="BA584" i="1" s="1"/>
  <c r="BE584" i="1" l="1"/>
  <c r="AT584" i="1"/>
  <c r="BB584" i="1"/>
  <c r="AY584" i="1"/>
  <c r="AU584" i="1" l="1"/>
  <c r="AQ585" i="1"/>
  <c r="AN585" i="1"/>
  <c r="AR585" i="1"/>
  <c r="AO585" i="1"/>
  <c r="BI585" i="1" l="1"/>
  <c r="BD585" i="1" s="1"/>
  <c r="BG585" i="1"/>
  <c r="AX585" i="1" s="1"/>
  <c r="BH585" i="1"/>
  <c r="BA585" i="1" s="1"/>
  <c r="AY585" i="1" l="1"/>
  <c r="BE585" i="1"/>
  <c r="AT585" i="1"/>
  <c r="BB585" i="1"/>
  <c r="AU585" i="1" s="1"/>
  <c r="AO586" i="1" l="1"/>
  <c r="AR586" i="1"/>
  <c r="AN586" i="1"/>
  <c r="AQ586" i="1"/>
  <c r="BG586" i="1" l="1"/>
  <c r="BH586" i="1"/>
  <c r="BA586" i="1" s="1"/>
  <c r="BI586" i="1"/>
  <c r="BD586" i="1" s="1"/>
  <c r="AX586" i="1"/>
  <c r="AY586" i="1"/>
  <c r="BE586" i="1"/>
  <c r="BB586" i="1"/>
  <c r="AT586" i="1" l="1"/>
  <c r="AU586" i="1"/>
  <c r="AR587" i="1" l="1"/>
  <c r="AO587" i="1"/>
  <c r="AQ587" i="1"/>
  <c r="AN587" i="1"/>
  <c r="BH587" i="1" l="1"/>
  <c r="BB587" i="1" s="1"/>
  <c r="BG587" i="1"/>
  <c r="AX587" i="1" s="1"/>
  <c r="BI587" i="1"/>
  <c r="BE587" i="1" s="1"/>
  <c r="AY587" i="1" l="1"/>
  <c r="AU587" i="1" s="1"/>
  <c r="BA587" i="1"/>
  <c r="BD587" i="1"/>
  <c r="AO588" i="1" l="1"/>
  <c r="AR588" i="1"/>
  <c r="AT587" i="1"/>
  <c r="AQ588" i="1" s="1"/>
  <c r="AN588" i="1"/>
  <c r="BI588" i="1" s="1"/>
  <c r="BH588" i="1" l="1"/>
  <c r="BB588" i="1" s="1"/>
  <c r="BG588" i="1"/>
  <c r="AY588" i="1" s="1"/>
  <c r="AU588" i="1" s="1"/>
  <c r="BE588" i="1"/>
  <c r="BD588" i="1"/>
  <c r="BA588" i="1"/>
  <c r="AX588" i="1"/>
  <c r="AT588" i="1" s="1"/>
  <c r="AR589" i="1" l="1"/>
  <c r="AO589" i="1"/>
  <c r="AQ589" i="1"/>
  <c r="AN589" i="1"/>
  <c r="BG589" i="1" l="1"/>
  <c r="AY589" i="1" s="1"/>
  <c r="BH589" i="1"/>
  <c r="BB589" i="1" s="1"/>
  <c r="BI589" i="1"/>
  <c r="BE589" i="1" s="1"/>
  <c r="AX589" i="1" l="1"/>
  <c r="BA589" i="1"/>
  <c r="BD589" i="1"/>
  <c r="AU589" i="1"/>
  <c r="AT589" i="1" l="1"/>
  <c r="AN590" i="1"/>
  <c r="AQ590" i="1"/>
  <c r="AR590" i="1"/>
  <c r="AO590" i="1"/>
  <c r="BI590" i="1" l="1"/>
  <c r="BG590" i="1"/>
  <c r="BH590" i="1"/>
  <c r="BB590" i="1" l="1"/>
  <c r="BA590" i="1"/>
  <c r="AY590" i="1"/>
  <c r="AX590" i="1"/>
  <c r="BE590" i="1"/>
  <c r="BD590" i="1"/>
  <c r="AT590" i="1" l="1"/>
  <c r="AU590" i="1"/>
  <c r="AO591" i="1" l="1"/>
  <c r="AR591" i="1"/>
  <c r="AQ591" i="1"/>
  <c r="AN591" i="1"/>
  <c r="BG591" i="1" l="1"/>
  <c r="AY591" i="1" s="1"/>
  <c r="AX591" i="1"/>
  <c r="BI591" i="1"/>
  <c r="BE591" i="1" s="1"/>
  <c r="BH591" i="1"/>
  <c r="BB591" i="1" s="1"/>
  <c r="BD591" i="1" l="1"/>
  <c r="BA591" i="1"/>
  <c r="AT591" i="1" s="1"/>
  <c r="AU591" i="1"/>
  <c r="AN592" i="1" l="1"/>
  <c r="AQ592" i="1"/>
  <c r="AO592" i="1"/>
  <c r="AR592" i="1"/>
  <c r="BG592" i="1" l="1"/>
  <c r="AY592" i="1" s="1"/>
  <c r="BH592" i="1"/>
  <c r="BB592" i="1" s="1"/>
  <c r="BI592" i="1"/>
  <c r="BE592" i="1" s="1"/>
  <c r="AX592" i="1" l="1"/>
  <c r="BA592" i="1"/>
  <c r="BD592" i="1"/>
  <c r="AU592" i="1"/>
  <c r="AT592" i="1" l="1"/>
  <c r="AR593" i="1"/>
  <c r="AO593" i="1"/>
  <c r="AQ593" i="1"/>
  <c r="AN593" i="1"/>
  <c r="BH593" i="1" l="1"/>
  <c r="BG593" i="1"/>
  <c r="BI593" i="1"/>
  <c r="BD593" i="1" s="1"/>
  <c r="AX593" i="1"/>
  <c r="BA593" i="1"/>
  <c r="AY593" i="1"/>
  <c r="BE593" i="1"/>
  <c r="BB593" i="1"/>
  <c r="AU593" i="1" l="1"/>
  <c r="AR594" i="1" s="1"/>
  <c r="AO594" i="1"/>
  <c r="AT593" i="1"/>
  <c r="AQ594" i="1" l="1"/>
  <c r="AN594" i="1"/>
  <c r="BG594" i="1" l="1"/>
  <c r="AY594" i="1" s="1"/>
  <c r="BH594" i="1"/>
  <c r="BB594" i="1" s="1"/>
  <c r="BI594" i="1"/>
  <c r="BE594" i="1" s="1"/>
  <c r="AX594" i="1"/>
  <c r="BA594" i="1"/>
  <c r="BD594" i="1" l="1"/>
  <c r="AT594" i="1" s="1"/>
  <c r="AU594" i="1"/>
  <c r="AN595" i="1" l="1"/>
  <c r="AQ595" i="1"/>
  <c r="AR595" i="1"/>
  <c r="AO595" i="1"/>
  <c r="BI595" i="1" l="1"/>
  <c r="BE595" i="1" s="1"/>
  <c r="BH595" i="1"/>
  <c r="BB595" i="1" s="1"/>
  <c r="BG595" i="1"/>
  <c r="AY595" i="1" s="1"/>
  <c r="BA595" i="1" l="1"/>
  <c r="AX595" i="1"/>
  <c r="AU595" i="1"/>
  <c r="AO596" i="1" s="1"/>
  <c r="BD595" i="1"/>
  <c r="AT595" i="1" s="1"/>
  <c r="AR596" i="1"/>
  <c r="AQ596" i="1" l="1"/>
  <c r="AN596" i="1"/>
  <c r="BH596" i="1" l="1"/>
  <c r="BB596" i="1" s="1"/>
  <c r="BI596" i="1"/>
  <c r="BE596" i="1" s="1"/>
  <c r="BG596" i="1"/>
  <c r="AY596" i="1" s="1"/>
  <c r="AX596" i="1"/>
  <c r="BD596" i="1" l="1"/>
  <c r="AU596" i="1"/>
  <c r="AR597" i="1" s="1"/>
  <c r="BA596" i="1"/>
  <c r="AT596" i="1" s="1"/>
  <c r="AO597" i="1" l="1"/>
  <c r="AQ597" i="1"/>
  <c r="AN597" i="1"/>
  <c r="BG597" i="1" l="1"/>
  <c r="AY597" i="1" s="1"/>
  <c r="BH597" i="1"/>
  <c r="BB597" i="1" s="1"/>
  <c r="BI597" i="1"/>
  <c r="BE597" i="1" s="1"/>
  <c r="BA597" i="1" l="1"/>
  <c r="AX597" i="1"/>
  <c r="BD597" i="1"/>
  <c r="AU597" i="1"/>
  <c r="AT597" i="1" l="1"/>
  <c r="AQ598" i="1"/>
  <c r="AN598" i="1"/>
  <c r="AO598" i="1"/>
  <c r="AR598" i="1"/>
  <c r="BG598" i="1" l="1"/>
  <c r="AY598" i="1" s="1"/>
  <c r="BH598" i="1"/>
  <c r="BB598" i="1" s="1"/>
  <c r="BI598" i="1"/>
  <c r="BE598" i="1" s="1"/>
  <c r="BA598" i="1"/>
  <c r="AX598" i="1"/>
  <c r="BD598" i="1" l="1"/>
  <c r="AT598" i="1"/>
  <c r="AU598" i="1"/>
  <c r="AR599" i="1" l="1"/>
  <c r="AO599" i="1"/>
  <c r="AN599" i="1"/>
  <c r="AQ599" i="1"/>
  <c r="BG599" i="1" l="1"/>
  <c r="AY599" i="1" s="1"/>
  <c r="BH599" i="1"/>
  <c r="BB599" i="1" s="1"/>
  <c r="BI599" i="1"/>
  <c r="BE599" i="1" s="1"/>
  <c r="AX599" i="1"/>
  <c r="BA599" i="1" l="1"/>
  <c r="BD599" i="1"/>
  <c r="AU599" i="1"/>
  <c r="AR600" i="1" s="1"/>
  <c r="AT599" i="1" l="1"/>
  <c r="AO600" i="1"/>
  <c r="AQ600" i="1"/>
  <c r="AN600" i="1"/>
  <c r="BI600" i="1"/>
  <c r="BE600" i="1" s="1"/>
  <c r="BH600" i="1"/>
  <c r="BB600" i="1" s="1"/>
  <c r="BG600" i="1"/>
  <c r="AY600" i="1" s="1"/>
  <c r="BA600" i="1"/>
  <c r="BD600" i="1"/>
  <c r="AU600" i="1" l="1"/>
  <c r="AX600" i="1"/>
  <c r="AO601" i="1"/>
  <c r="AR601" i="1"/>
  <c r="AT600" i="1"/>
  <c r="AQ601" i="1" l="1"/>
  <c r="AN601" i="1"/>
  <c r="BG601" i="1" l="1"/>
  <c r="AY601" i="1" s="1"/>
  <c r="BH601" i="1"/>
  <c r="BB601" i="1" s="1"/>
  <c r="BI601" i="1"/>
  <c r="BE601" i="1" s="1"/>
  <c r="AX601" i="1"/>
  <c r="BD601" i="1" l="1"/>
  <c r="BA601" i="1"/>
  <c r="AT601" i="1" s="1"/>
  <c r="AU601" i="1"/>
  <c r="AR602" i="1" l="1"/>
  <c r="AO602" i="1"/>
  <c r="AQ602" i="1"/>
  <c r="AN602" i="1"/>
  <c r="BG602" i="1" l="1"/>
  <c r="AY602" i="1" s="1"/>
  <c r="BI602" i="1"/>
  <c r="BE602" i="1" s="1"/>
  <c r="AX602" i="1"/>
  <c r="BH602" i="1"/>
  <c r="BB602" i="1" s="1"/>
  <c r="BD602" i="1"/>
  <c r="BA602" i="1" l="1"/>
  <c r="AT602" i="1" s="1"/>
  <c r="AU602" i="1"/>
  <c r="AN603" i="1" l="1"/>
  <c r="AQ603" i="1"/>
  <c r="AO603" i="1"/>
  <c r="AR603" i="1"/>
  <c r="BG603" i="1" l="1"/>
  <c r="AX603" i="1" s="1"/>
  <c r="BI603" i="1"/>
  <c r="BD603" i="1" s="1"/>
  <c r="BH603" i="1"/>
  <c r="BA603" i="1" s="1"/>
  <c r="AT603" i="1" l="1"/>
  <c r="BB603" i="1"/>
  <c r="BE603" i="1"/>
  <c r="AY603" i="1"/>
  <c r="AU603" i="1" l="1"/>
  <c r="AR604" i="1"/>
  <c r="AO604" i="1"/>
  <c r="AQ604" i="1"/>
  <c r="AN604" i="1"/>
  <c r="BH604" i="1" l="1"/>
  <c r="BI604" i="1"/>
  <c r="BG604" i="1"/>
  <c r="BA604" i="1"/>
  <c r="AX604" i="1"/>
  <c r="BD604" i="1"/>
  <c r="BB604" i="1"/>
  <c r="AY604" i="1"/>
  <c r="BE604" i="1"/>
  <c r="AU604" i="1" l="1"/>
  <c r="AO605" i="1" s="1"/>
  <c r="AT604" i="1"/>
  <c r="AN605" i="1" s="1"/>
  <c r="BH605" i="1" s="1"/>
  <c r="AR605" i="1"/>
  <c r="AQ605" i="1"/>
  <c r="BG605" i="1" l="1"/>
  <c r="AY605" i="1" s="1"/>
  <c r="BI605" i="1"/>
  <c r="BB605" i="1"/>
  <c r="BA605" i="1"/>
  <c r="AX605" i="1"/>
  <c r="BE605" i="1" l="1"/>
  <c r="AU605" i="1" s="1"/>
  <c r="BD605" i="1"/>
  <c r="AT605" i="1" s="1"/>
  <c r="AN606" i="1" l="1"/>
  <c r="AQ606" i="1"/>
  <c r="AR606" i="1"/>
  <c r="AO606" i="1"/>
  <c r="BG606" i="1" l="1"/>
  <c r="BI606" i="1"/>
  <c r="BH606" i="1"/>
  <c r="BE606" i="1" l="1"/>
  <c r="BD606" i="1"/>
  <c r="BA606" i="1"/>
  <c r="BB606" i="1"/>
  <c r="AX606" i="1"/>
  <c r="AT606" i="1" s="1"/>
  <c r="AQ607" i="1" s="1"/>
  <c r="AY606" i="1"/>
  <c r="AU606" i="1" l="1"/>
  <c r="AR607" i="1" s="1"/>
  <c r="AO607" i="1"/>
  <c r="AN607" i="1"/>
  <c r="BG607" i="1"/>
  <c r="AX607" i="1" s="1"/>
  <c r="BI607" i="1"/>
  <c r="BD607" i="1" s="1"/>
  <c r="BH607" i="1"/>
  <c r="BA607" i="1" s="1"/>
  <c r="BE607" i="1" l="1"/>
  <c r="AY607" i="1"/>
  <c r="AT607" i="1"/>
  <c r="BB607" i="1"/>
  <c r="AQ608" i="1" l="1"/>
  <c r="AN608" i="1"/>
  <c r="AU607" i="1"/>
  <c r="AR608" i="1" l="1"/>
  <c r="AO608" i="1"/>
  <c r="BG608" i="1"/>
  <c r="AX608" i="1" s="1"/>
  <c r="AY608" i="1" l="1"/>
  <c r="BH608" i="1"/>
  <c r="BA608" i="1" s="1"/>
  <c r="BI608" i="1"/>
  <c r="BD608" i="1" s="1"/>
  <c r="AT608" i="1" l="1"/>
  <c r="AN609" i="1" s="1"/>
  <c r="BE608" i="1"/>
  <c r="BB608" i="1"/>
  <c r="AU608" i="1" s="1"/>
  <c r="AQ609" i="1" l="1"/>
  <c r="AO609" i="1"/>
  <c r="BH609" i="1" s="1"/>
  <c r="BA609" i="1" s="1"/>
  <c r="AR609" i="1"/>
  <c r="BI609" i="1" l="1"/>
  <c r="BD609" i="1" s="1"/>
  <c r="BG609" i="1"/>
  <c r="AX609" i="1" s="1"/>
  <c r="BB609" i="1"/>
  <c r="BE609" i="1" l="1"/>
  <c r="AT609" i="1"/>
  <c r="AY609" i="1"/>
  <c r="AU609" i="1" s="1"/>
  <c r="AQ610" i="1"/>
  <c r="AN610" i="1"/>
  <c r="AO610" i="1" l="1"/>
  <c r="AR610" i="1"/>
  <c r="BI610" i="1" l="1"/>
  <c r="BD610" i="1" s="1"/>
  <c r="BG610" i="1"/>
  <c r="AX610" i="1" s="1"/>
  <c r="BH610" i="1"/>
  <c r="BA610" i="1" s="1"/>
  <c r="AT610" i="1" l="1"/>
  <c r="AY610" i="1"/>
  <c r="BE610" i="1"/>
  <c r="BB610" i="1"/>
  <c r="AU610" i="1" l="1"/>
  <c r="AQ611" i="1"/>
  <c r="AN611" i="1"/>
  <c r="AR611" i="1" l="1"/>
  <c r="AO611" i="1"/>
  <c r="BG611" i="1" l="1"/>
  <c r="AX611" i="1" s="1"/>
  <c r="BI611" i="1"/>
  <c r="BD611" i="1" s="1"/>
  <c r="BH611" i="1"/>
  <c r="BA611" i="1" s="1"/>
  <c r="AT611" i="1" l="1"/>
  <c r="AY611" i="1"/>
  <c r="BE611" i="1"/>
  <c r="BB611" i="1"/>
  <c r="AU611" i="1" l="1"/>
  <c r="AN612" i="1"/>
  <c r="AQ612" i="1"/>
  <c r="AO612" i="1" l="1"/>
  <c r="BG612" i="1" s="1"/>
  <c r="AX612" i="1" s="1"/>
  <c r="AR612" i="1"/>
  <c r="AY612" i="1" l="1"/>
  <c r="BH612" i="1"/>
  <c r="BA612" i="1" s="1"/>
  <c r="BI612" i="1"/>
  <c r="BD612" i="1" s="1"/>
  <c r="AT612" i="1" l="1"/>
  <c r="AQ613" i="1" s="1"/>
  <c r="AN613" i="1"/>
  <c r="BB612" i="1"/>
  <c r="BE612" i="1"/>
  <c r="AU612" i="1" l="1"/>
  <c r="AO613" i="1"/>
  <c r="BG613" i="1" s="1"/>
  <c r="AX613" i="1" s="1"/>
  <c r="AR613" i="1"/>
  <c r="BH613" i="1" l="1"/>
  <c r="BA613" i="1" s="1"/>
  <c r="BI613" i="1"/>
  <c r="BD613" i="1" s="1"/>
  <c r="AY613" i="1"/>
  <c r="BE613" i="1"/>
  <c r="BB613" i="1" l="1"/>
  <c r="AU613" i="1" s="1"/>
  <c r="AT613" i="1"/>
  <c r="AQ614" i="1" s="1"/>
  <c r="AN614" i="1" l="1"/>
  <c r="AO614" i="1"/>
  <c r="BI614" i="1" s="1"/>
  <c r="AR614" i="1"/>
  <c r="BE614" i="1" l="1"/>
  <c r="BD614" i="1"/>
  <c r="BH614" i="1"/>
  <c r="BG614" i="1"/>
  <c r="AY614" i="1" l="1"/>
  <c r="AX614" i="1"/>
  <c r="BB614" i="1"/>
  <c r="BA614" i="1"/>
  <c r="AT614" i="1" l="1"/>
  <c r="AQ615" i="1"/>
  <c r="AN615" i="1"/>
  <c r="AU614" i="1"/>
  <c r="AO615" i="1" l="1"/>
  <c r="AR615" i="1"/>
  <c r="BG615" i="1"/>
  <c r="BH615" i="1"/>
  <c r="BA615" i="1" s="1"/>
  <c r="BI615" i="1"/>
  <c r="BD615" i="1" s="1"/>
  <c r="AX615" i="1"/>
  <c r="AT615" i="1" l="1"/>
  <c r="BB615" i="1"/>
  <c r="BE615" i="1"/>
  <c r="AY615" i="1"/>
  <c r="AU615" i="1" l="1"/>
  <c r="AR616" i="1" s="1"/>
  <c r="AN616" i="1"/>
  <c r="AQ616" i="1"/>
  <c r="AO616" i="1" l="1"/>
  <c r="BI616" i="1" s="1"/>
  <c r="BD616" i="1" l="1"/>
  <c r="BE616" i="1"/>
  <c r="BH616" i="1"/>
  <c r="BG616" i="1"/>
  <c r="AX616" i="1" s="1"/>
  <c r="AY616" i="1" l="1"/>
  <c r="BA616" i="1"/>
  <c r="AT616" i="1" s="1"/>
  <c r="BB616" i="1"/>
  <c r="AU616" i="1" s="1"/>
  <c r="AO617" i="1" l="1"/>
  <c r="AR617" i="1"/>
  <c r="AQ617" i="1"/>
  <c r="AN617" i="1"/>
  <c r="BI617" i="1" l="1"/>
  <c r="BG617" i="1"/>
  <c r="BH617" i="1"/>
  <c r="BA617" i="1" l="1"/>
  <c r="BB617" i="1"/>
  <c r="AX617" i="1"/>
  <c r="AY617" i="1"/>
  <c r="BD617" i="1"/>
  <c r="BE617" i="1"/>
  <c r="AT617" i="1" l="1"/>
  <c r="AU617" i="1"/>
  <c r="AR618" i="1" l="1"/>
  <c r="AO618" i="1"/>
  <c r="AQ618" i="1"/>
  <c r="AN618" i="1"/>
  <c r="BH618" i="1" l="1"/>
  <c r="BG618" i="1"/>
  <c r="BI618" i="1"/>
  <c r="AX618" i="1" l="1"/>
  <c r="AY618" i="1"/>
  <c r="BD618" i="1"/>
  <c r="BE618" i="1"/>
  <c r="BA618" i="1"/>
  <c r="BB618" i="1"/>
  <c r="AU618" i="1" l="1"/>
  <c r="AT618" i="1"/>
  <c r="AQ619" i="1" l="1"/>
  <c r="AN619" i="1"/>
  <c r="AO619" i="1"/>
  <c r="AR619" i="1"/>
  <c r="BG619" i="1" l="1"/>
  <c r="AX619" i="1" s="1"/>
  <c r="BH619" i="1"/>
  <c r="BA619" i="1" s="1"/>
  <c r="BI619" i="1"/>
  <c r="BD619" i="1" s="1"/>
  <c r="AT619" i="1" l="1"/>
  <c r="BE619" i="1"/>
  <c r="BB619" i="1"/>
  <c r="AY619" i="1"/>
  <c r="AU619" i="1" l="1"/>
  <c r="AN620" i="1"/>
  <c r="AQ620" i="1"/>
  <c r="AR620" i="1" l="1"/>
  <c r="AO620" i="1"/>
  <c r="BH620" i="1" l="1"/>
  <c r="BA620" i="1" s="1"/>
  <c r="BI620" i="1"/>
  <c r="BD620" i="1" s="1"/>
  <c r="BG620" i="1"/>
  <c r="AX620" i="1" s="1"/>
  <c r="AT620" i="1" l="1"/>
  <c r="BE620" i="1"/>
  <c r="BB620" i="1"/>
  <c r="AY620" i="1"/>
  <c r="AU620" i="1" l="1"/>
  <c r="AR621" i="1"/>
  <c r="AO621" i="1"/>
  <c r="AQ621" i="1"/>
  <c r="AN621" i="1"/>
  <c r="BH621" i="1" l="1"/>
  <c r="BA621" i="1" s="1"/>
  <c r="BG621" i="1"/>
  <c r="AX621" i="1" s="1"/>
  <c r="BI621" i="1"/>
  <c r="BD621" i="1" s="1"/>
  <c r="AY621" i="1"/>
  <c r="BB621" i="1"/>
  <c r="BE621" i="1" l="1"/>
  <c r="AU621" i="1" s="1"/>
  <c r="AT621" i="1"/>
  <c r="AR622" i="1" l="1"/>
  <c r="AO622" i="1"/>
  <c r="AN622" i="1"/>
  <c r="AQ622" i="1"/>
  <c r="BH622" i="1" l="1"/>
  <c r="BB622" i="1" s="1"/>
  <c r="BG622" i="1"/>
  <c r="AY622" i="1" s="1"/>
  <c r="BI622" i="1"/>
  <c r="BE622" i="1" s="1"/>
  <c r="BA622" i="1"/>
  <c r="BD622" i="1"/>
  <c r="AX622" i="1"/>
  <c r="AT622" i="1" l="1"/>
  <c r="AU622" i="1"/>
  <c r="AN623" i="1"/>
  <c r="AQ623" i="1"/>
  <c r="AO623" i="1" l="1"/>
  <c r="AR623" i="1"/>
  <c r="BG623" i="1" l="1"/>
  <c r="AX623" i="1" s="1"/>
  <c r="BH623" i="1"/>
  <c r="BA623" i="1" s="1"/>
  <c r="BI623" i="1"/>
  <c r="BD623" i="1" s="1"/>
  <c r="AT623" i="1" l="1"/>
  <c r="BE623" i="1"/>
  <c r="BB623" i="1"/>
  <c r="AY623" i="1"/>
  <c r="AU623" i="1" l="1"/>
  <c r="AR624" i="1"/>
  <c r="AO624" i="1"/>
  <c r="AQ624" i="1"/>
  <c r="AN624" i="1"/>
  <c r="BH624" i="1" l="1"/>
  <c r="BG624" i="1"/>
  <c r="BI624" i="1"/>
  <c r="BD624" i="1" l="1"/>
  <c r="BE624" i="1"/>
  <c r="AX624" i="1"/>
  <c r="AY624" i="1"/>
  <c r="BA624" i="1"/>
  <c r="BB624" i="1"/>
  <c r="AU624" i="1" l="1"/>
  <c r="AT624" i="1"/>
  <c r="AR625" i="1" l="1"/>
  <c r="AO625" i="1"/>
  <c r="AQ625" i="1"/>
  <c r="AN625" i="1"/>
  <c r="BI625" i="1" l="1"/>
  <c r="BG625" i="1"/>
  <c r="BH625" i="1"/>
  <c r="AY625" i="1" l="1"/>
  <c r="AX625" i="1"/>
  <c r="BB625" i="1"/>
  <c r="BA625" i="1"/>
  <c r="BD625" i="1"/>
  <c r="BE625" i="1"/>
  <c r="AT625" i="1" l="1"/>
  <c r="AU625" i="1"/>
  <c r="AO626" i="1" l="1"/>
  <c r="AR626" i="1"/>
  <c r="AQ626" i="1"/>
  <c r="AN626" i="1"/>
  <c r="BG626" i="1" l="1"/>
  <c r="BI626" i="1"/>
  <c r="BH626" i="1"/>
  <c r="BA626" i="1" l="1"/>
  <c r="BB626" i="1"/>
  <c r="BD626" i="1"/>
  <c r="BE626" i="1"/>
  <c r="AX626" i="1"/>
  <c r="AT626" i="1" s="1"/>
  <c r="AY626" i="1"/>
  <c r="AU626" i="1" l="1"/>
  <c r="AN627" i="1"/>
  <c r="AQ627" i="1"/>
  <c r="AR627" i="1" l="1"/>
  <c r="AO627" i="1"/>
  <c r="BH627" i="1" s="1"/>
  <c r="BA627" i="1" s="1"/>
  <c r="BB627" i="1" l="1"/>
  <c r="BG627" i="1"/>
  <c r="AX627" i="1" s="1"/>
  <c r="BI627" i="1"/>
  <c r="BD627" i="1" s="1"/>
  <c r="AY627" i="1" l="1"/>
  <c r="AT627" i="1"/>
  <c r="BE627" i="1"/>
  <c r="AN628" i="1" l="1"/>
  <c r="AQ628" i="1"/>
  <c r="AU627" i="1"/>
  <c r="AR628" i="1" l="1"/>
  <c r="AO628" i="1"/>
  <c r="BI628" i="1"/>
  <c r="BH628" i="1"/>
  <c r="BA628" i="1" s="1"/>
  <c r="BG628" i="1"/>
  <c r="AX628" i="1" s="1"/>
  <c r="BD628" i="1"/>
  <c r="AT628" i="1" l="1"/>
  <c r="BB628" i="1"/>
  <c r="AY628" i="1"/>
  <c r="BE628" i="1"/>
  <c r="AU628" i="1" l="1"/>
  <c r="AO629" i="1" s="1"/>
  <c r="AQ629" i="1"/>
  <c r="AN629" i="1"/>
  <c r="AR629" i="1" l="1"/>
  <c r="BH629" i="1"/>
  <c r="BI629" i="1"/>
  <c r="BG629" i="1"/>
  <c r="AX629" i="1" l="1"/>
  <c r="AY629" i="1"/>
  <c r="BD629" i="1"/>
  <c r="BE629" i="1"/>
  <c r="BA629" i="1"/>
  <c r="BB629" i="1"/>
  <c r="AU629" i="1" l="1"/>
  <c r="AT629" i="1"/>
  <c r="AN630" i="1" l="1"/>
  <c r="AQ630" i="1"/>
  <c r="AO630" i="1"/>
  <c r="AR630" i="1"/>
  <c r="BI630" i="1" l="1"/>
  <c r="BD630" i="1" s="1"/>
  <c r="BH630" i="1"/>
  <c r="BA630" i="1" s="1"/>
  <c r="BG630" i="1"/>
  <c r="AX630" i="1" s="1"/>
  <c r="AT630" i="1" l="1"/>
  <c r="BB630" i="1"/>
  <c r="BE630" i="1"/>
  <c r="AY630" i="1"/>
  <c r="AU630" i="1" l="1"/>
  <c r="AR631" i="1"/>
  <c r="AO631" i="1"/>
  <c r="AQ631" i="1"/>
  <c r="AN631" i="1"/>
  <c r="BH631" i="1" l="1"/>
  <c r="BA631" i="1" s="1"/>
  <c r="BG631" i="1"/>
  <c r="AX631" i="1" s="1"/>
  <c r="BI631" i="1"/>
  <c r="BD631" i="1" s="1"/>
  <c r="AY631" i="1"/>
  <c r="BB631" i="1" l="1"/>
  <c r="BE631" i="1"/>
  <c r="AU631" i="1" s="1"/>
  <c r="AT631" i="1"/>
  <c r="AR632" i="1" l="1"/>
  <c r="AO632" i="1"/>
  <c r="AQ632" i="1"/>
  <c r="AN632" i="1"/>
  <c r="BH632" i="1"/>
  <c r="BA632" i="1" s="1"/>
  <c r="BB632" i="1" l="1"/>
  <c r="BI632" i="1"/>
  <c r="BG632" i="1"/>
  <c r="AX632" i="1" l="1"/>
  <c r="AY632" i="1"/>
  <c r="BD632" i="1"/>
  <c r="BE632" i="1"/>
  <c r="AU632" i="1" l="1"/>
  <c r="AT632" i="1"/>
  <c r="AN633" i="1" l="1"/>
  <c r="AQ633" i="1"/>
  <c r="AR633" i="1"/>
  <c r="AO633" i="1"/>
  <c r="BI633" i="1" l="1"/>
  <c r="BD633" i="1" s="1"/>
  <c r="BG633" i="1"/>
  <c r="AX633" i="1" s="1"/>
  <c r="BH633" i="1"/>
  <c r="BA633" i="1" s="1"/>
  <c r="AY633" i="1" l="1"/>
  <c r="AT633" i="1"/>
  <c r="BE633" i="1"/>
  <c r="BB633" i="1"/>
  <c r="AQ634" i="1" l="1"/>
  <c r="AN634" i="1"/>
  <c r="AU633" i="1"/>
  <c r="AR634" i="1" l="1"/>
  <c r="AO634" i="1"/>
  <c r="BH634" i="1"/>
  <c r="BA634" i="1" s="1"/>
  <c r="BI634" i="1"/>
  <c r="BD634" i="1" s="1"/>
  <c r="BG634" i="1"/>
  <c r="AX634" i="1" s="1"/>
  <c r="AT634" i="1" l="1"/>
  <c r="AQ635" i="1" s="1"/>
  <c r="AN635" i="1"/>
  <c r="BB634" i="1"/>
  <c r="AY634" i="1"/>
  <c r="BE634" i="1"/>
  <c r="AU634" i="1" l="1"/>
  <c r="AR635" i="1" l="1"/>
  <c r="AO635" i="1"/>
  <c r="BI635" i="1" l="1"/>
  <c r="BG635" i="1"/>
  <c r="BH635" i="1"/>
  <c r="AY635" i="1" l="1"/>
  <c r="AX635" i="1"/>
  <c r="BB635" i="1"/>
  <c r="BA635" i="1"/>
  <c r="BE635" i="1"/>
  <c r="BD635" i="1"/>
  <c r="AT635" i="1" s="1"/>
  <c r="AQ636" i="1" l="1"/>
  <c r="AN636" i="1"/>
  <c r="AU635" i="1"/>
  <c r="AO636" i="1" l="1"/>
  <c r="AR636" i="1"/>
  <c r="BH636" i="1"/>
  <c r="BB636" i="1" s="1"/>
  <c r="BI636" i="1"/>
  <c r="BE636" i="1" s="1"/>
  <c r="BG636" i="1"/>
  <c r="AY636" i="1" s="1"/>
  <c r="BA636" i="1" l="1"/>
  <c r="BD636" i="1"/>
  <c r="AU636" i="1"/>
  <c r="AX636" i="1"/>
  <c r="AT636" i="1" s="1"/>
  <c r="AR637" i="1"/>
  <c r="AO637" i="1"/>
  <c r="AN637" i="1" l="1"/>
  <c r="AQ637" i="1"/>
  <c r="BG637" i="1" l="1"/>
  <c r="AY637" i="1" s="1"/>
  <c r="BH637" i="1"/>
  <c r="BB637" i="1" s="1"/>
  <c r="BI637" i="1"/>
  <c r="BE637" i="1" s="1"/>
  <c r="AX637" i="1"/>
  <c r="BA637" i="1" l="1"/>
  <c r="BD637" i="1"/>
  <c r="AT637" i="1" s="1"/>
  <c r="AU637" i="1"/>
  <c r="AQ638" i="1" l="1"/>
  <c r="AN638" i="1"/>
  <c r="AO638" i="1"/>
  <c r="AR638" i="1"/>
  <c r="BI638" i="1" l="1"/>
  <c r="BE638" i="1" s="1"/>
  <c r="BG638" i="1"/>
  <c r="AY638" i="1" s="1"/>
  <c r="BH638" i="1"/>
  <c r="BB638" i="1" s="1"/>
  <c r="BD638" i="1"/>
  <c r="AX638" i="1"/>
  <c r="AU638" i="1" l="1"/>
  <c r="AR639" i="1" s="1"/>
  <c r="BA638" i="1"/>
  <c r="AT638" i="1" s="1"/>
  <c r="AO639" i="1"/>
  <c r="AN639" i="1" l="1"/>
  <c r="AQ639" i="1"/>
  <c r="BH639" i="1" l="1"/>
  <c r="BB639" i="1" s="1"/>
  <c r="BG639" i="1"/>
  <c r="AY639" i="1" s="1"/>
  <c r="BI639" i="1"/>
  <c r="BE639" i="1" s="1"/>
  <c r="BD639" i="1" l="1"/>
  <c r="AU639" i="1"/>
  <c r="AX639" i="1"/>
  <c r="AR640" i="1"/>
  <c r="AO640" i="1"/>
  <c r="BA639" i="1"/>
  <c r="AT639" i="1" s="1"/>
  <c r="AN640" i="1" l="1"/>
  <c r="AQ640" i="1"/>
  <c r="BI640" i="1" l="1"/>
  <c r="BE640" i="1" s="1"/>
  <c r="BG640" i="1"/>
  <c r="AY640" i="1" s="1"/>
  <c r="BH640" i="1"/>
  <c r="BB640" i="1" s="1"/>
  <c r="AX640" i="1"/>
  <c r="BD640" i="1"/>
  <c r="BA640" i="1"/>
  <c r="AU640" i="1" l="1"/>
  <c r="AT640" i="1"/>
  <c r="AR641" i="1"/>
  <c r="AO641" i="1"/>
  <c r="AQ641" i="1" l="1"/>
  <c r="AN641" i="1"/>
  <c r="BG641" i="1" l="1"/>
  <c r="AY641" i="1" s="1"/>
  <c r="BI641" i="1"/>
  <c r="BE641" i="1" s="1"/>
  <c r="BH641" i="1"/>
  <c r="BB641" i="1" s="1"/>
  <c r="BD641" i="1"/>
  <c r="AX641" i="1"/>
  <c r="BA641" i="1" l="1"/>
  <c r="AT641" i="1" s="1"/>
  <c r="AU641" i="1"/>
  <c r="AQ642" i="1" l="1"/>
  <c r="AN642" i="1"/>
  <c r="AR642" i="1"/>
  <c r="AO642" i="1"/>
  <c r="BH642" i="1" l="1"/>
  <c r="BB642" i="1" s="1"/>
  <c r="BG642" i="1"/>
  <c r="AY642" i="1" s="1"/>
  <c r="BI642" i="1"/>
  <c r="BE642" i="1" s="1"/>
  <c r="BD642" i="1" l="1"/>
  <c r="BA642" i="1"/>
  <c r="AX642" i="1"/>
  <c r="AU642" i="1"/>
  <c r="AT642" i="1" l="1"/>
  <c r="AQ643" i="1"/>
  <c r="AN643" i="1"/>
  <c r="AO643" i="1"/>
  <c r="AR643" i="1"/>
  <c r="BI643" i="1"/>
  <c r="BD643" i="1" s="1"/>
  <c r="BH643" i="1"/>
  <c r="BA643" i="1" s="1"/>
  <c r="BG643" i="1"/>
  <c r="AY643" i="1" s="1"/>
  <c r="AX643" i="1" l="1"/>
  <c r="AT643" i="1" s="1"/>
  <c r="BB643" i="1"/>
  <c r="BE643" i="1"/>
  <c r="AU643" i="1" l="1"/>
  <c r="AR644" i="1"/>
  <c r="AO644" i="1"/>
  <c r="AQ644" i="1"/>
  <c r="AN644" i="1"/>
  <c r="BG644" i="1" l="1"/>
  <c r="AX644" i="1" s="1"/>
  <c r="BI644" i="1"/>
  <c r="BD644" i="1" s="1"/>
  <c r="BH644" i="1"/>
  <c r="BA644" i="1" s="1"/>
  <c r="AY644" i="1"/>
  <c r="BB644" i="1"/>
  <c r="BE644" i="1" l="1"/>
  <c r="AU644" i="1"/>
  <c r="AT644" i="1"/>
  <c r="AN645" i="1" l="1"/>
  <c r="AQ645" i="1"/>
  <c r="AR645" i="1"/>
  <c r="AO645" i="1"/>
  <c r="BG645" i="1" l="1"/>
  <c r="AY645" i="1" s="1"/>
  <c r="BH645" i="1"/>
  <c r="BB645" i="1" s="1"/>
  <c r="BI645" i="1"/>
  <c r="BE645" i="1" s="1"/>
  <c r="AX645" i="1"/>
  <c r="BA645" i="1"/>
  <c r="BD645" i="1" l="1"/>
  <c r="AU645" i="1"/>
  <c r="AT645" i="1"/>
  <c r="AQ646" i="1" l="1"/>
  <c r="AN646" i="1"/>
  <c r="AR646" i="1"/>
  <c r="AO646" i="1"/>
  <c r="BI646" i="1" l="1"/>
  <c r="BE646" i="1" s="1"/>
  <c r="BH646" i="1"/>
  <c r="BA646" i="1" s="1"/>
  <c r="BG646" i="1"/>
  <c r="AX646" i="1" s="1"/>
  <c r="BB646" i="1" l="1"/>
  <c r="BD646" i="1"/>
  <c r="AT646" i="1" s="1"/>
  <c r="AY646" i="1"/>
  <c r="AU646" i="1" l="1"/>
  <c r="AQ647" i="1"/>
  <c r="AN647" i="1"/>
  <c r="AO647" i="1"/>
  <c r="AR647" i="1"/>
  <c r="BH647" i="1" l="1"/>
  <c r="BA647" i="1" s="1"/>
  <c r="BI647" i="1"/>
  <c r="BD647" i="1" s="1"/>
  <c r="BG647" i="1"/>
  <c r="AX647" i="1" s="1"/>
  <c r="BB647" i="1" l="1"/>
  <c r="AT647" i="1"/>
  <c r="AY647" i="1"/>
  <c r="BE647" i="1"/>
  <c r="AU647" i="1" l="1"/>
  <c r="AN648" i="1"/>
  <c r="AQ648" i="1"/>
  <c r="AR648" i="1" l="1"/>
  <c r="AO648" i="1"/>
  <c r="BH648" i="1" l="1"/>
  <c r="BI648" i="1"/>
  <c r="BG648" i="1"/>
  <c r="BB648" i="1" l="1"/>
  <c r="BA648" i="1"/>
  <c r="AY648" i="1"/>
  <c r="AX648" i="1"/>
  <c r="BE648" i="1"/>
  <c r="BD648" i="1"/>
  <c r="AU648" i="1" l="1"/>
  <c r="AT648" i="1"/>
  <c r="AQ649" i="1" l="1"/>
  <c r="AN649" i="1"/>
  <c r="AO649" i="1"/>
  <c r="AR649" i="1"/>
  <c r="BI649" i="1" l="1"/>
  <c r="BE649" i="1" s="1"/>
  <c r="BG649" i="1"/>
  <c r="AY649" i="1" s="1"/>
  <c r="BH649" i="1"/>
  <c r="BB649" i="1" s="1"/>
  <c r="AX649" i="1"/>
  <c r="BD649" i="1"/>
  <c r="AU649" i="1" l="1"/>
  <c r="BA649" i="1"/>
  <c r="AT649" i="1" s="1"/>
  <c r="AQ650" i="1" l="1"/>
  <c r="AN650" i="1"/>
  <c r="AR650" i="1"/>
  <c r="AO650" i="1"/>
  <c r="BH650" i="1" l="1"/>
  <c r="BB650" i="1" s="1"/>
  <c r="BI650" i="1"/>
  <c r="BE650" i="1" s="1"/>
  <c r="BG650" i="1"/>
  <c r="AY650" i="1" s="1"/>
  <c r="BD650" i="1"/>
  <c r="AU650" i="1" l="1"/>
  <c r="AO651" i="1" s="1"/>
  <c r="BA650" i="1"/>
  <c r="AX650" i="1"/>
  <c r="AT650" i="1" s="1"/>
  <c r="AR651" i="1"/>
  <c r="AQ651" i="1" l="1"/>
  <c r="AN651" i="1"/>
  <c r="BG651" i="1" l="1"/>
  <c r="AY651" i="1" s="1"/>
  <c r="BH651" i="1"/>
  <c r="BB651" i="1" s="1"/>
  <c r="BI651" i="1"/>
  <c r="BE651" i="1" s="1"/>
  <c r="AX651" i="1"/>
  <c r="BD651" i="1" l="1"/>
  <c r="BA651" i="1"/>
  <c r="AU651" i="1"/>
  <c r="AT651" i="1" l="1"/>
  <c r="AR652" i="1"/>
  <c r="AO652" i="1"/>
  <c r="AQ652" i="1" l="1"/>
  <c r="AN652" i="1"/>
  <c r="BH652" i="1" l="1"/>
  <c r="BB652" i="1" s="1"/>
  <c r="BA652" i="1"/>
  <c r="BI652" i="1"/>
  <c r="BE652" i="1" s="1"/>
  <c r="BG652" i="1"/>
  <c r="AY652" i="1" s="1"/>
  <c r="AU652" i="1" s="1"/>
  <c r="AX652" i="1" l="1"/>
  <c r="BD652" i="1"/>
  <c r="AT652" i="1" s="1"/>
  <c r="AR653" i="1"/>
  <c r="AO653" i="1"/>
  <c r="AQ653" i="1" l="1"/>
  <c r="AN653" i="1"/>
  <c r="BI653" i="1" l="1"/>
  <c r="BE653" i="1" s="1"/>
  <c r="BG653" i="1"/>
  <c r="AY653" i="1" s="1"/>
  <c r="BH653" i="1"/>
  <c r="BB653" i="1" s="1"/>
  <c r="BD653" i="1"/>
  <c r="AX653" i="1"/>
  <c r="BA653" i="1"/>
  <c r="AU653" i="1" l="1"/>
  <c r="AT653" i="1"/>
  <c r="AQ654" i="1" l="1"/>
  <c r="AN654" i="1"/>
  <c r="AO654" i="1"/>
  <c r="AR654" i="1"/>
  <c r="BH654" i="1" l="1"/>
  <c r="BB654" i="1" s="1"/>
  <c r="BG654" i="1"/>
  <c r="AY654" i="1" s="1"/>
  <c r="BI654" i="1"/>
  <c r="BE654" i="1" s="1"/>
  <c r="BA654" i="1"/>
  <c r="BD654" i="1"/>
  <c r="AU654" i="1" l="1"/>
  <c r="AX654" i="1"/>
  <c r="AT654" i="1" s="1"/>
  <c r="AQ655" i="1" l="1"/>
  <c r="AN655" i="1"/>
  <c r="AO655" i="1"/>
  <c r="AR655" i="1"/>
  <c r="BG655" i="1" l="1"/>
  <c r="AY655" i="1" s="1"/>
  <c r="BI655" i="1"/>
  <c r="BE655" i="1" s="1"/>
  <c r="BH655" i="1"/>
  <c r="BB655" i="1" s="1"/>
  <c r="AX655" i="1"/>
  <c r="BA655" i="1"/>
  <c r="BD655" i="1"/>
  <c r="AT655" i="1" l="1"/>
  <c r="AU655" i="1"/>
  <c r="AR656" i="1" l="1"/>
  <c r="AO656" i="1"/>
  <c r="AQ656" i="1"/>
  <c r="AN656" i="1"/>
  <c r="BH656" i="1" l="1"/>
  <c r="BB656" i="1" s="1"/>
  <c r="BI656" i="1"/>
  <c r="BE656" i="1" s="1"/>
  <c r="BG656" i="1"/>
  <c r="AY656" i="1" s="1"/>
  <c r="BA656" i="1" l="1"/>
  <c r="AU656" i="1"/>
  <c r="AO657" i="1"/>
  <c r="AR657" i="1"/>
  <c r="AX656" i="1"/>
  <c r="BD656" i="1"/>
  <c r="AT656" i="1" l="1"/>
  <c r="AN657" i="1" l="1"/>
  <c r="AQ657" i="1"/>
  <c r="BH657" i="1" l="1"/>
  <c r="BB657" i="1" s="1"/>
  <c r="BI657" i="1"/>
  <c r="BG657" i="1"/>
  <c r="AY657" i="1" s="1"/>
  <c r="BA657" i="1"/>
  <c r="BD657" i="1" l="1"/>
  <c r="BE657" i="1"/>
  <c r="AU657" i="1" s="1"/>
  <c r="AX657" i="1"/>
  <c r="AT657" i="1" s="1"/>
  <c r="AQ658" i="1" l="1"/>
  <c r="AN658" i="1"/>
  <c r="AR658" i="1"/>
  <c r="AO658" i="1"/>
  <c r="BI658" i="1" l="1"/>
  <c r="BE658" i="1" s="1"/>
  <c r="BH658" i="1"/>
  <c r="BB658" i="1" s="1"/>
  <c r="BD658" i="1"/>
  <c r="BG658" i="1"/>
  <c r="AY658" i="1" s="1"/>
  <c r="AU658" i="1" s="1"/>
  <c r="AR659" i="1" s="1"/>
  <c r="AX658" i="1" l="1"/>
  <c r="BA658" i="1"/>
  <c r="AT658" i="1" s="1"/>
  <c r="AO659" i="1"/>
  <c r="AQ659" i="1" l="1"/>
  <c r="AN659" i="1"/>
  <c r="BH659" i="1" l="1"/>
  <c r="BG659" i="1"/>
  <c r="BI659" i="1"/>
  <c r="AX659" i="1" l="1"/>
  <c r="AY659" i="1"/>
  <c r="BD659" i="1"/>
  <c r="BE659" i="1"/>
  <c r="BA659" i="1"/>
  <c r="BB659" i="1"/>
  <c r="AU659" i="1" l="1"/>
  <c r="AT659" i="1"/>
  <c r="AQ660" i="1" l="1"/>
  <c r="AN660" i="1"/>
  <c r="AR660" i="1"/>
  <c r="AO660" i="1"/>
  <c r="BH660" i="1" l="1"/>
  <c r="BA660" i="1" s="1"/>
  <c r="BB660" i="1"/>
  <c r="BG660" i="1"/>
  <c r="AX660" i="1" s="1"/>
  <c r="BI660" i="1"/>
  <c r="BE660" i="1" s="1"/>
  <c r="BD660" i="1" l="1"/>
  <c r="AT660" i="1" s="1"/>
  <c r="AN661" i="1" s="1"/>
  <c r="AQ661" i="1"/>
  <c r="AY660" i="1"/>
  <c r="AU660" i="1" s="1"/>
  <c r="AR661" i="1" l="1"/>
  <c r="AO661" i="1"/>
  <c r="BH661" i="1" l="1"/>
  <c r="BA661" i="1" s="1"/>
  <c r="BG661" i="1"/>
  <c r="AX661" i="1" s="1"/>
  <c r="BI661" i="1"/>
  <c r="BE661" i="1" l="1"/>
  <c r="BD661" i="1"/>
  <c r="AT661" i="1" s="1"/>
  <c r="AY661" i="1"/>
  <c r="BB661" i="1"/>
  <c r="AQ662" i="1" l="1"/>
  <c r="AN662" i="1"/>
  <c r="AU661" i="1"/>
  <c r="AR662" i="1" l="1"/>
  <c r="AO662" i="1"/>
  <c r="BI662" i="1"/>
  <c r="BE662" i="1" s="1"/>
  <c r="BG662" i="1"/>
  <c r="AY662" i="1" s="1"/>
  <c r="BH662" i="1"/>
  <c r="BB662" i="1" s="1"/>
  <c r="BD662" i="1" l="1"/>
  <c r="AU662" i="1"/>
  <c r="BA662" i="1"/>
  <c r="AX662" i="1"/>
  <c r="AO663" i="1"/>
  <c r="AR663" i="1"/>
  <c r="AT662" i="1" l="1"/>
  <c r="AQ663" i="1" l="1"/>
  <c r="AN663" i="1"/>
  <c r="BH663" i="1" l="1"/>
  <c r="BI663" i="1"/>
  <c r="BG663" i="1"/>
  <c r="AX663" i="1" l="1"/>
  <c r="AY663" i="1"/>
  <c r="BD663" i="1"/>
  <c r="BE663" i="1"/>
  <c r="BA663" i="1"/>
  <c r="BB663" i="1"/>
  <c r="AU663" i="1" l="1"/>
  <c r="AT663" i="1"/>
  <c r="AQ664" i="1" l="1"/>
  <c r="AN664" i="1"/>
  <c r="AO664" i="1"/>
  <c r="AR664" i="1"/>
  <c r="BI664" i="1" l="1"/>
  <c r="BE664" i="1" s="1"/>
  <c r="BG664" i="1"/>
  <c r="AY664" i="1" s="1"/>
  <c r="BH664" i="1"/>
  <c r="BB664" i="1" s="1"/>
  <c r="BD664" i="1"/>
  <c r="AU664" i="1" l="1"/>
  <c r="AX664" i="1"/>
  <c r="BA664" i="1"/>
  <c r="AT664" i="1" s="1"/>
  <c r="AN665" i="1" l="1"/>
  <c r="AQ665" i="1"/>
  <c r="AR665" i="1"/>
  <c r="AO665" i="1"/>
  <c r="BG665" i="1" l="1"/>
  <c r="AY665" i="1" s="1"/>
  <c r="BH665" i="1"/>
  <c r="BB665" i="1" s="1"/>
  <c r="AX665" i="1"/>
  <c r="BI665" i="1"/>
  <c r="BE665" i="1" s="1"/>
  <c r="BA665" i="1"/>
  <c r="BD665" i="1" l="1"/>
  <c r="AT665" i="1" s="1"/>
  <c r="AU665" i="1"/>
  <c r="AN666" i="1" l="1"/>
  <c r="AQ666" i="1"/>
  <c r="AR666" i="1"/>
  <c r="AO666" i="1"/>
  <c r="BH666" i="1" l="1"/>
  <c r="BB666" i="1" s="1"/>
  <c r="BG666" i="1"/>
  <c r="AY666" i="1" s="1"/>
  <c r="BI666" i="1"/>
  <c r="BE666" i="1" s="1"/>
  <c r="AX666" i="1"/>
  <c r="BA666" i="1"/>
  <c r="BD666" i="1"/>
  <c r="AU666" i="1" l="1"/>
  <c r="AR667" i="1"/>
  <c r="AO667" i="1"/>
  <c r="AT666" i="1"/>
  <c r="AQ667" i="1" l="1"/>
  <c r="AN667" i="1"/>
  <c r="BH667" i="1" l="1"/>
  <c r="BG667" i="1"/>
  <c r="BI667" i="1"/>
  <c r="BD667" i="1" l="1"/>
  <c r="BE667" i="1"/>
  <c r="AX667" i="1"/>
  <c r="AY667" i="1"/>
  <c r="BA667" i="1"/>
  <c r="BB667" i="1"/>
  <c r="AU667" i="1" l="1"/>
  <c r="AT667" i="1"/>
  <c r="AQ668" i="1" l="1"/>
  <c r="AN668" i="1"/>
  <c r="AO668" i="1"/>
  <c r="AR668" i="1"/>
  <c r="BH668" i="1" l="1"/>
  <c r="BA668" i="1" s="1"/>
  <c r="BG668" i="1"/>
  <c r="AX668" i="1" s="1"/>
  <c r="BI668" i="1"/>
  <c r="BD668" i="1" s="1"/>
  <c r="BB668" i="1" l="1"/>
  <c r="AT668" i="1"/>
  <c r="BE668" i="1"/>
  <c r="AY668" i="1"/>
  <c r="AU668" i="1" l="1"/>
  <c r="AR669" i="1"/>
  <c r="AO669" i="1"/>
  <c r="AQ669" i="1"/>
  <c r="AN669" i="1"/>
  <c r="BG669" i="1" l="1"/>
  <c r="AX669" i="1" s="1"/>
  <c r="BI669" i="1"/>
  <c r="BD669" i="1" s="1"/>
  <c r="BH669" i="1"/>
  <c r="BA669" i="1" s="1"/>
  <c r="AT669" i="1" l="1"/>
  <c r="AQ670" i="1" s="1"/>
  <c r="AN670" i="1"/>
  <c r="BB669" i="1"/>
  <c r="BE669" i="1"/>
  <c r="AY669" i="1"/>
  <c r="AU669" i="1" s="1"/>
  <c r="AO670" i="1" l="1"/>
  <c r="AR670" i="1"/>
  <c r="BI670" i="1"/>
  <c r="BD670" i="1" s="1"/>
  <c r="BH670" i="1"/>
  <c r="BA670" i="1" s="1"/>
  <c r="BG670" i="1" l="1"/>
  <c r="AX670" i="1" s="1"/>
  <c r="AT670" i="1" s="1"/>
  <c r="AY670" i="1"/>
  <c r="BE670" i="1"/>
  <c r="BB670" i="1"/>
  <c r="AQ671" i="1" l="1"/>
  <c r="AN671" i="1"/>
  <c r="AU670" i="1"/>
  <c r="AR671" i="1" l="1"/>
  <c r="AO671" i="1"/>
  <c r="BH671" i="1"/>
  <c r="BB671" i="1" s="1"/>
  <c r="BI671" i="1"/>
  <c r="BE671" i="1" s="1"/>
  <c r="BG671" i="1"/>
  <c r="AY671" i="1" s="1"/>
  <c r="BA671" i="1" l="1"/>
  <c r="BD671" i="1"/>
  <c r="AX671" i="1"/>
  <c r="AU671" i="1"/>
  <c r="AO672" i="1" s="1"/>
  <c r="AR672" i="1" l="1"/>
  <c r="AT671" i="1"/>
  <c r="AQ672" i="1" l="1"/>
  <c r="AN672" i="1"/>
  <c r="BG672" i="1" l="1"/>
  <c r="AY672" i="1" s="1"/>
  <c r="BH672" i="1"/>
  <c r="BB672" i="1" s="1"/>
  <c r="BI672" i="1"/>
  <c r="BE672" i="1" s="1"/>
  <c r="AX672" i="1"/>
  <c r="BA672" i="1"/>
  <c r="AU672" i="1" l="1"/>
  <c r="BD672" i="1"/>
  <c r="AT672" i="1" s="1"/>
  <c r="AN673" i="1" l="1"/>
  <c r="AQ673" i="1"/>
  <c r="AO673" i="1"/>
  <c r="AR673" i="1"/>
  <c r="BI673" i="1" l="1"/>
  <c r="BE673" i="1" s="1"/>
  <c r="BG673" i="1"/>
  <c r="AY673" i="1" s="1"/>
  <c r="BH673" i="1"/>
  <c r="BB673" i="1" s="1"/>
  <c r="AX673" i="1" l="1"/>
  <c r="BA673" i="1"/>
  <c r="AU673" i="1"/>
  <c r="BD673" i="1"/>
  <c r="AO674" i="1" l="1"/>
  <c r="AR674" i="1"/>
  <c r="AT673" i="1"/>
  <c r="AQ674" i="1" l="1"/>
  <c r="AN674" i="1"/>
  <c r="BH674" i="1" l="1"/>
  <c r="BB674" i="1" s="1"/>
  <c r="BI674" i="1"/>
  <c r="BE674" i="1" s="1"/>
  <c r="BG674" i="1"/>
  <c r="AY674" i="1" s="1"/>
  <c r="AU674" i="1" s="1"/>
  <c r="BA674" i="1"/>
  <c r="AX674" i="1"/>
  <c r="BD674" i="1"/>
  <c r="AT674" i="1" l="1"/>
  <c r="AO675" i="1"/>
  <c r="AR675" i="1"/>
  <c r="AN675" i="1" l="1"/>
  <c r="AQ675" i="1"/>
  <c r="BI675" i="1" l="1"/>
  <c r="BE675" i="1" s="1"/>
  <c r="BG675" i="1"/>
  <c r="AY675" i="1" s="1"/>
  <c r="BD675" i="1"/>
  <c r="BH675" i="1"/>
  <c r="BB675" i="1" s="1"/>
  <c r="AX675" i="1" l="1"/>
  <c r="AU675" i="1"/>
  <c r="BA675" i="1"/>
  <c r="AT675" i="1" s="1"/>
  <c r="AQ676" i="1" l="1"/>
  <c r="AN676" i="1"/>
  <c r="AR676" i="1"/>
  <c r="AO676" i="1"/>
  <c r="BG676" i="1" l="1"/>
  <c r="AY676" i="1" s="1"/>
  <c r="BI676" i="1"/>
  <c r="BE676" i="1" s="1"/>
  <c r="AX676" i="1"/>
  <c r="BH676" i="1"/>
  <c r="BB676" i="1" s="1"/>
  <c r="BD676" i="1" l="1"/>
  <c r="BA676" i="1"/>
  <c r="AT676" i="1" s="1"/>
  <c r="AU676" i="1"/>
  <c r="AQ677" i="1" l="1"/>
  <c r="AN677" i="1"/>
  <c r="AO677" i="1"/>
  <c r="AR677" i="1"/>
  <c r="BI677" i="1" l="1"/>
  <c r="BE677" i="1" s="1"/>
  <c r="BH677" i="1"/>
  <c r="BB677" i="1" s="1"/>
  <c r="BG677" i="1"/>
  <c r="AY677" i="1" s="1"/>
  <c r="BA677" i="1"/>
  <c r="AX677" i="1" l="1"/>
  <c r="AU677" i="1"/>
  <c r="AR678" i="1" s="1"/>
  <c r="BD677" i="1"/>
  <c r="AT677" i="1" s="1"/>
  <c r="AO678" i="1"/>
  <c r="AQ678" i="1" l="1"/>
  <c r="AN678" i="1"/>
  <c r="BH678" i="1" s="1"/>
  <c r="BB678" i="1" s="1"/>
  <c r="BG678" i="1"/>
  <c r="AY678" i="1" s="1"/>
  <c r="BI678" i="1"/>
  <c r="BE678" i="1" s="1"/>
  <c r="BA678" i="1" l="1"/>
  <c r="AU678" i="1"/>
  <c r="BD678" i="1"/>
  <c r="AX678" i="1"/>
  <c r="AT678" i="1" l="1"/>
  <c r="AQ679" i="1"/>
  <c r="AN679" i="1"/>
  <c r="AR679" i="1"/>
  <c r="AO679" i="1"/>
  <c r="BI679" i="1" l="1"/>
  <c r="BE679" i="1" s="1"/>
  <c r="BH679" i="1"/>
  <c r="BB679" i="1" s="1"/>
  <c r="BG679" i="1"/>
  <c r="AY679" i="1" s="1"/>
  <c r="BD679" i="1"/>
  <c r="BA679" i="1" l="1"/>
  <c r="AU679" i="1"/>
  <c r="AX679" i="1"/>
  <c r="AT679" i="1" s="1"/>
  <c r="AN680" i="1" l="1"/>
  <c r="AQ680" i="1"/>
  <c r="AR680" i="1"/>
  <c r="AO680" i="1"/>
  <c r="BH680" i="1" l="1"/>
  <c r="BB680" i="1" s="1"/>
  <c r="BI680" i="1"/>
  <c r="BE680" i="1" s="1"/>
  <c r="BA680" i="1"/>
  <c r="BG680" i="1"/>
  <c r="AY680" i="1" s="1"/>
  <c r="BD680" i="1"/>
  <c r="AU680" i="1" l="1"/>
  <c r="AO681" i="1" s="1"/>
  <c r="AX680" i="1"/>
  <c r="AT680" i="1" s="1"/>
  <c r="AR681" i="1"/>
  <c r="AQ681" i="1" l="1"/>
  <c r="AN681" i="1"/>
  <c r="BH681" i="1" l="1"/>
  <c r="BB681" i="1" s="1"/>
  <c r="BI681" i="1"/>
  <c r="BE681" i="1" s="1"/>
  <c r="BG681" i="1"/>
  <c r="AY681" i="1" s="1"/>
  <c r="BA681" i="1"/>
  <c r="BD681" i="1"/>
  <c r="AU681" i="1" l="1"/>
  <c r="AX681" i="1"/>
  <c r="AT681" i="1" s="1"/>
  <c r="AN682" i="1" s="1"/>
  <c r="AR682" i="1"/>
  <c r="AO682" i="1"/>
  <c r="BI682" i="1" s="1"/>
  <c r="AQ682" i="1"/>
  <c r="BE682" i="1" l="1"/>
  <c r="BD682" i="1"/>
  <c r="BH682" i="1"/>
  <c r="BG682" i="1"/>
  <c r="BB682" i="1" l="1"/>
  <c r="BA682" i="1"/>
  <c r="AY682" i="1"/>
  <c r="AU682" i="1" s="1"/>
  <c r="AX682" i="1"/>
  <c r="AT682" i="1" l="1"/>
  <c r="AR683" i="1"/>
  <c r="AO683" i="1"/>
  <c r="AQ683" i="1" l="1"/>
  <c r="AN683" i="1"/>
  <c r="BI683" i="1" l="1"/>
  <c r="BE683" i="1" s="1"/>
  <c r="BG683" i="1"/>
  <c r="AY683" i="1" s="1"/>
  <c r="BH683" i="1"/>
  <c r="BB683" i="1" s="1"/>
  <c r="BD683" i="1"/>
  <c r="BA683" i="1"/>
  <c r="AX683" i="1"/>
  <c r="AU683" i="1" l="1"/>
  <c r="AT683" i="1"/>
  <c r="AQ684" i="1" l="1"/>
  <c r="AN684" i="1"/>
  <c r="AO684" i="1"/>
  <c r="AR684" i="1"/>
  <c r="BH684" i="1" l="1"/>
  <c r="BB684" i="1" s="1"/>
  <c r="BG684" i="1"/>
  <c r="AY684" i="1" s="1"/>
  <c r="BA684" i="1"/>
  <c r="BI684" i="1"/>
  <c r="BE684" i="1" s="1"/>
  <c r="AX684" i="1"/>
  <c r="BD684" i="1" l="1"/>
  <c r="AT684" i="1" s="1"/>
  <c r="AU684" i="1"/>
  <c r="AN685" i="1" l="1"/>
  <c r="AQ685" i="1"/>
  <c r="AR685" i="1"/>
  <c r="AO685" i="1"/>
  <c r="BG685" i="1" l="1"/>
  <c r="BI685" i="1"/>
  <c r="BH685" i="1"/>
  <c r="BE685" i="1" l="1"/>
  <c r="BD685" i="1"/>
  <c r="BB685" i="1"/>
  <c r="BA685" i="1"/>
  <c r="AY685" i="1"/>
  <c r="AU685" i="1" s="1"/>
  <c r="AX685" i="1"/>
  <c r="AT685" i="1" s="1"/>
  <c r="AN686" i="1" l="1"/>
  <c r="AQ686" i="1"/>
  <c r="AO686" i="1"/>
  <c r="AR686" i="1"/>
  <c r="BI686" i="1" l="1"/>
  <c r="BE686" i="1" s="1"/>
  <c r="BH686" i="1"/>
  <c r="BB686" i="1" s="1"/>
  <c r="BD686" i="1"/>
  <c r="BG686" i="1"/>
  <c r="AY686" i="1" s="1"/>
  <c r="AX686" i="1" l="1"/>
  <c r="AU686" i="1"/>
  <c r="AO687" i="1" s="1"/>
  <c r="BA686" i="1"/>
  <c r="AT686" i="1" s="1"/>
  <c r="AR687" i="1"/>
  <c r="AQ687" i="1" l="1"/>
  <c r="AN687" i="1"/>
  <c r="BH687" i="1"/>
  <c r="BI687" i="1"/>
  <c r="BG687" i="1"/>
  <c r="AY687" i="1" s="1"/>
  <c r="AX687" i="1" l="1"/>
  <c r="BD687" i="1"/>
  <c r="BE687" i="1"/>
  <c r="BA687" i="1"/>
  <c r="AT687" i="1" s="1"/>
  <c r="BB687" i="1"/>
  <c r="AU687" i="1" s="1"/>
  <c r="AO688" i="1" l="1"/>
  <c r="AR688" i="1"/>
  <c r="AN688" i="1"/>
  <c r="AQ688" i="1"/>
  <c r="BH688" i="1" l="1"/>
  <c r="BA688" i="1" s="1"/>
  <c r="BI688" i="1"/>
  <c r="BD688" i="1" s="1"/>
  <c r="BG688" i="1"/>
  <c r="AX688" i="1" s="1"/>
  <c r="BE688" i="1"/>
  <c r="AY688" i="1" l="1"/>
  <c r="BB688" i="1"/>
  <c r="AT688" i="1"/>
  <c r="AQ689" i="1" s="1"/>
  <c r="AN689" i="1"/>
  <c r="AU688" i="1" l="1"/>
  <c r="AR689" i="1"/>
  <c r="AO689" i="1"/>
  <c r="BI689" i="1"/>
  <c r="BD689" i="1" s="1"/>
  <c r="BG689" i="1"/>
  <c r="AX689" i="1" s="1"/>
  <c r="BH689" i="1"/>
  <c r="BA689" i="1" s="1"/>
  <c r="AT689" i="1" l="1"/>
  <c r="AY689" i="1"/>
  <c r="BB689" i="1"/>
  <c r="BE689" i="1"/>
  <c r="AU689" i="1" l="1"/>
  <c r="AQ690" i="1"/>
  <c r="AN690" i="1"/>
  <c r="AO690" i="1" l="1"/>
  <c r="BI690" i="1" s="1"/>
  <c r="BD690" i="1" s="1"/>
  <c r="AR690" i="1"/>
  <c r="BE690" i="1" l="1"/>
  <c r="BG690" i="1"/>
  <c r="AX690" i="1" s="1"/>
  <c r="BH690" i="1"/>
  <c r="BA690" i="1" s="1"/>
  <c r="AT690" i="1" l="1"/>
  <c r="AN691" i="1"/>
  <c r="AQ691" i="1"/>
  <c r="BB690" i="1"/>
  <c r="AY690" i="1"/>
  <c r="AU690" i="1" l="1"/>
  <c r="AR691" i="1" l="1"/>
  <c r="AO691" i="1"/>
  <c r="BI691" i="1" l="1"/>
  <c r="BD691" i="1" s="1"/>
  <c r="BH691" i="1"/>
  <c r="BA691" i="1" s="1"/>
  <c r="BG691" i="1"/>
  <c r="AX691" i="1" s="1"/>
  <c r="AT691" i="1" l="1"/>
  <c r="AY691" i="1"/>
  <c r="AQ692" i="1"/>
  <c r="AN692" i="1"/>
  <c r="BE691" i="1"/>
  <c r="BB691" i="1"/>
  <c r="AU691" i="1" l="1"/>
  <c r="AO692" i="1" l="1"/>
  <c r="AR692" i="1"/>
  <c r="BI692" i="1" l="1"/>
  <c r="BG692" i="1"/>
  <c r="BH692" i="1"/>
  <c r="BE692" i="1" l="1"/>
  <c r="BD692" i="1"/>
  <c r="BB692" i="1"/>
  <c r="BA692" i="1"/>
  <c r="AY692" i="1"/>
  <c r="AU692" i="1" s="1"/>
  <c r="AX692" i="1"/>
  <c r="AT692" i="1" s="1"/>
  <c r="AN693" i="1" l="1"/>
  <c r="AQ693" i="1"/>
  <c r="AR693" i="1"/>
  <c r="AO693" i="1"/>
  <c r="BH693" i="1" l="1"/>
  <c r="BA693" i="1" s="1"/>
  <c r="BI693" i="1"/>
  <c r="BE693" i="1" s="1"/>
  <c r="BG693" i="1"/>
  <c r="AY693" i="1" s="1"/>
  <c r="BD693" i="1"/>
  <c r="AX693" i="1"/>
  <c r="AT693" i="1" l="1"/>
  <c r="BB693" i="1"/>
  <c r="AU693" i="1" s="1"/>
  <c r="AO694" i="1" l="1"/>
  <c r="AR694" i="1"/>
  <c r="AQ694" i="1"/>
  <c r="AN694" i="1"/>
  <c r="BI694" i="1" l="1"/>
  <c r="BD694" i="1" s="1"/>
  <c r="BH694" i="1"/>
  <c r="BA694" i="1" s="1"/>
  <c r="BG694" i="1"/>
  <c r="AX694" i="1" s="1"/>
  <c r="BE694" i="1"/>
  <c r="BB694" i="1"/>
  <c r="AT694" i="1" l="1"/>
  <c r="AY694" i="1"/>
  <c r="AU694" i="1" s="1"/>
  <c r="AN695" i="1"/>
  <c r="AQ695" i="1"/>
  <c r="AR695" i="1" l="1"/>
  <c r="AO695" i="1"/>
  <c r="BH695" i="1"/>
  <c r="BB695" i="1" s="1"/>
  <c r="BI695" i="1"/>
  <c r="BE695" i="1" s="1"/>
  <c r="BG695" i="1"/>
  <c r="AY695" i="1" s="1"/>
  <c r="AU695" i="1" s="1"/>
  <c r="BA695" i="1"/>
  <c r="BD695" i="1"/>
  <c r="AX695" i="1"/>
  <c r="AR696" i="1" l="1"/>
  <c r="AO696" i="1"/>
  <c r="AT695" i="1"/>
  <c r="AQ696" i="1" l="1"/>
  <c r="AN696" i="1"/>
  <c r="BI696" i="1" s="1"/>
  <c r="BE696" i="1" s="1"/>
  <c r="BH696" i="1" l="1"/>
  <c r="BB696" i="1" s="1"/>
  <c r="BG696" i="1"/>
  <c r="AY696" i="1" s="1"/>
  <c r="BD696" i="1"/>
  <c r="BA696" i="1"/>
  <c r="AX696" i="1" l="1"/>
  <c r="AT696" i="1"/>
  <c r="AU696" i="1"/>
  <c r="AR697" i="1" l="1"/>
  <c r="AO697" i="1"/>
  <c r="AN697" i="1"/>
  <c r="AQ697" i="1"/>
  <c r="BG697" i="1" l="1"/>
  <c r="AY697" i="1" s="1"/>
  <c r="BI697" i="1"/>
  <c r="BH697" i="1"/>
  <c r="BB697" i="1" s="1"/>
  <c r="AX697" i="1"/>
  <c r="BD697" i="1"/>
  <c r="BE697" i="1"/>
  <c r="AU697" i="1" s="1"/>
  <c r="AR698" i="1" s="1"/>
  <c r="AO698" i="1" l="1"/>
  <c r="BA697" i="1"/>
  <c r="AT697" i="1" s="1"/>
  <c r="AQ698" i="1" l="1"/>
  <c r="AN698" i="1"/>
  <c r="BG698" i="1" l="1"/>
  <c r="AY698" i="1" s="1"/>
  <c r="BI698" i="1"/>
  <c r="BE698" i="1" s="1"/>
  <c r="AX698" i="1"/>
  <c r="BH698" i="1"/>
  <c r="BB698" i="1" s="1"/>
  <c r="BD698" i="1"/>
  <c r="BA698" i="1"/>
  <c r="AT698" i="1" l="1"/>
  <c r="AU698" i="1"/>
  <c r="AR699" i="1" l="1"/>
  <c r="AO699" i="1"/>
  <c r="AN699" i="1"/>
  <c r="AQ699" i="1"/>
  <c r="BH699" i="1" l="1"/>
  <c r="BB699" i="1" s="1"/>
  <c r="BI699" i="1"/>
  <c r="BD699" i="1" s="1"/>
  <c r="BG699" i="1"/>
  <c r="AX699" i="1" s="1"/>
  <c r="BA699" i="1"/>
  <c r="AY699" i="1"/>
  <c r="BE699" i="1"/>
  <c r="AU699" i="1" l="1"/>
  <c r="AT699" i="1"/>
  <c r="AN700" i="1" l="1"/>
  <c r="AQ700" i="1"/>
  <c r="AR700" i="1"/>
  <c r="AO700" i="1"/>
  <c r="BH700" i="1" l="1"/>
  <c r="BA700" i="1" s="1"/>
  <c r="BG700" i="1"/>
  <c r="AX700" i="1" s="1"/>
  <c r="BI700" i="1"/>
  <c r="BD700" i="1" s="1"/>
  <c r="AT700" i="1" l="1"/>
  <c r="AQ701" i="1" s="1"/>
  <c r="AN701" i="1"/>
  <c r="AY700" i="1"/>
  <c r="BE700" i="1"/>
  <c r="BB700" i="1"/>
  <c r="AU700" i="1" l="1"/>
  <c r="AO701" i="1" l="1"/>
  <c r="AR701" i="1"/>
  <c r="BG701" i="1" l="1"/>
  <c r="AX701" i="1" s="1"/>
  <c r="BI701" i="1"/>
  <c r="BD701" i="1" s="1"/>
  <c r="BH701" i="1"/>
  <c r="BA701" i="1" s="1"/>
  <c r="BE701" i="1" l="1"/>
  <c r="AT701" i="1"/>
  <c r="BB701" i="1"/>
  <c r="AY701" i="1"/>
  <c r="AU701" i="1" s="1"/>
  <c r="AR702" i="1" l="1"/>
  <c r="AO702" i="1"/>
  <c r="AQ702" i="1"/>
  <c r="AN702" i="1"/>
  <c r="BH702" i="1" l="1"/>
  <c r="BB702" i="1" s="1"/>
  <c r="BG702" i="1"/>
  <c r="AY702" i="1" s="1"/>
  <c r="BI702" i="1"/>
  <c r="BE702" i="1" s="1"/>
  <c r="BA702" i="1"/>
  <c r="AX702" i="1"/>
  <c r="BD702" i="1" l="1"/>
  <c r="AU702" i="1"/>
  <c r="AT702" i="1"/>
  <c r="AQ703" i="1" l="1"/>
  <c r="AN703" i="1"/>
  <c r="AO703" i="1"/>
  <c r="AR703" i="1"/>
  <c r="BG703" i="1" l="1"/>
  <c r="AY703" i="1" s="1"/>
  <c r="BI703" i="1"/>
  <c r="BD703" i="1" s="1"/>
  <c r="AX703" i="1"/>
  <c r="BH703" i="1"/>
  <c r="BA703" i="1" s="1"/>
  <c r="AT703" i="1" l="1"/>
  <c r="BE703" i="1"/>
  <c r="BB703" i="1"/>
  <c r="AU703" i="1" s="1"/>
  <c r="AR704" i="1" l="1"/>
  <c r="AO704" i="1"/>
  <c r="AN704" i="1"/>
  <c r="AQ704" i="1"/>
  <c r="BI704" i="1" l="1"/>
  <c r="BH704" i="1"/>
  <c r="BG704" i="1"/>
  <c r="BA704" i="1"/>
  <c r="BD704" i="1"/>
  <c r="AX704" i="1"/>
  <c r="BB704" i="1"/>
  <c r="BE704" i="1"/>
  <c r="AY704" i="1"/>
  <c r="AT704" i="1" l="1"/>
  <c r="AU704" i="1"/>
  <c r="AR705" i="1" s="1"/>
  <c r="AO705" i="1"/>
  <c r="AN705" i="1" l="1"/>
  <c r="AQ705" i="1"/>
  <c r="BG705" i="1" l="1"/>
  <c r="AY705" i="1" s="1"/>
  <c r="BI705" i="1"/>
  <c r="BE705" i="1" s="1"/>
  <c r="BH705" i="1"/>
  <c r="BB705" i="1" s="1"/>
  <c r="AX705" i="1"/>
  <c r="BD705" i="1" l="1"/>
  <c r="BA705" i="1"/>
  <c r="AT705" i="1" s="1"/>
  <c r="AU705" i="1"/>
  <c r="AN706" i="1" l="1"/>
  <c r="AQ706" i="1"/>
  <c r="AR706" i="1"/>
  <c r="AO706" i="1"/>
  <c r="BI706" i="1" l="1"/>
  <c r="BE706" i="1" s="1"/>
  <c r="BH706" i="1"/>
  <c r="BB706" i="1" s="1"/>
  <c r="BG706" i="1"/>
  <c r="AY706" i="1" s="1"/>
  <c r="AX706" i="1"/>
  <c r="BD706" i="1"/>
  <c r="AU706" i="1" l="1"/>
  <c r="AO707" i="1" s="1"/>
  <c r="BA706" i="1"/>
  <c r="AT706" i="1" s="1"/>
  <c r="AR707" i="1"/>
  <c r="AN707" i="1" l="1"/>
  <c r="AQ707" i="1"/>
  <c r="BH707" i="1" l="1"/>
  <c r="BB707" i="1" s="1"/>
  <c r="BI707" i="1"/>
  <c r="BE707" i="1" s="1"/>
  <c r="BG707" i="1"/>
  <c r="AY707" i="1" s="1"/>
  <c r="AU707" i="1" s="1"/>
  <c r="BA707" i="1"/>
  <c r="BD707" i="1"/>
  <c r="AX707" i="1"/>
  <c r="AR708" i="1" l="1"/>
  <c r="AO708" i="1"/>
  <c r="AT707" i="1"/>
  <c r="AQ708" i="1" l="1"/>
  <c r="AN708" i="1"/>
  <c r="BI708" i="1" l="1"/>
  <c r="BE708" i="1" s="1"/>
  <c r="BH708" i="1"/>
  <c r="BB708" i="1" s="1"/>
  <c r="BG708" i="1"/>
  <c r="AY708" i="1" s="1"/>
  <c r="AU708" i="1" s="1"/>
  <c r="AX708" i="1"/>
  <c r="BD708" i="1"/>
  <c r="AO709" i="1" l="1"/>
  <c r="AR709" i="1"/>
  <c r="BA708" i="1"/>
  <c r="AT708" i="1" s="1"/>
  <c r="AN709" i="1" l="1"/>
  <c r="AQ709" i="1"/>
  <c r="BG709" i="1" l="1"/>
  <c r="AY709" i="1" s="1"/>
  <c r="AX709" i="1"/>
  <c r="BI709" i="1"/>
  <c r="BE709" i="1" s="1"/>
  <c r="BH709" i="1"/>
  <c r="BB709" i="1" s="1"/>
  <c r="BD709" i="1" l="1"/>
  <c r="BA709" i="1"/>
  <c r="AT709" i="1" s="1"/>
  <c r="AU709" i="1"/>
  <c r="AN710" i="1" l="1"/>
  <c r="AQ710" i="1"/>
  <c r="AO710" i="1"/>
  <c r="AR710" i="1"/>
  <c r="BH710" i="1" l="1"/>
  <c r="BB710" i="1" s="1"/>
  <c r="BG710" i="1"/>
  <c r="AY710" i="1" s="1"/>
  <c r="AU710" i="1" s="1"/>
  <c r="AR711" i="1" s="1"/>
  <c r="BI710" i="1"/>
  <c r="BE710" i="1" s="1"/>
  <c r="AO711" i="1" l="1"/>
  <c r="AX710" i="1"/>
  <c r="BD710" i="1"/>
  <c r="BA710" i="1"/>
  <c r="AT710" i="1" l="1"/>
  <c r="AQ711" i="1" l="1"/>
  <c r="AN711" i="1"/>
  <c r="BI711" i="1" l="1"/>
  <c r="BE711" i="1" s="1"/>
  <c r="BH711" i="1"/>
  <c r="BB711" i="1" s="1"/>
  <c r="BD711" i="1"/>
  <c r="BG711" i="1"/>
  <c r="AY711" i="1" s="1"/>
  <c r="AU711" i="1" s="1"/>
  <c r="AR712" i="1" l="1"/>
  <c r="AO712" i="1"/>
  <c r="AX711" i="1"/>
  <c r="BA711" i="1"/>
  <c r="AT711" i="1" l="1"/>
  <c r="AQ712" i="1" l="1"/>
  <c r="AN712" i="1"/>
  <c r="BG712" i="1" l="1"/>
  <c r="AY712" i="1" s="1"/>
  <c r="BH712" i="1"/>
  <c r="BB712" i="1" s="1"/>
  <c r="AX712" i="1"/>
  <c r="BA712" i="1"/>
  <c r="BI712" i="1"/>
  <c r="BE712" i="1" s="1"/>
  <c r="BD712" i="1" l="1"/>
  <c r="AT712" i="1" s="1"/>
  <c r="AU712" i="1"/>
  <c r="AO713" i="1" l="1"/>
  <c r="AR713" i="1"/>
  <c r="AN713" i="1"/>
  <c r="AQ713" i="1"/>
  <c r="BG713" i="1" l="1"/>
  <c r="AY713" i="1" s="1"/>
  <c r="BH713" i="1"/>
  <c r="BB713" i="1" s="1"/>
  <c r="BI713" i="1"/>
  <c r="BE713" i="1" s="1"/>
  <c r="BA713" i="1"/>
  <c r="AX713" i="1"/>
  <c r="BD713" i="1" l="1"/>
  <c r="AT713" i="1" s="1"/>
  <c r="AU713" i="1"/>
  <c r="AN714" i="1" l="1"/>
  <c r="AQ714" i="1"/>
  <c r="AR714" i="1"/>
  <c r="AO714" i="1"/>
  <c r="BI714" i="1" l="1"/>
  <c r="BE714" i="1" s="1"/>
  <c r="BH714" i="1"/>
  <c r="BB714" i="1" s="1"/>
  <c r="BG714" i="1"/>
  <c r="AY714" i="1" s="1"/>
  <c r="AU714" i="1" s="1"/>
  <c r="BD714" i="1"/>
  <c r="AX714" i="1"/>
  <c r="AR715" i="1" l="1"/>
  <c r="AO715" i="1"/>
  <c r="BA714" i="1"/>
  <c r="AT714" i="1" s="1"/>
  <c r="AQ715" i="1" l="1"/>
  <c r="AN715" i="1"/>
  <c r="BH715" i="1" l="1"/>
  <c r="BB715" i="1" s="1"/>
  <c r="BG715" i="1"/>
  <c r="AY715" i="1" s="1"/>
  <c r="BI715" i="1"/>
  <c r="BE715" i="1" s="1"/>
  <c r="AU715" i="1" s="1"/>
  <c r="AX715" i="1"/>
  <c r="AR716" i="1" l="1"/>
  <c r="AO716" i="1"/>
  <c r="BD715" i="1"/>
  <c r="BA715" i="1"/>
  <c r="AT715" i="1" l="1"/>
  <c r="AN716" i="1" l="1"/>
  <c r="AQ716" i="1"/>
  <c r="BH716" i="1" l="1"/>
  <c r="BB716" i="1" s="1"/>
  <c r="BI716" i="1"/>
  <c r="BE716" i="1" s="1"/>
  <c r="BG716" i="1"/>
  <c r="AY716" i="1" s="1"/>
  <c r="BA716" i="1"/>
  <c r="AX716" i="1" l="1"/>
  <c r="BD716" i="1"/>
  <c r="AU716" i="1"/>
  <c r="AO717" i="1" l="1"/>
  <c r="AR717" i="1"/>
  <c r="AT716" i="1"/>
  <c r="AQ717" i="1" l="1"/>
  <c r="AN717" i="1"/>
  <c r="BG717" i="1" l="1"/>
  <c r="AY717" i="1" s="1"/>
  <c r="BH717" i="1"/>
  <c r="BB717" i="1" s="1"/>
  <c r="AX717" i="1"/>
  <c r="BI717" i="1"/>
  <c r="BE717" i="1" s="1"/>
  <c r="BA717" i="1" l="1"/>
  <c r="BD717" i="1"/>
  <c r="AT717" i="1" s="1"/>
  <c r="AU717" i="1"/>
  <c r="AQ718" i="1" l="1"/>
  <c r="AN718" i="1"/>
  <c r="AO718" i="1"/>
  <c r="AR718" i="1"/>
  <c r="BI718" i="1" l="1"/>
  <c r="BE718" i="1" s="1"/>
  <c r="BG718" i="1"/>
  <c r="AY718" i="1" s="1"/>
  <c r="BD718" i="1"/>
  <c r="BH718" i="1"/>
  <c r="BB718" i="1" s="1"/>
  <c r="AX718" i="1"/>
  <c r="BA718" i="1"/>
  <c r="AT718" i="1" l="1"/>
  <c r="AU718" i="1"/>
  <c r="AN719" i="1" l="1"/>
  <c r="AQ719" i="1"/>
  <c r="AR719" i="1"/>
  <c r="AO719" i="1"/>
  <c r="BG719" i="1" l="1"/>
  <c r="BH719" i="1"/>
  <c r="BI719" i="1"/>
  <c r="BE719" i="1" l="1"/>
  <c r="BD719" i="1"/>
  <c r="AY719" i="1"/>
  <c r="AX719" i="1"/>
  <c r="BB719" i="1"/>
  <c r="BA719" i="1"/>
  <c r="AT719" i="1" l="1"/>
  <c r="AU719" i="1"/>
  <c r="AO720" i="1" l="1"/>
  <c r="AR720" i="1"/>
  <c r="AN720" i="1"/>
  <c r="AQ720" i="1"/>
  <c r="BG720" i="1" l="1"/>
  <c r="AY720" i="1" s="1"/>
  <c r="AX720" i="1"/>
  <c r="BI720" i="1"/>
  <c r="BE720" i="1" s="1"/>
  <c r="BH720" i="1"/>
  <c r="BB720" i="1" s="1"/>
  <c r="BD720" i="1" l="1"/>
  <c r="BA720" i="1"/>
  <c r="AU720" i="1"/>
  <c r="AT720" i="1" l="1"/>
  <c r="AR721" i="1"/>
  <c r="AO721" i="1"/>
  <c r="AQ721" i="1"/>
  <c r="AN721" i="1"/>
  <c r="BG721" i="1" l="1"/>
  <c r="AY721" i="1" s="1"/>
  <c r="BH721" i="1"/>
  <c r="BB721" i="1" s="1"/>
  <c r="BI721" i="1"/>
  <c r="BE721" i="1" s="1"/>
  <c r="AX721" i="1"/>
  <c r="BD721" i="1" l="1"/>
  <c r="AU721" i="1"/>
  <c r="BA721" i="1"/>
  <c r="AT721" i="1" s="1"/>
  <c r="AQ722" i="1" l="1"/>
  <c r="AN722" i="1"/>
  <c r="AO722" i="1"/>
  <c r="AR722" i="1"/>
  <c r="BI722" i="1" l="1"/>
  <c r="BE722" i="1" s="1"/>
  <c r="BG722" i="1"/>
  <c r="AY722" i="1" s="1"/>
  <c r="AU722" i="1" s="1"/>
  <c r="AR723" i="1" s="1"/>
  <c r="BH722" i="1"/>
  <c r="BB722" i="1" s="1"/>
  <c r="AX722" i="1"/>
  <c r="BA722" i="1"/>
  <c r="AO723" i="1"/>
  <c r="BD722" i="1" l="1"/>
  <c r="AT722" i="1" s="1"/>
  <c r="AQ723" i="1" l="1"/>
  <c r="AN723" i="1"/>
  <c r="BG723" i="1" l="1"/>
  <c r="AY723" i="1" s="1"/>
  <c r="BI723" i="1"/>
  <c r="BE723" i="1" s="1"/>
  <c r="BD723" i="1"/>
  <c r="BH723" i="1"/>
  <c r="BB723" i="1" s="1"/>
  <c r="AX723" i="1"/>
  <c r="AU723" i="1" l="1"/>
  <c r="BA723" i="1"/>
  <c r="AT723" i="1" s="1"/>
  <c r="AQ724" i="1" l="1"/>
  <c r="AN724" i="1"/>
  <c r="AR724" i="1"/>
  <c r="AO724" i="1"/>
  <c r="BH724" i="1" l="1"/>
  <c r="BB724" i="1" s="1"/>
  <c r="BI724" i="1"/>
  <c r="BE724" i="1" s="1"/>
  <c r="BG724" i="1"/>
  <c r="AY724" i="1" s="1"/>
  <c r="AU724" i="1" s="1"/>
  <c r="AR725" i="1" s="1"/>
  <c r="BA724" i="1"/>
  <c r="BD724" i="1"/>
  <c r="AX724" i="1" l="1"/>
  <c r="AT724" i="1" s="1"/>
  <c r="AO725" i="1"/>
  <c r="AN725" i="1" l="1"/>
  <c r="AQ725" i="1"/>
  <c r="BI725" i="1" l="1"/>
  <c r="BE725" i="1" s="1"/>
  <c r="BG725" i="1"/>
  <c r="AY725" i="1" s="1"/>
  <c r="AX725" i="1"/>
  <c r="BD725" i="1"/>
  <c r="BH725" i="1"/>
  <c r="BB725" i="1" s="1"/>
  <c r="BA725" i="1" l="1"/>
  <c r="AT725" i="1" s="1"/>
  <c r="AQ726" i="1" s="1"/>
  <c r="AN726" i="1"/>
  <c r="AU725" i="1"/>
  <c r="AR726" i="1" l="1"/>
  <c r="AO726" i="1"/>
  <c r="BG726" i="1"/>
  <c r="AY726" i="1" s="1"/>
  <c r="BH726" i="1"/>
  <c r="BI726" i="1"/>
  <c r="BE726" i="1" s="1"/>
  <c r="BA726" i="1"/>
  <c r="BD726" i="1" l="1"/>
  <c r="AX726" i="1"/>
  <c r="AT726" i="1" s="1"/>
  <c r="BB726" i="1"/>
  <c r="AU726" i="1" s="1"/>
  <c r="AR727" i="1" l="1"/>
  <c r="AO727" i="1"/>
  <c r="AQ727" i="1"/>
  <c r="AN727" i="1"/>
  <c r="BH727" i="1" l="1"/>
  <c r="BB727" i="1" s="1"/>
  <c r="BA727" i="1"/>
  <c r="BI727" i="1"/>
  <c r="BG727" i="1"/>
  <c r="AX727" i="1" s="1"/>
  <c r="AT727" i="1" s="1"/>
  <c r="AN728" i="1" s="1"/>
  <c r="BD727" i="1"/>
  <c r="BE727" i="1"/>
  <c r="AY727" i="1"/>
  <c r="AU727" i="1" l="1"/>
  <c r="AR728" i="1" s="1"/>
  <c r="AQ728" i="1"/>
  <c r="AO728" i="1"/>
  <c r="BH728" i="1" s="1"/>
  <c r="BA728" i="1" s="1"/>
  <c r="BB728" i="1" l="1"/>
  <c r="BI728" i="1"/>
  <c r="BD728" i="1" s="1"/>
  <c r="BG728" i="1"/>
  <c r="AY728" i="1" l="1"/>
  <c r="AX728" i="1"/>
  <c r="AT728" i="1" s="1"/>
  <c r="BE728" i="1"/>
  <c r="AQ729" i="1" l="1"/>
  <c r="AN729" i="1"/>
  <c r="AU728" i="1"/>
  <c r="AR729" i="1" l="1"/>
  <c r="AO729" i="1"/>
  <c r="BI729" i="1" s="1"/>
  <c r="BG729" i="1"/>
  <c r="AY729" i="1" s="1"/>
  <c r="BH729" i="1"/>
  <c r="BB729" i="1" s="1"/>
  <c r="BE729" i="1" l="1"/>
  <c r="BD729" i="1"/>
  <c r="AU729" i="1"/>
  <c r="AX729" i="1"/>
  <c r="BA729" i="1"/>
  <c r="AO730" i="1"/>
  <c r="AR730" i="1"/>
  <c r="AT729" i="1" l="1"/>
  <c r="AQ730" i="1" l="1"/>
  <c r="AN730" i="1"/>
  <c r="BH730" i="1" l="1"/>
  <c r="BG730" i="1"/>
  <c r="BI730" i="1"/>
  <c r="AX730" i="1" l="1"/>
  <c r="AY730" i="1"/>
  <c r="BD730" i="1"/>
  <c r="BE730" i="1"/>
  <c r="BA730" i="1"/>
  <c r="BB730" i="1"/>
  <c r="AU730" i="1" l="1"/>
  <c r="AT730" i="1"/>
  <c r="AN731" i="1" l="1"/>
  <c r="AQ731" i="1"/>
  <c r="AR731" i="1"/>
  <c r="AO731" i="1"/>
  <c r="BH731" i="1" l="1"/>
  <c r="BB731" i="1" s="1"/>
  <c r="BG731" i="1"/>
  <c r="AY731" i="1" s="1"/>
  <c r="AU731" i="1" s="1"/>
  <c r="BI731" i="1"/>
  <c r="BE731" i="1" s="1"/>
  <c r="BD731" i="1"/>
  <c r="BA731" i="1"/>
  <c r="AO732" i="1" l="1"/>
  <c r="AR732" i="1"/>
  <c r="AX731" i="1"/>
  <c r="AT731" i="1" s="1"/>
  <c r="AN732" i="1" l="1"/>
  <c r="AQ732" i="1"/>
  <c r="BI732" i="1" l="1"/>
  <c r="BE732" i="1" s="1"/>
  <c r="BD732" i="1"/>
  <c r="BG732" i="1"/>
  <c r="AY732" i="1" s="1"/>
  <c r="BH732" i="1"/>
  <c r="BB732" i="1" s="1"/>
  <c r="AU732" i="1" l="1"/>
  <c r="BA732" i="1"/>
  <c r="AR733" i="1"/>
  <c r="AO733" i="1"/>
  <c r="AX732" i="1"/>
  <c r="AT732" i="1" s="1"/>
  <c r="AQ733" i="1" l="1"/>
  <c r="AN733" i="1"/>
  <c r="BH733" i="1" l="1"/>
  <c r="BB733" i="1" s="1"/>
  <c r="BG733" i="1"/>
  <c r="AY733" i="1" s="1"/>
  <c r="BI733" i="1"/>
  <c r="BE733" i="1" s="1"/>
  <c r="AX733" i="1"/>
  <c r="BA733" i="1"/>
  <c r="AU733" i="1" l="1"/>
  <c r="BD733" i="1"/>
  <c r="AT733" i="1" s="1"/>
  <c r="AN734" i="1" l="1"/>
  <c r="AQ734" i="1"/>
  <c r="AO734" i="1"/>
  <c r="AR734" i="1"/>
  <c r="BG734" i="1" l="1"/>
  <c r="AY734" i="1" s="1"/>
  <c r="BH734" i="1"/>
  <c r="BB734" i="1" s="1"/>
  <c r="BI734" i="1"/>
  <c r="BE734" i="1" s="1"/>
  <c r="AX734" i="1"/>
  <c r="BA734" i="1" l="1"/>
  <c r="BD734" i="1"/>
  <c r="AT734" i="1"/>
  <c r="AU734" i="1"/>
  <c r="AQ735" i="1" l="1"/>
  <c r="AN735" i="1"/>
  <c r="AR735" i="1"/>
  <c r="AO735" i="1"/>
  <c r="BI735" i="1" l="1"/>
  <c r="BE735" i="1" s="1"/>
  <c r="BG735" i="1"/>
  <c r="AY735" i="1" s="1"/>
  <c r="BH735" i="1"/>
  <c r="BB735" i="1" s="1"/>
  <c r="BD735" i="1" l="1"/>
  <c r="AU735" i="1"/>
  <c r="BA735" i="1"/>
  <c r="AX735" i="1"/>
  <c r="AT735" i="1" s="1"/>
  <c r="AQ736" i="1" l="1"/>
  <c r="AN736" i="1"/>
  <c r="AR736" i="1"/>
  <c r="AO736" i="1"/>
  <c r="BH736" i="1" l="1"/>
  <c r="BB736" i="1" s="1"/>
  <c r="BG736" i="1"/>
  <c r="AY736" i="1" s="1"/>
  <c r="BI736" i="1"/>
  <c r="BE736" i="1" s="1"/>
  <c r="BA736" i="1"/>
  <c r="BD736" i="1"/>
  <c r="AX736" i="1"/>
  <c r="AU736" i="1" l="1"/>
  <c r="AT736" i="1"/>
  <c r="AQ737" i="1" l="1"/>
  <c r="AN737" i="1"/>
  <c r="AO737" i="1"/>
  <c r="AR737" i="1"/>
  <c r="BG737" i="1" l="1"/>
  <c r="AY737" i="1" s="1"/>
  <c r="BH737" i="1"/>
  <c r="BB737" i="1" s="1"/>
  <c r="BA737" i="1"/>
  <c r="BI737" i="1"/>
  <c r="BE737" i="1" s="1"/>
  <c r="AX737" i="1"/>
  <c r="BD737" i="1" l="1"/>
  <c r="AT737" i="1" s="1"/>
  <c r="AU737" i="1"/>
  <c r="AN738" i="1" l="1"/>
  <c r="AQ738" i="1"/>
  <c r="AR738" i="1"/>
  <c r="AO738" i="1"/>
  <c r="BG738" i="1" l="1"/>
  <c r="AY738" i="1" s="1"/>
  <c r="BI738" i="1"/>
  <c r="BE738" i="1" s="1"/>
  <c r="BH738" i="1"/>
  <c r="BB738" i="1" s="1"/>
  <c r="AX738" i="1"/>
  <c r="BA738" i="1" l="1"/>
  <c r="BD738" i="1"/>
  <c r="AU738" i="1"/>
  <c r="AO739" i="1" l="1"/>
  <c r="AR739" i="1"/>
  <c r="AT738" i="1"/>
  <c r="AQ739" i="1" l="1"/>
  <c r="AN739" i="1"/>
  <c r="BI739" i="1" l="1"/>
  <c r="BE739" i="1" s="1"/>
  <c r="BH739" i="1"/>
  <c r="BB739" i="1" s="1"/>
  <c r="BG739" i="1"/>
  <c r="AY739" i="1" s="1"/>
  <c r="AU739" i="1" s="1"/>
  <c r="BD739" i="1"/>
  <c r="AX739" i="1"/>
  <c r="BA739" i="1"/>
  <c r="AT739" i="1" l="1"/>
  <c r="AR740" i="1"/>
  <c r="AO740" i="1"/>
  <c r="AN740" i="1" l="1"/>
  <c r="AQ740" i="1"/>
  <c r="BG740" i="1" l="1"/>
  <c r="AY740" i="1" s="1"/>
  <c r="AX740" i="1"/>
  <c r="BH740" i="1"/>
  <c r="BB740" i="1" s="1"/>
  <c r="BI740" i="1"/>
  <c r="BE740" i="1" s="1"/>
  <c r="BD740" i="1"/>
  <c r="BA740" i="1" l="1"/>
  <c r="AT740" i="1" s="1"/>
  <c r="AU740" i="1"/>
  <c r="AQ741" i="1" l="1"/>
  <c r="AN741" i="1"/>
  <c r="AO741" i="1"/>
  <c r="AR741" i="1"/>
  <c r="BG741" i="1" l="1"/>
  <c r="AY741" i="1" s="1"/>
  <c r="BI741" i="1"/>
  <c r="BE741" i="1" s="1"/>
  <c r="BH741" i="1"/>
  <c r="BB741" i="1" s="1"/>
  <c r="AX741" i="1"/>
  <c r="BA741" i="1" l="1"/>
  <c r="BD741" i="1"/>
  <c r="AU741" i="1"/>
  <c r="AT741" i="1" l="1"/>
  <c r="AQ742" i="1"/>
  <c r="AN742" i="1"/>
  <c r="AO742" i="1"/>
  <c r="AR742" i="1"/>
  <c r="BI742" i="1" l="1"/>
  <c r="BE742" i="1" s="1"/>
  <c r="BH742" i="1"/>
  <c r="BB742" i="1" s="1"/>
  <c r="BA742" i="1"/>
  <c r="BG742" i="1"/>
  <c r="AY742" i="1" s="1"/>
  <c r="AU742" i="1" s="1"/>
  <c r="AR743" i="1" s="1"/>
  <c r="BD742" i="1"/>
  <c r="AX742" i="1" l="1"/>
  <c r="AT742" i="1" s="1"/>
  <c r="AO743" i="1"/>
  <c r="AN743" i="1" l="1"/>
  <c r="AQ743" i="1"/>
  <c r="BG743" i="1" l="1"/>
  <c r="AY743" i="1" s="1"/>
  <c r="BH743" i="1"/>
  <c r="BB743" i="1" s="1"/>
  <c r="BI743" i="1"/>
  <c r="BE743" i="1" s="1"/>
  <c r="AX743" i="1"/>
  <c r="BA743" i="1" l="1"/>
  <c r="BD743" i="1"/>
  <c r="AU743" i="1"/>
  <c r="AT743" i="1" l="1"/>
  <c r="AQ744" i="1"/>
  <c r="AN744" i="1"/>
  <c r="AR744" i="1"/>
  <c r="AO744" i="1"/>
  <c r="BH744" i="1" l="1"/>
  <c r="BB744" i="1" s="1"/>
  <c r="BG744" i="1"/>
  <c r="AY744" i="1" s="1"/>
  <c r="BI744" i="1"/>
  <c r="BE744" i="1" s="1"/>
  <c r="AX744" i="1"/>
  <c r="AU744" i="1" l="1"/>
  <c r="BD744" i="1"/>
  <c r="BA744" i="1"/>
  <c r="AT744" i="1" s="1"/>
  <c r="AN745" i="1" l="1"/>
  <c r="AQ745" i="1"/>
  <c r="AO745" i="1"/>
  <c r="AR745" i="1"/>
  <c r="BI745" i="1" l="1"/>
  <c r="BE745" i="1" s="1"/>
  <c r="BG745" i="1"/>
  <c r="AY745" i="1" s="1"/>
  <c r="BD745" i="1"/>
  <c r="BH745" i="1"/>
  <c r="BB745" i="1" s="1"/>
  <c r="AX745" i="1"/>
  <c r="BA745" i="1" l="1"/>
  <c r="AT745" i="1" s="1"/>
  <c r="AU745" i="1"/>
  <c r="AQ746" i="1" l="1"/>
  <c r="AN746" i="1"/>
  <c r="AO746" i="1"/>
  <c r="AR746" i="1"/>
  <c r="BI746" i="1"/>
  <c r="BE746" i="1" s="1"/>
  <c r="BG746" i="1"/>
  <c r="AY746" i="1" s="1"/>
  <c r="BH746" i="1"/>
  <c r="BB746" i="1" s="1"/>
  <c r="BD746" i="1"/>
  <c r="AX746" i="1"/>
  <c r="BA746" i="1"/>
  <c r="AU746" i="1" l="1"/>
  <c r="AT746" i="1"/>
  <c r="AR747" i="1"/>
  <c r="AO747" i="1"/>
  <c r="AQ747" i="1" l="1"/>
  <c r="AN747" i="1"/>
  <c r="BG747" i="1" l="1"/>
  <c r="AY747" i="1" s="1"/>
  <c r="BH747" i="1"/>
  <c r="BB747" i="1" s="1"/>
  <c r="BI747" i="1"/>
  <c r="BE747" i="1" s="1"/>
  <c r="BD747" i="1" l="1"/>
  <c r="AU747" i="1"/>
  <c r="AX747" i="1"/>
  <c r="BA747" i="1"/>
  <c r="AR748" i="1" l="1"/>
  <c r="AO748" i="1"/>
  <c r="AT747" i="1"/>
  <c r="AN748" i="1" l="1"/>
  <c r="AQ748" i="1"/>
  <c r="BI748" i="1" l="1"/>
  <c r="BE748" i="1" s="1"/>
  <c r="BH748" i="1"/>
  <c r="BB748" i="1" s="1"/>
  <c r="BD748" i="1"/>
  <c r="BG748" i="1"/>
  <c r="AY748" i="1" s="1"/>
  <c r="AU748" i="1" s="1"/>
  <c r="BA748" i="1"/>
  <c r="AX748" i="1"/>
  <c r="AT748" i="1" l="1"/>
  <c r="AO749" i="1"/>
  <c r="AR749" i="1"/>
  <c r="AQ749" i="1" l="1"/>
  <c r="AN749" i="1"/>
  <c r="BG749" i="1" l="1"/>
  <c r="AY749" i="1" s="1"/>
  <c r="BI749" i="1"/>
  <c r="BE749" i="1" s="1"/>
  <c r="AX749" i="1"/>
  <c r="BH749" i="1"/>
  <c r="BB749" i="1" s="1"/>
  <c r="BD749" i="1" l="1"/>
  <c r="BA749" i="1"/>
  <c r="AT749" i="1" s="1"/>
  <c r="AU749" i="1"/>
  <c r="AQ750" i="1" l="1"/>
  <c r="AN750" i="1"/>
  <c r="AR750" i="1"/>
  <c r="AO750" i="1"/>
  <c r="BH750" i="1" l="1"/>
  <c r="BB750" i="1" s="1"/>
  <c r="BG750" i="1"/>
  <c r="AY750" i="1" s="1"/>
  <c r="BI750" i="1"/>
  <c r="BE750" i="1" s="1"/>
  <c r="AX750" i="1"/>
  <c r="BD750" i="1"/>
  <c r="BA750" i="1"/>
  <c r="AT750" i="1" l="1"/>
  <c r="AU750" i="1"/>
  <c r="AO751" i="1" l="1"/>
  <c r="AR751" i="1"/>
  <c r="AN751" i="1"/>
  <c r="AQ751" i="1"/>
  <c r="BG751" i="1" l="1"/>
  <c r="AY751" i="1" s="1"/>
  <c r="AX751" i="1"/>
  <c r="BI751" i="1"/>
  <c r="BE751" i="1" s="1"/>
  <c r="BH751" i="1"/>
  <c r="BB751" i="1" s="1"/>
  <c r="BD751" i="1"/>
  <c r="BA751" i="1" l="1"/>
  <c r="AT751" i="1" s="1"/>
  <c r="AU751" i="1"/>
  <c r="AN752" i="1" l="1"/>
  <c r="AQ752" i="1"/>
  <c r="AR752" i="1"/>
  <c r="AO752" i="1"/>
  <c r="BI752" i="1" l="1"/>
  <c r="BE752" i="1" s="1"/>
  <c r="BG752" i="1"/>
  <c r="AY752" i="1" s="1"/>
  <c r="BH752" i="1"/>
  <c r="BB752" i="1" s="1"/>
  <c r="BD752" i="1"/>
  <c r="AX752" i="1"/>
  <c r="AU752" i="1" l="1"/>
  <c r="BA752" i="1"/>
  <c r="AT752" i="1" s="1"/>
  <c r="AN753" i="1" l="1"/>
  <c r="AQ753" i="1"/>
  <c r="AR753" i="1"/>
  <c r="AO753" i="1"/>
  <c r="BG753" i="1" l="1"/>
  <c r="AY753" i="1" s="1"/>
  <c r="BH753" i="1"/>
  <c r="BB753" i="1" s="1"/>
  <c r="BI753" i="1"/>
  <c r="BE753" i="1" s="1"/>
  <c r="AX753" i="1"/>
  <c r="BA753" i="1"/>
  <c r="AU753" i="1" l="1"/>
  <c r="BD753" i="1"/>
  <c r="AT753" i="1" s="1"/>
  <c r="AQ754" i="1" l="1"/>
  <c r="AN754" i="1"/>
  <c r="AR754" i="1"/>
  <c r="AO754" i="1"/>
  <c r="BH754" i="1" l="1"/>
  <c r="BB754" i="1" s="1"/>
  <c r="BG754" i="1"/>
  <c r="AY754" i="1" s="1"/>
  <c r="BI754" i="1"/>
  <c r="BE754" i="1" s="1"/>
  <c r="BD754" i="1"/>
  <c r="BA754" i="1"/>
  <c r="AX754" i="1"/>
  <c r="AU754" i="1" l="1"/>
  <c r="AT754" i="1"/>
  <c r="AR755" i="1"/>
  <c r="AO755" i="1"/>
  <c r="AN755" i="1" l="1"/>
  <c r="BG755" i="1" s="1"/>
  <c r="AQ755" i="1"/>
  <c r="BH755" i="1"/>
  <c r="BI755" i="1"/>
  <c r="AX755" i="1" l="1"/>
  <c r="AY755" i="1"/>
  <c r="BE755" i="1"/>
  <c r="BD755" i="1"/>
  <c r="BB755" i="1"/>
  <c r="AU755" i="1" s="1"/>
  <c r="BA755" i="1"/>
  <c r="AT755" i="1" s="1"/>
  <c r="AR756" i="1" l="1"/>
  <c r="AO756" i="1"/>
  <c r="AQ756" i="1"/>
  <c r="AN756" i="1"/>
  <c r="BH756" i="1" l="1"/>
  <c r="BB756" i="1" s="1"/>
  <c r="BG756" i="1"/>
  <c r="AY756" i="1" s="1"/>
  <c r="BI756" i="1"/>
  <c r="BE756" i="1" s="1"/>
  <c r="AX756" i="1"/>
  <c r="BD756" i="1" l="1"/>
  <c r="AU756" i="1"/>
  <c r="BA756" i="1"/>
  <c r="AT756" i="1" s="1"/>
  <c r="AN757" i="1" l="1"/>
  <c r="AQ757" i="1"/>
  <c r="AO757" i="1"/>
  <c r="AR757" i="1"/>
  <c r="BH757" i="1" l="1"/>
  <c r="BB757" i="1" s="1"/>
  <c r="BG757" i="1"/>
  <c r="AY757" i="1" s="1"/>
  <c r="AU757" i="1" s="1"/>
  <c r="BI757" i="1"/>
  <c r="BE757" i="1" s="1"/>
  <c r="BA757" i="1"/>
  <c r="BD757" i="1"/>
  <c r="AX757" i="1"/>
  <c r="AT757" i="1" s="1"/>
  <c r="AQ758" i="1" s="1"/>
  <c r="AR758" i="1" l="1"/>
  <c r="AO758" i="1"/>
  <c r="AN758" i="1"/>
  <c r="BH758" i="1" l="1"/>
  <c r="BB758" i="1" s="1"/>
  <c r="BI758" i="1"/>
  <c r="BE758" i="1" s="1"/>
  <c r="BG758" i="1"/>
  <c r="AY758" i="1" s="1"/>
  <c r="AU758" i="1" s="1"/>
  <c r="AO759" i="1" s="1"/>
  <c r="BA758" i="1"/>
  <c r="AX758" i="1"/>
  <c r="BD758" i="1"/>
  <c r="AT758" i="1" s="1"/>
  <c r="AQ759" i="1" s="1"/>
  <c r="AR759" i="1" l="1"/>
  <c r="AN759" i="1"/>
  <c r="BI759" i="1" l="1"/>
  <c r="BE759" i="1" s="1"/>
  <c r="BH759" i="1"/>
  <c r="BB759" i="1" s="1"/>
  <c r="BG759" i="1"/>
  <c r="AY759" i="1" s="1"/>
  <c r="AU759" i="1" s="1"/>
  <c r="BD759" i="1"/>
  <c r="AX759" i="1"/>
  <c r="BA759" i="1"/>
  <c r="AT759" i="1" l="1"/>
  <c r="AR760" i="1"/>
  <c r="AO760" i="1"/>
  <c r="AQ760" i="1" l="1"/>
  <c r="AN760" i="1"/>
  <c r="BI760" i="1" l="1"/>
  <c r="BE760" i="1" s="1"/>
  <c r="BG760" i="1"/>
  <c r="AY760" i="1" s="1"/>
  <c r="BD760" i="1"/>
  <c r="BH760" i="1"/>
  <c r="BB760" i="1" s="1"/>
  <c r="AX760" i="1"/>
  <c r="BA760" i="1"/>
  <c r="AT760" i="1" l="1"/>
  <c r="AU760" i="1"/>
  <c r="AO761" i="1" l="1"/>
  <c r="AR761" i="1"/>
  <c r="AN761" i="1"/>
  <c r="AQ761" i="1"/>
  <c r="BI761" i="1" l="1"/>
  <c r="BE761" i="1" s="1"/>
  <c r="BH761" i="1"/>
  <c r="BB761" i="1" s="1"/>
  <c r="BG761" i="1"/>
  <c r="AY761" i="1" s="1"/>
  <c r="AU761" i="1" s="1"/>
  <c r="AR762" i="1" s="1"/>
  <c r="BD761" i="1"/>
  <c r="BA761" i="1"/>
  <c r="AX761" i="1"/>
  <c r="AO762" i="1"/>
  <c r="AT761" i="1" l="1"/>
  <c r="AQ762" i="1" l="1"/>
  <c r="AN762" i="1"/>
  <c r="BI762" i="1" l="1"/>
  <c r="BE762" i="1" s="1"/>
  <c r="BH762" i="1"/>
  <c r="BB762" i="1" s="1"/>
  <c r="BG762" i="1"/>
  <c r="AY762" i="1" s="1"/>
  <c r="AU762" i="1" s="1"/>
  <c r="BD762" i="1"/>
  <c r="AX762" i="1" l="1"/>
  <c r="BA762" i="1"/>
  <c r="AT762" i="1" s="1"/>
  <c r="AR763" i="1"/>
  <c r="AO763" i="1"/>
  <c r="AN763" i="1" l="1"/>
  <c r="AQ763" i="1"/>
  <c r="BG763" i="1" l="1"/>
  <c r="AY763" i="1" s="1"/>
  <c r="BH763" i="1"/>
  <c r="BB763" i="1" s="1"/>
  <c r="BI763" i="1"/>
  <c r="BE763" i="1" s="1"/>
  <c r="BD763" i="1"/>
  <c r="BA763" i="1"/>
  <c r="AX763" i="1"/>
  <c r="AT763" i="1" s="1"/>
  <c r="AN764" i="1" s="1"/>
  <c r="AQ764" i="1" l="1"/>
  <c r="AU763" i="1"/>
  <c r="AO764" i="1" l="1"/>
  <c r="AR764" i="1"/>
  <c r="BI764" i="1" l="1"/>
  <c r="BG764" i="1"/>
  <c r="BH764" i="1"/>
  <c r="AY764" i="1" l="1"/>
  <c r="AX764" i="1"/>
  <c r="BB764" i="1"/>
  <c r="BA764" i="1"/>
  <c r="BE764" i="1"/>
  <c r="BD764" i="1"/>
  <c r="AT764" i="1" l="1"/>
  <c r="AU764" i="1"/>
  <c r="AR765" i="1" l="1"/>
  <c r="AO765" i="1"/>
  <c r="AN765" i="1"/>
  <c r="AQ765" i="1"/>
  <c r="BG765" i="1" l="1"/>
  <c r="AY765" i="1" s="1"/>
  <c r="BI765" i="1"/>
  <c r="BE765" i="1" s="1"/>
  <c r="BH765" i="1"/>
  <c r="BB765" i="1" s="1"/>
  <c r="BA765" i="1"/>
  <c r="BD765" i="1"/>
  <c r="AX765" i="1"/>
  <c r="AT765" i="1" l="1"/>
  <c r="AU765" i="1"/>
  <c r="AR766" i="1" l="1"/>
  <c r="AO766" i="1"/>
  <c r="AN766" i="1"/>
  <c r="AQ766" i="1"/>
  <c r="BI766" i="1" l="1"/>
  <c r="BE766" i="1" s="1"/>
  <c r="BH766" i="1"/>
  <c r="BB766" i="1" s="1"/>
  <c r="BG766" i="1"/>
  <c r="AY766" i="1" s="1"/>
  <c r="AU766" i="1" s="1"/>
  <c r="BD766" i="1"/>
  <c r="AX766" i="1" l="1"/>
  <c r="AO767" i="1"/>
  <c r="AR767" i="1"/>
  <c r="BA766" i="1"/>
  <c r="AT766" i="1" l="1"/>
  <c r="AQ767" i="1" l="1"/>
  <c r="AN767" i="1"/>
  <c r="BG767" i="1" l="1"/>
  <c r="AY767" i="1" s="1"/>
  <c r="BH767" i="1"/>
  <c r="BB767" i="1" s="1"/>
  <c r="BI767" i="1"/>
  <c r="BE767" i="1" s="1"/>
  <c r="BA767" i="1"/>
  <c r="AX767" i="1"/>
  <c r="AU767" i="1" l="1"/>
  <c r="BD767" i="1"/>
  <c r="AT767" i="1" s="1"/>
  <c r="AQ768" i="1" l="1"/>
  <c r="AN768" i="1"/>
  <c r="AR768" i="1"/>
  <c r="AO768" i="1"/>
  <c r="BH768" i="1" l="1"/>
  <c r="BB768" i="1" s="1"/>
  <c r="BG768" i="1"/>
  <c r="AY768" i="1" s="1"/>
  <c r="BI768" i="1"/>
  <c r="BE768" i="1" s="1"/>
  <c r="BA768" i="1"/>
  <c r="BD768" i="1"/>
  <c r="AX768" i="1"/>
  <c r="AT768" i="1" s="1"/>
  <c r="AN769" i="1" s="1"/>
  <c r="AU768" i="1" l="1"/>
  <c r="AR769" i="1"/>
  <c r="AO769" i="1"/>
  <c r="AQ769" i="1"/>
  <c r="BH769" i="1" l="1"/>
  <c r="BA769" i="1" s="1"/>
  <c r="BI769" i="1"/>
  <c r="BD769" i="1" s="1"/>
  <c r="BG769" i="1"/>
  <c r="AY769" i="1" l="1"/>
  <c r="AX769" i="1"/>
  <c r="AT769" i="1"/>
  <c r="BE769" i="1"/>
  <c r="BB769" i="1"/>
  <c r="AU769" i="1" s="1"/>
  <c r="AR770" i="1" l="1"/>
  <c r="AO770" i="1"/>
  <c r="AN770" i="1"/>
  <c r="AQ770" i="1"/>
  <c r="BI770" i="1" l="1"/>
  <c r="BE770" i="1" s="1"/>
  <c r="BH770" i="1"/>
  <c r="BB770" i="1" s="1"/>
  <c r="BG770" i="1"/>
  <c r="AY770" i="1" s="1"/>
  <c r="BD770" i="1"/>
  <c r="AX770" i="1"/>
  <c r="BA770" i="1"/>
  <c r="AT770" i="1" s="1"/>
  <c r="AU770" i="1" l="1"/>
  <c r="AO771" i="1"/>
  <c r="AR771" i="1"/>
  <c r="AN771" i="1"/>
  <c r="AQ771" i="1"/>
  <c r="BI771" i="1" l="1"/>
  <c r="BH771" i="1"/>
  <c r="BG771" i="1"/>
  <c r="AY771" i="1" s="1"/>
  <c r="AX771" i="1" l="1"/>
  <c r="BB771" i="1"/>
  <c r="BA771" i="1"/>
  <c r="BE771" i="1"/>
  <c r="BD771" i="1"/>
  <c r="AU771" i="1" l="1"/>
  <c r="AR772" i="1"/>
  <c r="AO772" i="1"/>
  <c r="AT771" i="1"/>
  <c r="AN772" i="1" l="1"/>
  <c r="AQ772" i="1"/>
  <c r="BH772" i="1" l="1"/>
  <c r="BI772" i="1"/>
  <c r="BE772" i="1" s="1"/>
  <c r="BG772" i="1"/>
  <c r="AY772" i="1" s="1"/>
  <c r="BD772" i="1"/>
  <c r="AX772" i="1"/>
  <c r="BA772" i="1" l="1"/>
  <c r="AT772" i="1" s="1"/>
  <c r="BB772" i="1"/>
  <c r="AU772" i="1" s="1"/>
  <c r="AN773" i="1" l="1"/>
  <c r="AQ773" i="1"/>
  <c r="AO773" i="1"/>
  <c r="AR773" i="1"/>
  <c r="BH773" i="1" l="1"/>
  <c r="BI773" i="1"/>
  <c r="BG773" i="1"/>
  <c r="BE773" i="1" l="1"/>
  <c r="BD773" i="1"/>
  <c r="AY773" i="1"/>
  <c r="AX773" i="1"/>
  <c r="BA773" i="1"/>
  <c r="BB773" i="1"/>
  <c r="AT773" i="1" l="1"/>
  <c r="AU773" i="1"/>
  <c r="AN774" i="1" l="1"/>
  <c r="AQ774" i="1"/>
  <c r="AR774" i="1"/>
  <c r="AO774" i="1"/>
  <c r="BI774" i="1" l="1"/>
  <c r="BG774" i="1"/>
  <c r="BH774" i="1"/>
  <c r="AX774" i="1" l="1"/>
  <c r="AY774" i="1"/>
  <c r="BB774" i="1"/>
  <c r="BA774" i="1"/>
  <c r="BE774" i="1"/>
  <c r="BD774" i="1"/>
  <c r="AU774" i="1" l="1"/>
  <c r="AT774" i="1"/>
  <c r="AN775" i="1" l="1"/>
  <c r="AQ775" i="1"/>
  <c r="AR775" i="1"/>
  <c r="AO775" i="1"/>
  <c r="BG775" i="1" l="1"/>
  <c r="AX775" i="1" s="1"/>
  <c r="AY775" i="1"/>
  <c r="BI775" i="1"/>
  <c r="BD775" i="1" s="1"/>
  <c r="BH775" i="1"/>
  <c r="BA775" i="1" s="1"/>
  <c r="BE775" i="1" l="1"/>
  <c r="BB775" i="1"/>
  <c r="AU775" i="1" s="1"/>
  <c r="AT775" i="1"/>
  <c r="AR776" i="1" l="1"/>
  <c r="AO776" i="1"/>
  <c r="AQ776" i="1"/>
  <c r="AN776" i="1"/>
  <c r="BH776" i="1" l="1"/>
  <c r="BG776" i="1"/>
  <c r="BI776" i="1"/>
  <c r="AX776" i="1"/>
  <c r="BA776" i="1"/>
  <c r="BD776" i="1"/>
  <c r="BE776" i="1"/>
  <c r="BB776" i="1"/>
  <c r="AY776" i="1"/>
  <c r="AU776" i="1" s="1"/>
  <c r="AR777" i="1" l="1"/>
  <c r="AO777" i="1"/>
  <c r="AT776" i="1"/>
  <c r="AN777" i="1" l="1"/>
  <c r="AQ777" i="1"/>
  <c r="BG777" i="1" l="1"/>
  <c r="BI777" i="1"/>
  <c r="BH777" i="1"/>
  <c r="BD777" i="1" l="1"/>
  <c r="BE777" i="1"/>
  <c r="BA777" i="1"/>
  <c r="BB777" i="1"/>
  <c r="AX777" i="1"/>
  <c r="AT777" i="1" s="1"/>
  <c r="AY777" i="1"/>
  <c r="AU777" i="1" s="1"/>
  <c r="AN778" i="1" l="1"/>
  <c r="AQ778" i="1"/>
  <c r="AO778" i="1"/>
  <c r="AR778" i="1"/>
  <c r="BH778" i="1" l="1"/>
  <c r="BI778" i="1"/>
  <c r="BG778" i="1"/>
  <c r="AX778" i="1" l="1"/>
  <c r="AY778" i="1"/>
  <c r="BD778" i="1"/>
  <c r="BE778" i="1"/>
  <c r="BA778" i="1"/>
  <c r="BB778" i="1"/>
  <c r="AU778" i="1" l="1"/>
  <c r="AT778" i="1"/>
  <c r="AQ779" i="1" l="1"/>
  <c r="AN779" i="1"/>
  <c r="AR779" i="1"/>
  <c r="AO779" i="1"/>
  <c r="BG779" i="1" l="1"/>
  <c r="AX779" i="1" s="1"/>
  <c r="BH779" i="1"/>
  <c r="BA779" i="1" s="1"/>
  <c r="BI779" i="1"/>
  <c r="BD779" i="1" s="1"/>
  <c r="AT779" i="1" l="1"/>
  <c r="AY779" i="1"/>
  <c r="BE779" i="1"/>
  <c r="BB779" i="1"/>
  <c r="AU779" i="1" l="1"/>
  <c r="AQ780" i="1"/>
  <c r="AN780" i="1"/>
  <c r="AR780" i="1" l="1"/>
  <c r="AO780" i="1"/>
  <c r="BG780" i="1" l="1"/>
  <c r="AX780" i="1" s="1"/>
  <c r="AY780" i="1"/>
  <c r="BH780" i="1"/>
  <c r="BA780" i="1" s="1"/>
  <c r="BI780" i="1"/>
  <c r="BD780" i="1" s="1"/>
  <c r="AT780" i="1" l="1"/>
  <c r="BB780" i="1"/>
  <c r="BE780" i="1"/>
  <c r="AU780" i="1" s="1"/>
  <c r="AO781" i="1" l="1"/>
  <c r="AR781" i="1"/>
  <c r="AN781" i="1"/>
  <c r="AQ781" i="1"/>
  <c r="BH781" i="1" l="1"/>
  <c r="BA781" i="1" s="1"/>
  <c r="BI781" i="1"/>
  <c r="BD781" i="1" s="1"/>
  <c r="BG781" i="1"/>
  <c r="AX781" i="1" s="1"/>
  <c r="AT781" i="1" s="1"/>
  <c r="AQ782" i="1" s="1"/>
  <c r="BB781" i="1"/>
  <c r="BE781" i="1"/>
  <c r="AN782" i="1" l="1"/>
  <c r="AY781" i="1"/>
  <c r="AU781" i="1" s="1"/>
  <c r="AR782" i="1" l="1"/>
  <c r="AO782" i="1"/>
  <c r="BI782" i="1"/>
  <c r="BD782" i="1" s="1"/>
  <c r="BH782" i="1"/>
  <c r="BA782" i="1" s="1"/>
  <c r="BG782" i="1"/>
  <c r="AX782" i="1" s="1"/>
  <c r="AT782" i="1" s="1"/>
  <c r="AQ783" i="1" s="1"/>
  <c r="AN783" i="1" l="1"/>
  <c r="BB782" i="1"/>
  <c r="BE782" i="1"/>
  <c r="AY782" i="1"/>
  <c r="AU782" i="1" s="1"/>
  <c r="AO783" i="1" s="1"/>
  <c r="AR783" i="1"/>
  <c r="BH783" i="1" l="1"/>
  <c r="BI783" i="1"/>
  <c r="BG783" i="1"/>
  <c r="BD783" i="1" l="1"/>
  <c r="BE783" i="1"/>
  <c r="AX783" i="1"/>
  <c r="AY783" i="1"/>
  <c r="BA783" i="1"/>
  <c r="BB783" i="1"/>
  <c r="AT783" i="1" l="1"/>
  <c r="AU783" i="1"/>
  <c r="AR784" i="1" l="1"/>
  <c r="AO784" i="1"/>
  <c r="AN784" i="1"/>
  <c r="AQ784" i="1"/>
  <c r="BH784" i="1" l="1"/>
  <c r="BG784" i="1"/>
  <c r="BI784" i="1"/>
  <c r="BD784" i="1" l="1"/>
  <c r="BE784" i="1"/>
  <c r="AX784" i="1"/>
  <c r="AY784" i="1"/>
  <c r="BA784" i="1"/>
  <c r="BB784" i="1"/>
  <c r="AU784" i="1" l="1"/>
  <c r="AR785" i="1" s="1"/>
  <c r="AO785" i="1"/>
  <c r="AT784" i="1"/>
  <c r="AN785" i="1" l="1"/>
  <c r="AQ785" i="1"/>
  <c r="BI785" i="1" l="1"/>
  <c r="BG785" i="1"/>
  <c r="BH785" i="1"/>
  <c r="BA785" i="1" l="1"/>
  <c r="BB785" i="1"/>
  <c r="AX785" i="1"/>
  <c r="AY785" i="1"/>
  <c r="BE785" i="1"/>
  <c r="BD785" i="1"/>
  <c r="AT785" i="1" l="1"/>
  <c r="AU785" i="1"/>
  <c r="AR786" i="1" l="1"/>
  <c r="AO786" i="1"/>
  <c r="AQ786" i="1"/>
  <c r="AN786" i="1"/>
  <c r="BI786" i="1" l="1"/>
  <c r="BE786" i="1" s="1"/>
  <c r="BG786" i="1"/>
  <c r="BH786" i="1"/>
  <c r="BD786" i="1"/>
  <c r="BB786" i="1" l="1"/>
  <c r="BA786" i="1"/>
  <c r="AY786" i="1"/>
  <c r="AU786" i="1" s="1"/>
  <c r="AX786" i="1"/>
  <c r="AO787" i="1" l="1"/>
  <c r="AR787" i="1"/>
  <c r="AT786" i="1"/>
  <c r="AQ787" i="1" l="1"/>
  <c r="AN787" i="1"/>
  <c r="BG787" i="1" l="1"/>
  <c r="AY787" i="1" s="1"/>
  <c r="BI787" i="1"/>
  <c r="BE787" i="1" s="1"/>
  <c r="BH787" i="1"/>
  <c r="BB787" i="1" s="1"/>
  <c r="AX787" i="1"/>
  <c r="AT787" i="1" s="1"/>
  <c r="BA787" i="1"/>
  <c r="BD787" i="1"/>
  <c r="AN788" i="1" l="1"/>
  <c r="AQ788" i="1"/>
  <c r="AU787" i="1"/>
  <c r="AO788" i="1" l="1"/>
  <c r="AR788" i="1"/>
  <c r="BH788" i="1"/>
  <c r="BA788" i="1" s="1"/>
  <c r="BG788" i="1"/>
  <c r="BI788" i="1"/>
  <c r="AY788" i="1" l="1"/>
  <c r="AX788" i="1"/>
  <c r="BE788" i="1"/>
  <c r="BD788" i="1"/>
  <c r="BB788" i="1"/>
  <c r="AU788" i="1" s="1"/>
  <c r="AO789" i="1" l="1"/>
  <c r="AR789" i="1"/>
  <c r="AT788" i="1"/>
  <c r="AQ789" i="1" l="1"/>
  <c r="AN789" i="1"/>
  <c r="BH789" i="1" l="1"/>
  <c r="BB789" i="1" s="1"/>
  <c r="BG789" i="1"/>
  <c r="AY789" i="1" s="1"/>
  <c r="AU789" i="1" s="1"/>
  <c r="BI789" i="1"/>
  <c r="BE789" i="1" s="1"/>
  <c r="AX789" i="1"/>
  <c r="BA789" i="1"/>
  <c r="BD789" i="1"/>
  <c r="AT789" i="1" s="1"/>
  <c r="AN790" i="1" l="1"/>
  <c r="AQ790" i="1"/>
  <c r="AR790" i="1"/>
  <c r="AO790" i="1"/>
  <c r="BG790" i="1" l="1"/>
  <c r="AY790" i="1" s="1"/>
  <c r="BH790" i="1"/>
  <c r="BI790" i="1"/>
  <c r="AX790" i="1"/>
  <c r="BB790" i="1" l="1"/>
  <c r="BA790" i="1"/>
  <c r="BD790" i="1"/>
  <c r="BE790" i="1"/>
  <c r="AU790" i="1" s="1"/>
  <c r="AT790" i="1" l="1"/>
  <c r="AQ791" i="1"/>
  <c r="AN791" i="1"/>
  <c r="AR791" i="1"/>
  <c r="AO791" i="1"/>
  <c r="BG791" i="1" l="1"/>
  <c r="BI791" i="1"/>
  <c r="BH791" i="1"/>
  <c r="BD791" i="1" l="1"/>
  <c r="BE791" i="1"/>
  <c r="BA791" i="1"/>
  <c r="BB791" i="1"/>
  <c r="AY791" i="1"/>
  <c r="AU791" i="1" s="1"/>
  <c r="AR792" i="1" s="1"/>
  <c r="AX791" i="1"/>
  <c r="AT791" i="1" s="1"/>
  <c r="AQ792" i="1" s="1"/>
  <c r="AN792" i="1" l="1"/>
  <c r="AO792" i="1"/>
  <c r="BI792" i="1"/>
  <c r="BE792" i="1" s="1"/>
  <c r="BG792" i="1"/>
  <c r="AY792" i="1" s="1"/>
  <c r="BH792" i="1"/>
  <c r="BB792" i="1" s="1"/>
  <c r="BD792" i="1"/>
  <c r="BA792" i="1" l="1"/>
  <c r="AX792" i="1"/>
  <c r="AU792" i="1"/>
  <c r="AT792" i="1" l="1"/>
  <c r="AQ793" i="1" s="1"/>
  <c r="AN793" i="1"/>
  <c r="AR793" i="1"/>
  <c r="AO793" i="1"/>
  <c r="BI793" i="1" l="1"/>
  <c r="BG793" i="1"/>
  <c r="BH793" i="1"/>
  <c r="BA793" i="1" l="1"/>
  <c r="BB793" i="1"/>
  <c r="AX793" i="1"/>
  <c r="AY793" i="1"/>
  <c r="BD793" i="1"/>
  <c r="BE793" i="1"/>
  <c r="AU793" i="1" l="1"/>
  <c r="AT793" i="1"/>
  <c r="AQ794" i="1" l="1"/>
  <c r="AN794" i="1"/>
  <c r="AR794" i="1"/>
  <c r="AO794" i="1"/>
  <c r="BG794" i="1" l="1"/>
  <c r="BH794" i="1"/>
  <c r="BI794" i="1"/>
  <c r="BD794" i="1" l="1"/>
  <c r="BE794" i="1"/>
  <c r="BA794" i="1"/>
  <c r="BB794" i="1"/>
  <c r="AX794" i="1"/>
  <c r="AY794" i="1"/>
  <c r="AT794" i="1" l="1"/>
  <c r="AQ795" i="1" s="1"/>
  <c r="AU794" i="1"/>
  <c r="AO795" i="1"/>
  <c r="AR795" i="1"/>
  <c r="AN795" i="1" l="1"/>
  <c r="BI795" i="1"/>
  <c r="BD795" i="1" s="1"/>
  <c r="BH795" i="1"/>
  <c r="BA795" i="1" s="1"/>
  <c r="BG795" i="1"/>
  <c r="AX795" i="1" s="1"/>
  <c r="AT795" i="1" l="1"/>
  <c r="BB795" i="1"/>
  <c r="AY795" i="1"/>
  <c r="BE795" i="1"/>
  <c r="AU795" i="1" l="1"/>
  <c r="AQ796" i="1"/>
  <c r="AN796" i="1"/>
  <c r="AR796" i="1" l="1"/>
  <c r="AO796" i="1"/>
  <c r="BH796" i="1" l="1"/>
  <c r="BA796" i="1" s="1"/>
  <c r="BI796" i="1"/>
  <c r="BD796" i="1" s="1"/>
  <c r="BG796" i="1"/>
  <c r="AX796" i="1" s="1"/>
  <c r="AT796" i="1" l="1"/>
  <c r="AN797" i="1"/>
  <c r="AQ797" i="1"/>
  <c r="AY796" i="1"/>
  <c r="BB796" i="1"/>
  <c r="BE796" i="1"/>
  <c r="AU796" i="1" l="1"/>
  <c r="AR797" i="1" l="1"/>
  <c r="AO797" i="1"/>
  <c r="BH797" i="1" l="1"/>
  <c r="BA797" i="1" s="1"/>
  <c r="BI797" i="1"/>
  <c r="BD797" i="1" s="1"/>
  <c r="BG797" i="1"/>
  <c r="AX797" i="1" s="1"/>
  <c r="AT797" i="1" l="1"/>
  <c r="AN798" i="1"/>
  <c r="AQ798" i="1"/>
  <c r="AY797" i="1"/>
  <c r="BE797" i="1"/>
  <c r="BB797" i="1"/>
  <c r="AU797" i="1" l="1"/>
  <c r="AR798" i="1" l="1"/>
  <c r="AO798" i="1"/>
  <c r="BI798" i="1" l="1"/>
  <c r="BG798" i="1"/>
  <c r="AX798" i="1" s="1"/>
  <c r="BH798" i="1"/>
  <c r="BB798" i="1" l="1"/>
  <c r="BA798" i="1"/>
  <c r="BE798" i="1"/>
  <c r="BD798" i="1"/>
  <c r="AY798" i="1"/>
  <c r="AU798" i="1" s="1"/>
  <c r="AT798" i="1" l="1"/>
  <c r="AN799" i="1" s="1"/>
  <c r="AO799" i="1"/>
  <c r="AR799" i="1"/>
  <c r="AQ799" i="1" l="1"/>
  <c r="BG799" i="1"/>
  <c r="AY799" i="1" s="1"/>
  <c r="BI799" i="1"/>
  <c r="BE799" i="1" s="1"/>
  <c r="BH799" i="1"/>
  <c r="BB799" i="1" s="1"/>
  <c r="BD799" i="1" l="1"/>
  <c r="AU799" i="1"/>
  <c r="AX799" i="1"/>
  <c r="BA799" i="1"/>
  <c r="AT799" i="1" l="1"/>
  <c r="AR800" i="1"/>
  <c r="AO800" i="1"/>
  <c r="AQ800" i="1" l="1"/>
  <c r="AN800" i="1"/>
  <c r="BH800" i="1" l="1"/>
  <c r="BB800" i="1" s="1"/>
  <c r="BG800" i="1"/>
  <c r="AY800" i="1" s="1"/>
  <c r="BA800" i="1"/>
  <c r="BI800" i="1"/>
  <c r="BE800" i="1" s="1"/>
  <c r="AU800" i="1" s="1"/>
  <c r="AX800" i="1"/>
  <c r="BD800" i="1" l="1"/>
  <c r="AT800" i="1" s="1"/>
  <c r="AO801" i="1"/>
  <c r="AR801" i="1"/>
  <c r="AN801" i="1" l="1"/>
  <c r="AQ801" i="1"/>
  <c r="BI801" i="1" l="1"/>
  <c r="BE801" i="1" s="1"/>
  <c r="BG801" i="1"/>
  <c r="AY801" i="1" s="1"/>
  <c r="BD801" i="1"/>
  <c r="BH801" i="1"/>
  <c r="BB801" i="1" s="1"/>
  <c r="AX801" i="1"/>
  <c r="AU801" i="1" l="1"/>
  <c r="BA801" i="1"/>
  <c r="AT801" i="1" s="1"/>
  <c r="AQ802" i="1" l="1"/>
  <c r="AN802" i="1"/>
  <c r="AR802" i="1"/>
  <c r="AO802" i="1"/>
  <c r="BI802" i="1" l="1"/>
  <c r="BE802" i="1" s="1"/>
  <c r="BG802" i="1"/>
  <c r="AY802" i="1" s="1"/>
  <c r="BH802" i="1"/>
  <c r="BB802" i="1" s="1"/>
  <c r="BD802" i="1"/>
  <c r="AX802" i="1"/>
  <c r="BA802" i="1"/>
  <c r="AT802" i="1" l="1"/>
  <c r="AN803" i="1" s="1"/>
  <c r="AQ803" i="1"/>
  <c r="AU802" i="1"/>
  <c r="AR803" i="1" l="1"/>
  <c r="AO803" i="1"/>
  <c r="BG803" i="1" l="1"/>
  <c r="BH803" i="1"/>
  <c r="BI803" i="1"/>
  <c r="BB803" i="1" l="1"/>
  <c r="BA803" i="1"/>
  <c r="BE803" i="1"/>
  <c r="BD803" i="1"/>
  <c r="AY803" i="1"/>
  <c r="AU803" i="1" s="1"/>
  <c r="AX803" i="1"/>
  <c r="AO804" i="1" l="1"/>
  <c r="AR804" i="1"/>
  <c r="AT803" i="1"/>
  <c r="AQ804" i="1" l="1"/>
  <c r="AN804" i="1"/>
  <c r="BH804" i="1" l="1"/>
  <c r="BB804" i="1" s="1"/>
  <c r="BI804" i="1"/>
  <c r="BE804" i="1" s="1"/>
  <c r="BG804" i="1"/>
  <c r="AY804" i="1" s="1"/>
  <c r="BD804" i="1" l="1"/>
  <c r="AU804" i="1"/>
  <c r="AX804" i="1"/>
  <c r="AR805" i="1"/>
  <c r="AO805" i="1"/>
  <c r="BA804" i="1"/>
  <c r="AT804" i="1" l="1"/>
  <c r="AN805" i="1" l="1"/>
  <c r="AQ805" i="1"/>
  <c r="BI805" i="1" l="1"/>
  <c r="BE805" i="1" s="1"/>
  <c r="BG805" i="1"/>
  <c r="AY805" i="1" s="1"/>
  <c r="BH805" i="1"/>
  <c r="BB805" i="1" s="1"/>
  <c r="BD805" i="1"/>
  <c r="AX805" i="1" l="1"/>
  <c r="BA805" i="1"/>
  <c r="AT805" i="1" s="1"/>
  <c r="AU805" i="1"/>
  <c r="AO806" i="1" l="1"/>
  <c r="AR806" i="1"/>
  <c r="AQ806" i="1"/>
  <c r="AN806" i="1"/>
  <c r="BI806" i="1" l="1"/>
  <c r="BE806" i="1" s="1"/>
  <c r="BH806" i="1"/>
  <c r="BB806" i="1" s="1"/>
  <c r="BG806" i="1"/>
  <c r="AY806" i="1" s="1"/>
  <c r="BD806" i="1" l="1"/>
  <c r="BA806" i="1"/>
  <c r="AX806" i="1"/>
  <c r="AU806" i="1"/>
  <c r="AT806" i="1" l="1"/>
  <c r="AQ807" i="1"/>
  <c r="AN807" i="1"/>
  <c r="AR807" i="1"/>
  <c r="AO807" i="1"/>
  <c r="BG807" i="1" l="1"/>
  <c r="AX807" i="1" s="1"/>
  <c r="BI807" i="1"/>
  <c r="BD807" i="1" s="1"/>
  <c r="BH807" i="1"/>
  <c r="BA807" i="1" s="1"/>
  <c r="BE807" i="1"/>
  <c r="AY807" i="1"/>
  <c r="BB807" i="1" l="1"/>
  <c r="AU807" i="1" s="1"/>
  <c r="AT807" i="1"/>
  <c r="AR808" i="1" l="1"/>
  <c r="AO808" i="1"/>
  <c r="AN808" i="1"/>
  <c r="AQ808" i="1"/>
  <c r="BG808" i="1" l="1"/>
  <c r="BI808" i="1"/>
  <c r="BH808" i="1"/>
  <c r="AX808" i="1" l="1"/>
  <c r="AY808" i="1"/>
  <c r="BA808" i="1"/>
  <c r="BB808" i="1"/>
  <c r="BD808" i="1"/>
  <c r="BE808" i="1"/>
  <c r="AU808" i="1" l="1"/>
  <c r="AT808" i="1"/>
  <c r="AQ809" i="1" l="1"/>
  <c r="AN809" i="1"/>
  <c r="AO809" i="1"/>
  <c r="AR809" i="1"/>
  <c r="BH809" i="1" l="1"/>
  <c r="BA809" i="1" s="1"/>
  <c r="BI809" i="1"/>
  <c r="BD809" i="1" s="1"/>
  <c r="BG809" i="1"/>
  <c r="AX809" i="1" s="1"/>
  <c r="AT809" i="1" l="1"/>
  <c r="AN810" i="1" s="1"/>
  <c r="BE809" i="1"/>
  <c r="AY809" i="1"/>
  <c r="BB809" i="1"/>
  <c r="AQ810" i="1" l="1"/>
  <c r="AU809" i="1"/>
  <c r="AR810" i="1"/>
  <c r="AO810" i="1"/>
  <c r="BG810" i="1" l="1"/>
  <c r="AX810" i="1" s="1"/>
  <c r="BH810" i="1"/>
  <c r="BA810" i="1" s="1"/>
  <c r="BI810" i="1"/>
  <c r="BD810" i="1" s="1"/>
  <c r="BB810" i="1" l="1"/>
  <c r="AT810" i="1"/>
  <c r="BE810" i="1"/>
  <c r="AY810" i="1"/>
  <c r="AU810" i="1" l="1"/>
  <c r="AO811" i="1"/>
  <c r="AR811" i="1"/>
  <c r="AQ811" i="1"/>
  <c r="AN811" i="1"/>
  <c r="BG811" i="1" l="1"/>
  <c r="AX811" i="1" s="1"/>
  <c r="BI811" i="1"/>
  <c r="BD811" i="1" s="1"/>
  <c r="BH811" i="1"/>
  <c r="BA811" i="1" s="1"/>
  <c r="AY811" i="1" l="1"/>
  <c r="BB811" i="1"/>
  <c r="BE811" i="1"/>
  <c r="AU811" i="1" s="1"/>
  <c r="AT811" i="1"/>
  <c r="AR812" i="1" l="1"/>
  <c r="AO812" i="1"/>
  <c r="AN812" i="1"/>
  <c r="AQ812" i="1"/>
  <c r="BG812" i="1" l="1"/>
  <c r="AY812" i="1" s="1"/>
  <c r="BI812" i="1"/>
  <c r="BE812" i="1" s="1"/>
  <c r="BH812" i="1"/>
  <c r="BB812" i="1" s="1"/>
  <c r="AX812" i="1"/>
  <c r="BA812" i="1" l="1"/>
  <c r="BD812" i="1"/>
  <c r="AU812" i="1"/>
  <c r="AT812" i="1" l="1"/>
  <c r="AQ813" i="1"/>
  <c r="AN813" i="1"/>
  <c r="AR813" i="1"/>
  <c r="AO813" i="1"/>
  <c r="BI813" i="1" l="1"/>
  <c r="BE813" i="1" s="1"/>
  <c r="BH813" i="1"/>
  <c r="BB813" i="1" s="1"/>
  <c r="BG813" i="1"/>
  <c r="AY813" i="1" s="1"/>
  <c r="AU813" i="1" l="1"/>
  <c r="AO814" i="1" s="1"/>
  <c r="AX813" i="1"/>
  <c r="BD813" i="1"/>
  <c r="BA813" i="1"/>
  <c r="AR814" i="1"/>
  <c r="AT813" i="1" l="1"/>
  <c r="AN814" i="1" l="1"/>
  <c r="AQ814" i="1"/>
  <c r="BI814" i="1" l="1"/>
  <c r="BE814" i="1" s="1"/>
  <c r="BG814" i="1"/>
  <c r="AY814" i="1" s="1"/>
  <c r="BH814" i="1"/>
  <c r="BB814" i="1" s="1"/>
  <c r="BA814" i="1" l="1"/>
  <c r="AU814" i="1"/>
  <c r="AX814" i="1"/>
  <c r="BD814" i="1"/>
  <c r="AT814" i="1" l="1"/>
  <c r="AQ815" i="1"/>
  <c r="AN815" i="1"/>
  <c r="AR815" i="1"/>
  <c r="AO815" i="1"/>
  <c r="BH815" i="1" l="1"/>
  <c r="BB815" i="1" s="1"/>
  <c r="BI815" i="1"/>
  <c r="BE815" i="1" s="1"/>
  <c r="BG815" i="1"/>
  <c r="AY815" i="1" s="1"/>
  <c r="BD815" i="1" l="1"/>
  <c r="BA815" i="1"/>
  <c r="AU815" i="1"/>
  <c r="AR816" i="1" s="1"/>
  <c r="AX815" i="1"/>
  <c r="AT815" i="1" s="1"/>
  <c r="AO816" i="1"/>
  <c r="AQ816" i="1" l="1"/>
  <c r="AN816" i="1"/>
  <c r="BG816" i="1" l="1"/>
  <c r="AY816" i="1" s="1"/>
  <c r="BI816" i="1"/>
  <c r="BE816" i="1" s="1"/>
  <c r="BH816" i="1"/>
  <c r="BB816" i="1" s="1"/>
  <c r="AX816" i="1"/>
  <c r="BD816" i="1"/>
  <c r="BA816" i="1" l="1"/>
  <c r="AT816" i="1" s="1"/>
  <c r="AU816" i="1"/>
  <c r="AR817" i="1" l="1"/>
  <c r="AO817" i="1"/>
  <c r="AN817" i="1"/>
  <c r="AQ817" i="1"/>
  <c r="BH817" i="1" l="1"/>
  <c r="BB817" i="1" s="1"/>
  <c r="BG817" i="1"/>
  <c r="AY817" i="1" s="1"/>
  <c r="BA817" i="1"/>
  <c r="BI817" i="1"/>
  <c r="BE817" i="1" s="1"/>
  <c r="BD817" i="1" l="1"/>
  <c r="AU817" i="1"/>
  <c r="AO818" i="1" s="1"/>
  <c r="AX817" i="1"/>
  <c r="AT817" i="1" s="1"/>
  <c r="AR818" i="1" l="1"/>
  <c r="AQ818" i="1"/>
  <c r="AN818" i="1"/>
  <c r="BH818" i="1" l="1"/>
  <c r="BB818" i="1" s="1"/>
  <c r="BG818" i="1"/>
  <c r="AY818" i="1" s="1"/>
  <c r="BI818" i="1"/>
  <c r="BE818" i="1" s="1"/>
  <c r="BA818" i="1"/>
  <c r="AX818" i="1"/>
  <c r="AU818" i="1" l="1"/>
  <c r="BD818" i="1"/>
  <c r="AT818" i="1" s="1"/>
  <c r="AN819" i="1" l="1"/>
  <c r="AQ819" i="1"/>
  <c r="AR819" i="1"/>
  <c r="AO819" i="1"/>
  <c r="BG819" i="1" l="1"/>
  <c r="AY819" i="1" s="1"/>
  <c r="BH819" i="1"/>
  <c r="BB819" i="1" s="1"/>
  <c r="BI819" i="1"/>
  <c r="BE819" i="1" s="1"/>
  <c r="BD819" i="1" l="1"/>
  <c r="AU819" i="1"/>
  <c r="AX819" i="1"/>
  <c r="BA819" i="1"/>
  <c r="AT819" i="1" l="1"/>
  <c r="AR820" i="1"/>
  <c r="AO820" i="1"/>
  <c r="AQ820" i="1" l="1"/>
  <c r="AN820" i="1"/>
  <c r="BG820" i="1" l="1"/>
  <c r="AY820" i="1" s="1"/>
  <c r="BH820" i="1"/>
  <c r="BB820" i="1" s="1"/>
  <c r="AX820" i="1"/>
  <c r="BI820" i="1"/>
  <c r="BE820" i="1" s="1"/>
  <c r="BD820" i="1" l="1"/>
  <c r="BA820" i="1"/>
  <c r="AU820" i="1"/>
  <c r="AT820" i="1" l="1"/>
  <c r="AN821" i="1" s="1"/>
  <c r="AQ821" i="1"/>
  <c r="AO821" i="1"/>
  <c r="AR821" i="1"/>
  <c r="BH821" i="1" l="1"/>
  <c r="BB821" i="1" s="1"/>
  <c r="BG821" i="1"/>
  <c r="AX821" i="1" s="1"/>
  <c r="BI821" i="1"/>
  <c r="BE821" i="1" s="1"/>
  <c r="BA821" i="1"/>
  <c r="BD821" i="1" l="1"/>
  <c r="AT821" i="1" s="1"/>
  <c r="AY821" i="1"/>
  <c r="AU821" i="1" s="1"/>
  <c r="AQ822" i="1" l="1"/>
  <c r="AN822" i="1"/>
  <c r="AO822" i="1"/>
  <c r="AR822" i="1"/>
  <c r="BH822" i="1" l="1"/>
  <c r="BB822" i="1" s="1"/>
  <c r="BG822" i="1"/>
  <c r="AY822" i="1" s="1"/>
  <c r="BI822" i="1"/>
  <c r="BE822" i="1" s="1"/>
  <c r="BA822" i="1"/>
  <c r="AX822" i="1"/>
  <c r="BD822" i="1"/>
  <c r="AT822" i="1" l="1"/>
  <c r="AN823" i="1" s="1"/>
  <c r="AQ823" i="1"/>
  <c r="AU822" i="1"/>
  <c r="AO823" i="1" l="1"/>
  <c r="AR823" i="1"/>
  <c r="BH823" i="1" l="1"/>
  <c r="BG823" i="1"/>
  <c r="BI823" i="1"/>
  <c r="BE823" i="1" l="1"/>
  <c r="BD823" i="1"/>
  <c r="AY823" i="1"/>
  <c r="AX823" i="1"/>
  <c r="BB823" i="1"/>
  <c r="BA823" i="1"/>
  <c r="AU823" i="1" l="1"/>
  <c r="AT823" i="1"/>
  <c r="AQ824" i="1" l="1"/>
  <c r="AN824" i="1"/>
  <c r="AR824" i="1"/>
  <c r="AO824" i="1"/>
  <c r="BG824" i="1" l="1"/>
  <c r="AY824" i="1" s="1"/>
  <c r="BI824" i="1"/>
  <c r="BE824" i="1" s="1"/>
  <c r="BH824" i="1"/>
  <c r="BB824" i="1" s="1"/>
  <c r="BD824" i="1" l="1"/>
  <c r="BA824" i="1"/>
  <c r="AU824" i="1"/>
  <c r="AX824" i="1"/>
  <c r="AT824" i="1" l="1"/>
  <c r="AN825" i="1"/>
  <c r="AQ825" i="1"/>
  <c r="AR825" i="1"/>
  <c r="AO825" i="1"/>
  <c r="BI825" i="1" l="1"/>
  <c r="BE825" i="1" s="1"/>
  <c r="BG825" i="1"/>
  <c r="AY825" i="1" s="1"/>
  <c r="BH825" i="1"/>
  <c r="BB825" i="1" s="1"/>
  <c r="AX825" i="1"/>
  <c r="BD825" i="1" l="1"/>
  <c r="BA825" i="1"/>
  <c r="AU825" i="1"/>
  <c r="AT825" i="1" l="1"/>
  <c r="AQ826" i="1" s="1"/>
  <c r="AO826" i="1"/>
  <c r="AR826" i="1"/>
  <c r="AN826" i="1" l="1"/>
  <c r="BH826" i="1" s="1"/>
  <c r="BB826" i="1" s="1"/>
  <c r="BA826" i="1" l="1"/>
  <c r="BI826" i="1"/>
  <c r="BE826" i="1" s="1"/>
  <c r="BG826" i="1"/>
  <c r="AY826" i="1" s="1"/>
  <c r="AX826" i="1" l="1"/>
  <c r="AU826" i="1"/>
  <c r="BD826" i="1"/>
  <c r="AT826" i="1" s="1"/>
  <c r="AO827" i="1"/>
  <c r="AR827" i="1"/>
  <c r="AN827" i="1"/>
  <c r="AQ827" i="1"/>
  <c r="BH827" i="1" l="1"/>
  <c r="BB827" i="1" s="1"/>
  <c r="BI827" i="1"/>
  <c r="BE827" i="1" s="1"/>
  <c r="BG827" i="1"/>
  <c r="AY827" i="1" s="1"/>
  <c r="BA827" i="1"/>
  <c r="AX827" i="1" l="1"/>
  <c r="AU827" i="1"/>
  <c r="AR828" i="1" s="1"/>
  <c r="BD827" i="1"/>
  <c r="AT827" i="1" s="1"/>
  <c r="AO828" i="1" l="1"/>
  <c r="AQ828" i="1"/>
  <c r="AN828" i="1"/>
  <c r="BI828" i="1" l="1"/>
  <c r="BE828" i="1" s="1"/>
  <c r="BH828" i="1"/>
  <c r="BB828" i="1" s="1"/>
  <c r="BG828" i="1"/>
  <c r="AY828" i="1" s="1"/>
  <c r="BD828" i="1"/>
  <c r="BA828" i="1"/>
  <c r="AX828" i="1" l="1"/>
  <c r="AT828" i="1" s="1"/>
  <c r="AU828" i="1"/>
  <c r="AR829" i="1" s="1"/>
  <c r="AO829" i="1"/>
  <c r="AQ829" i="1" l="1"/>
  <c r="AN829" i="1"/>
  <c r="BH829" i="1" l="1"/>
  <c r="BB829" i="1" s="1"/>
  <c r="BG829" i="1"/>
  <c r="AY829" i="1" s="1"/>
  <c r="BI829" i="1"/>
  <c r="BE829" i="1" s="1"/>
  <c r="BA829" i="1"/>
  <c r="BD829" i="1" l="1"/>
  <c r="AU829" i="1"/>
  <c r="AX829" i="1"/>
  <c r="AT829" i="1" s="1"/>
  <c r="AO830" i="1"/>
  <c r="AR830" i="1"/>
  <c r="AN830" i="1" l="1"/>
  <c r="AQ830" i="1"/>
  <c r="BG830" i="1" l="1"/>
  <c r="BI830" i="1"/>
  <c r="BH830" i="1"/>
  <c r="BD830" i="1" l="1"/>
  <c r="BE830" i="1"/>
  <c r="BA830" i="1"/>
  <c r="BB830" i="1"/>
  <c r="AX830" i="1"/>
  <c r="AT830" i="1" s="1"/>
  <c r="AY830" i="1"/>
  <c r="AU830" i="1" l="1"/>
  <c r="AQ831" i="1"/>
  <c r="AN831" i="1"/>
  <c r="AR831" i="1"/>
  <c r="AO831" i="1"/>
  <c r="BG831" i="1" l="1"/>
  <c r="AY831" i="1" s="1"/>
  <c r="BH831" i="1"/>
  <c r="BB831" i="1" s="1"/>
  <c r="AX831" i="1"/>
  <c r="BI831" i="1"/>
  <c r="BE831" i="1" s="1"/>
  <c r="BA831" i="1" l="1"/>
  <c r="BD831" i="1"/>
  <c r="AU831" i="1"/>
  <c r="AR832" i="1" l="1"/>
  <c r="AO832" i="1"/>
  <c r="AT831" i="1"/>
  <c r="AQ832" i="1" l="1"/>
  <c r="AN832" i="1"/>
  <c r="BI832" i="1" l="1"/>
  <c r="BE832" i="1" s="1"/>
  <c r="BG832" i="1"/>
  <c r="AY832" i="1" s="1"/>
  <c r="BH832" i="1"/>
  <c r="BB832" i="1" s="1"/>
  <c r="AX832" i="1"/>
  <c r="BD832" i="1"/>
  <c r="BA832" i="1" l="1"/>
  <c r="AT832" i="1" s="1"/>
  <c r="AU832" i="1"/>
  <c r="AO833" i="1" l="1"/>
  <c r="AR833" i="1"/>
  <c r="AN833" i="1"/>
  <c r="AQ833" i="1"/>
  <c r="BI833" i="1" l="1"/>
  <c r="BE833" i="1" s="1"/>
  <c r="BG833" i="1"/>
  <c r="AY833" i="1" s="1"/>
  <c r="BH833" i="1"/>
  <c r="BB833" i="1" s="1"/>
  <c r="BA833" i="1" l="1"/>
  <c r="AU833" i="1"/>
  <c r="BD833" i="1"/>
  <c r="AX833" i="1"/>
  <c r="AT833" i="1" l="1"/>
  <c r="AN834" i="1"/>
  <c r="AQ834" i="1"/>
  <c r="AR834" i="1"/>
  <c r="AO834" i="1"/>
  <c r="BH834" i="1" l="1"/>
  <c r="BB834" i="1" s="1"/>
  <c r="BI834" i="1"/>
  <c r="BE834" i="1" s="1"/>
  <c r="BG834" i="1"/>
  <c r="AY834" i="1" s="1"/>
  <c r="BA834" i="1"/>
  <c r="AX834" i="1"/>
  <c r="AU834" i="1" l="1"/>
  <c r="AO835" i="1"/>
  <c r="AR835" i="1"/>
  <c r="BD834" i="1"/>
  <c r="AT834" i="1" s="1"/>
  <c r="AQ835" i="1" l="1"/>
  <c r="AN835" i="1"/>
  <c r="BH835" i="1" l="1"/>
  <c r="BB835" i="1" s="1"/>
  <c r="BI835" i="1"/>
  <c r="BE835" i="1" s="1"/>
  <c r="BG835" i="1"/>
  <c r="AY835" i="1" s="1"/>
  <c r="BA835" i="1"/>
  <c r="AX835" i="1" l="1"/>
  <c r="BD835" i="1"/>
  <c r="AT835" i="1" s="1"/>
  <c r="AU835" i="1"/>
  <c r="AR836" i="1" s="1"/>
  <c r="AO836" i="1" l="1"/>
  <c r="AN836" i="1"/>
  <c r="BG836" i="1" s="1"/>
  <c r="AQ836" i="1"/>
  <c r="BH836" i="1"/>
  <c r="BI836" i="1" l="1"/>
  <c r="AY836" i="1"/>
  <c r="AX836" i="1"/>
  <c r="BE836" i="1"/>
  <c r="BD836" i="1"/>
  <c r="BB836" i="1"/>
  <c r="AU836" i="1" s="1"/>
  <c r="BA836" i="1"/>
  <c r="AT836" i="1" l="1"/>
  <c r="AQ837" i="1"/>
  <c r="AN837" i="1"/>
  <c r="AR837" i="1"/>
  <c r="AO837" i="1"/>
  <c r="BI837" i="1" l="1"/>
  <c r="BD837" i="1" s="1"/>
  <c r="BH837" i="1"/>
  <c r="BA837" i="1" s="1"/>
  <c r="BG837" i="1"/>
  <c r="AX837" i="1" s="1"/>
  <c r="AT837" i="1" l="1"/>
  <c r="AN838" i="1" s="1"/>
  <c r="AY837" i="1"/>
  <c r="AQ838" i="1"/>
  <c r="BE837" i="1"/>
  <c r="BB837" i="1"/>
  <c r="AU837" i="1" l="1"/>
  <c r="AR838" i="1" l="1"/>
  <c r="AO838" i="1"/>
  <c r="BH838" i="1" l="1"/>
  <c r="BA838" i="1" s="1"/>
  <c r="BI838" i="1"/>
  <c r="BD838" i="1" s="1"/>
  <c r="BG838" i="1"/>
  <c r="AX838" i="1" s="1"/>
  <c r="AT838" i="1" l="1"/>
  <c r="AY838" i="1"/>
  <c r="BB838" i="1"/>
  <c r="BE838" i="1"/>
  <c r="AU838" i="1" l="1"/>
  <c r="AN839" i="1"/>
  <c r="AQ839" i="1"/>
  <c r="AO839" i="1" l="1"/>
  <c r="BI839" i="1" s="1"/>
  <c r="BE839" i="1" s="1"/>
  <c r="AR839" i="1"/>
  <c r="BH839" i="1" l="1"/>
  <c r="BD839" i="1"/>
  <c r="BG839" i="1"/>
  <c r="AY839" i="1" l="1"/>
  <c r="AX839" i="1"/>
  <c r="BB839" i="1"/>
  <c r="BA839" i="1"/>
  <c r="AT839" i="1" l="1"/>
  <c r="AU839" i="1"/>
  <c r="AO840" i="1" l="1"/>
  <c r="AR840" i="1"/>
  <c r="AQ840" i="1"/>
  <c r="AN840" i="1"/>
  <c r="BI840" i="1" l="1"/>
  <c r="BE840" i="1" s="1"/>
  <c r="BG840" i="1"/>
  <c r="AY840" i="1" s="1"/>
  <c r="BH840" i="1"/>
  <c r="BB840" i="1" s="1"/>
  <c r="BA840" i="1"/>
  <c r="BD840" i="1" l="1"/>
  <c r="AU840" i="1"/>
  <c r="AR841" i="1" s="1"/>
  <c r="AO841" i="1"/>
  <c r="AX840" i="1"/>
  <c r="AT840" i="1" s="1"/>
  <c r="AN841" i="1" l="1"/>
  <c r="AQ841" i="1"/>
  <c r="BH841" i="1" l="1"/>
  <c r="BB841" i="1" s="1"/>
  <c r="BA841" i="1"/>
  <c r="BI841" i="1"/>
  <c r="BE841" i="1" s="1"/>
  <c r="BG841" i="1"/>
  <c r="AY841" i="1" s="1"/>
  <c r="AX841" i="1" l="1"/>
  <c r="AU841" i="1"/>
  <c r="BD841" i="1"/>
  <c r="AT841" i="1" l="1"/>
  <c r="AN842" i="1" s="1"/>
  <c r="AR842" i="1"/>
  <c r="AO842" i="1"/>
  <c r="AQ842" i="1" l="1"/>
  <c r="BG842" i="1"/>
  <c r="AY842" i="1" s="1"/>
  <c r="BH842" i="1"/>
  <c r="BB842" i="1" s="1"/>
  <c r="BI842" i="1"/>
  <c r="BE842" i="1" s="1"/>
  <c r="BA842" i="1" l="1"/>
  <c r="AX842" i="1"/>
  <c r="BD842" i="1"/>
  <c r="AU842" i="1"/>
  <c r="AT842" i="1" l="1"/>
  <c r="AN843" i="1" s="1"/>
  <c r="AR843" i="1"/>
  <c r="AO843" i="1"/>
  <c r="AQ843" i="1" l="1"/>
  <c r="BH843" i="1"/>
  <c r="BB843" i="1" s="1"/>
  <c r="BI843" i="1"/>
  <c r="BE843" i="1" s="1"/>
  <c r="BG843" i="1"/>
  <c r="AY843" i="1" s="1"/>
  <c r="BD843" i="1"/>
  <c r="BA843" i="1"/>
  <c r="AU843" i="1" l="1"/>
  <c r="AR844" i="1" s="1"/>
  <c r="AO844" i="1"/>
  <c r="AX843" i="1"/>
  <c r="AT843" i="1" s="1"/>
  <c r="AQ844" i="1" l="1"/>
  <c r="AN844" i="1"/>
  <c r="BI844" i="1" l="1"/>
  <c r="BE844" i="1" s="1"/>
  <c r="BH844" i="1"/>
  <c r="BB844" i="1" s="1"/>
  <c r="BG844" i="1"/>
  <c r="AY844" i="1" s="1"/>
  <c r="BD844" i="1" l="1"/>
  <c r="BA844" i="1"/>
  <c r="AX844" i="1"/>
  <c r="AU844" i="1"/>
  <c r="AT844" i="1" l="1"/>
  <c r="AQ845" i="1"/>
  <c r="AN845" i="1"/>
  <c r="AO845" i="1"/>
  <c r="AR845" i="1"/>
  <c r="BH845" i="1" l="1"/>
  <c r="BB845" i="1" s="1"/>
  <c r="BI845" i="1"/>
  <c r="BE845" i="1" s="1"/>
  <c r="BG845" i="1"/>
  <c r="AY845" i="1" s="1"/>
  <c r="BD845" i="1"/>
  <c r="AX845" i="1"/>
  <c r="BA845" i="1" l="1"/>
  <c r="AT845" i="1" s="1"/>
  <c r="AU845" i="1"/>
  <c r="AO846" i="1" s="1"/>
  <c r="AR846" i="1"/>
  <c r="AN846" i="1" l="1"/>
  <c r="AQ846" i="1"/>
  <c r="BH846" i="1" l="1"/>
  <c r="BB846" i="1" s="1"/>
  <c r="BG846" i="1"/>
  <c r="AY846" i="1" s="1"/>
  <c r="BA846" i="1"/>
  <c r="BI846" i="1"/>
  <c r="BE846" i="1" l="1"/>
  <c r="BD846" i="1"/>
  <c r="AX846" i="1"/>
  <c r="AU846" i="1"/>
  <c r="AR847" i="1" l="1"/>
  <c r="AO847" i="1"/>
  <c r="AT846" i="1"/>
  <c r="AQ847" i="1" l="1"/>
  <c r="AN847" i="1"/>
  <c r="BI847" i="1" l="1"/>
  <c r="BE847" i="1" s="1"/>
  <c r="BD847" i="1"/>
  <c r="BH847" i="1"/>
  <c r="BB847" i="1" s="1"/>
  <c r="BG847" i="1"/>
  <c r="AY847" i="1" s="1"/>
  <c r="AU847" i="1" s="1"/>
  <c r="BA847" i="1"/>
  <c r="AR848" i="1" l="1"/>
  <c r="AO848" i="1"/>
  <c r="AX847" i="1"/>
  <c r="AT847" i="1" s="1"/>
  <c r="AQ848" i="1" l="1"/>
  <c r="AN848" i="1"/>
  <c r="BI848" i="1" l="1"/>
  <c r="BE848" i="1" s="1"/>
  <c r="BH848" i="1"/>
  <c r="BB848" i="1" s="1"/>
  <c r="BG848" i="1"/>
  <c r="AY848" i="1" s="1"/>
  <c r="BD848" i="1"/>
  <c r="BA848" i="1"/>
  <c r="AU848" i="1" l="1"/>
  <c r="AX848" i="1"/>
  <c r="AT848" i="1" s="1"/>
  <c r="AQ849" i="1" l="1"/>
  <c r="AN849" i="1"/>
  <c r="AR849" i="1"/>
  <c r="AO849" i="1"/>
  <c r="BG849" i="1" l="1"/>
  <c r="AY849" i="1" s="1"/>
  <c r="BH849" i="1"/>
  <c r="BB849" i="1" s="1"/>
  <c r="BI849" i="1"/>
  <c r="BE849" i="1" s="1"/>
  <c r="AX849" i="1"/>
  <c r="BD849" i="1"/>
  <c r="BA849" i="1"/>
  <c r="AT849" i="1" l="1"/>
  <c r="AU849" i="1"/>
  <c r="AR850" i="1" l="1"/>
  <c r="AO850" i="1"/>
  <c r="AQ850" i="1"/>
  <c r="AN850" i="1"/>
  <c r="BH850" i="1" l="1"/>
  <c r="BB850" i="1" s="1"/>
  <c r="BG850" i="1"/>
  <c r="BI850" i="1"/>
  <c r="BA850" i="1"/>
  <c r="AY850" i="1" l="1"/>
  <c r="AX850" i="1"/>
  <c r="BE850" i="1"/>
  <c r="BD850" i="1"/>
  <c r="AT850" i="1" l="1"/>
  <c r="AU850" i="1"/>
  <c r="AO851" i="1" l="1"/>
  <c r="AR851" i="1"/>
  <c r="AQ851" i="1"/>
  <c r="AN851" i="1"/>
  <c r="BI851" i="1" l="1"/>
  <c r="BE851" i="1" s="1"/>
  <c r="BH851" i="1"/>
  <c r="BB851" i="1" s="1"/>
  <c r="BG851" i="1"/>
  <c r="AY851" i="1" s="1"/>
  <c r="BD851" i="1"/>
  <c r="BA851" i="1"/>
  <c r="AX851" i="1"/>
  <c r="AT851" i="1" s="1"/>
  <c r="AN852" i="1" l="1"/>
  <c r="AQ852" i="1"/>
  <c r="AU851" i="1"/>
  <c r="AR852" i="1" l="1"/>
  <c r="AO852" i="1"/>
  <c r="BG852" i="1"/>
  <c r="BI852" i="1"/>
  <c r="BE852" i="1" s="1"/>
  <c r="BD852" i="1"/>
  <c r="BH852" i="1"/>
  <c r="BB852" i="1" s="1"/>
  <c r="BA852" i="1" l="1"/>
  <c r="AY852" i="1"/>
  <c r="AU852" i="1" s="1"/>
  <c r="AX852" i="1"/>
  <c r="AT852" i="1" s="1"/>
  <c r="AO853" i="1"/>
  <c r="AR853" i="1"/>
  <c r="AQ853" i="1" l="1"/>
  <c r="AN853" i="1"/>
  <c r="BH853" i="1" l="1"/>
  <c r="BG853" i="1"/>
  <c r="AY853" i="1" s="1"/>
  <c r="AX853" i="1"/>
  <c r="BI853" i="1"/>
  <c r="BE853" i="1" l="1"/>
  <c r="BD853" i="1"/>
  <c r="BB853" i="1"/>
  <c r="AU853" i="1" s="1"/>
  <c r="BA853" i="1"/>
  <c r="AT853" i="1" s="1"/>
  <c r="AO854" i="1" l="1"/>
  <c r="AR854" i="1"/>
  <c r="AN854" i="1"/>
  <c r="AQ854" i="1"/>
  <c r="BH854" i="1" l="1"/>
  <c r="BB854" i="1" s="1"/>
  <c r="BI854" i="1"/>
  <c r="BG854" i="1"/>
  <c r="BA854" i="1"/>
  <c r="BE854" i="1" l="1"/>
  <c r="BD854" i="1"/>
  <c r="AY854" i="1"/>
  <c r="AU854" i="1" s="1"/>
  <c r="AX854" i="1"/>
  <c r="AT854" i="1" s="1"/>
  <c r="AN855" i="1"/>
  <c r="AQ855" i="1"/>
  <c r="AR855" i="1" l="1"/>
  <c r="AO855" i="1"/>
  <c r="BG855" i="1"/>
  <c r="AY855" i="1" s="1"/>
  <c r="BH855" i="1"/>
  <c r="BB855" i="1" s="1"/>
  <c r="BI855" i="1"/>
  <c r="BE855" i="1" s="1"/>
  <c r="BA855" i="1" l="1"/>
  <c r="AX855" i="1"/>
  <c r="BD855" i="1"/>
  <c r="AU855" i="1"/>
  <c r="AT855" i="1" l="1"/>
  <c r="AQ856" i="1"/>
  <c r="AN856" i="1"/>
  <c r="AR856" i="1"/>
  <c r="AO856" i="1"/>
  <c r="BH856" i="1" l="1"/>
  <c r="BB856" i="1" s="1"/>
  <c r="BG856" i="1"/>
  <c r="AY856" i="1" s="1"/>
  <c r="BA856" i="1"/>
  <c r="AX856" i="1"/>
  <c r="BI856" i="1"/>
  <c r="BE856" i="1" s="1"/>
  <c r="AU856" i="1" l="1"/>
  <c r="BD856" i="1"/>
  <c r="AT856" i="1" s="1"/>
  <c r="AN857" i="1" l="1"/>
  <c r="AQ857" i="1"/>
  <c r="AR857" i="1"/>
  <c r="AO857" i="1"/>
  <c r="BG857" i="1" l="1"/>
  <c r="AY857" i="1" s="1"/>
  <c r="BH857" i="1"/>
  <c r="BB857" i="1" s="1"/>
  <c r="BI857" i="1"/>
  <c r="BE857" i="1" s="1"/>
  <c r="AX857" i="1"/>
  <c r="BA857" i="1" l="1"/>
  <c r="BD857" i="1"/>
  <c r="AU857" i="1"/>
  <c r="AT857" i="1" l="1"/>
  <c r="AQ858" i="1"/>
  <c r="AN858" i="1"/>
  <c r="AR858" i="1"/>
  <c r="AO858" i="1"/>
  <c r="BI858" i="1" l="1"/>
  <c r="BE858" i="1" s="1"/>
  <c r="BG858" i="1"/>
  <c r="AY858" i="1" s="1"/>
  <c r="BD858" i="1"/>
  <c r="BH858" i="1"/>
  <c r="BB858" i="1" s="1"/>
  <c r="BA858" i="1" l="1"/>
  <c r="AU858" i="1"/>
  <c r="AX858" i="1"/>
  <c r="AT858" i="1" s="1"/>
  <c r="AO859" i="1" l="1"/>
  <c r="AR859" i="1"/>
  <c r="AQ859" i="1"/>
  <c r="AN859" i="1"/>
  <c r="BH859" i="1" l="1"/>
  <c r="BB859" i="1" s="1"/>
  <c r="BG859" i="1"/>
  <c r="AY859" i="1" s="1"/>
  <c r="BI859" i="1"/>
  <c r="BE859" i="1" s="1"/>
  <c r="BA859" i="1" l="1"/>
  <c r="AX859" i="1"/>
  <c r="BD859" i="1"/>
  <c r="AU859" i="1"/>
  <c r="AR860" i="1" l="1"/>
  <c r="AO860" i="1"/>
  <c r="AT859" i="1"/>
  <c r="AN860" i="1" l="1"/>
  <c r="AQ860" i="1"/>
  <c r="BI860" i="1" l="1"/>
  <c r="BE860" i="1" s="1"/>
  <c r="BG860" i="1"/>
  <c r="AY860" i="1" s="1"/>
  <c r="BH860" i="1"/>
  <c r="BB860" i="1" s="1"/>
  <c r="BD860" i="1"/>
  <c r="AX860" i="1" l="1"/>
  <c r="AU860" i="1"/>
  <c r="BA860" i="1"/>
  <c r="AT860" i="1" s="1"/>
  <c r="AN861" i="1" l="1"/>
  <c r="AQ861" i="1"/>
  <c r="AR861" i="1"/>
  <c r="AO861" i="1"/>
  <c r="BI861" i="1" l="1"/>
  <c r="BE861" i="1" s="1"/>
  <c r="BH861" i="1"/>
  <c r="BB861" i="1" s="1"/>
  <c r="BG861" i="1"/>
  <c r="AY861" i="1" s="1"/>
  <c r="BA861" i="1" l="1"/>
  <c r="AX861" i="1"/>
  <c r="BD861" i="1"/>
  <c r="AU861" i="1"/>
  <c r="AT861" i="1" l="1"/>
  <c r="AQ862" i="1"/>
  <c r="AN862" i="1"/>
  <c r="AO862" i="1"/>
  <c r="AR862" i="1"/>
  <c r="BG862" i="1" l="1"/>
  <c r="BI862" i="1"/>
  <c r="BH862" i="1"/>
  <c r="BB862" i="1" s="1"/>
  <c r="BD862" i="1"/>
  <c r="AX862" i="1"/>
  <c r="BE862" i="1"/>
  <c r="AY862" i="1"/>
  <c r="AU862" i="1" l="1"/>
  <c r="AR863" i="1" s="1"/>
  <c r="AO863" i="1"/>
  <c r="BA862" i="1"/>
  <c r="AT862" i="1" s="1"/>
  <c r="AN863" i="1" l="1"/>
  <c r="AQ863" i="1"/>
  <c r="BH863" i="1" l="1"/>
  <c r="BB863" i="1" s="1"/>
  <c r="BI863" i="1"/>
  <c r="BE863" i="1" s="1"/>
  <c r="BG863" i="1"/>
  <c r="AY863" i="1" s="1"/>
  <c r="BD863" i="1" l="1"/>
  <c r="AU863" i="1"/>
  <c r="BA863" i="1"/>
  <c r="AR864" i="1"/>
  <c r="AO864" i="1"/>
  <c r="AX863" i="1"/>
  <c r="AT863" i="1" s="1"/>
  <c r="AQ864" i="1" l="1"/>
  <c r="AN864" i="1"/>
  <c r="BG864" i="1" l="1"/>
  <c r="AY864" i="1" s="1"/>
  <c r="BH864" i="1"/>
  <c r="BB864" i="1" s="1"/>
  <c r="AX864" i="1"/>
  <c r="BI864" i="1"/>
  <c r="BE864" i="1" s="1"/>
  <c r="BA864" i="1" l="1"/>
  <c r="BD864" i="1"/>
  <c r="AT864" i="1" s="1"/>
  <c r="AU864" i="1"/>
  <c r="AN865" i="1" l="1"/>
  <c r="AQ865" i="1"/>
  <c r="AO865" i="1"/>
  <c r="AR865" i="1"/>
  <c r="BG865" i="1" l="1"/>
  <c r="AY865" i="1" s="1"/>
  <c r="BH865" i="1"/>
  <c r="BB865" i="1" s="1"/>
  <c r="BI865" i="1"/>
  <c r="BE865" i="1" s="1"/>
  <c r="BD865" i="1" l="1"/>
  <c r="BA865" i="1"/>
  <c r="AX865" i="1"/>
  <c r="AU865" i="1"/>
  <c r="AT865" i="1" l="1"/>
  <c r="AN866" i="1" s="1"/>
  <c r="AQ866" i="1"/>
  <c r="AR866" i="1"/>
  <c r="AO866" i="1"/>
  <c r="BH866" i="1" l="1"/>
  <c r="BB866" i="1" s="1"/>
  <c r="BI866" i="1"/>
  <c r="BE866" i="1" s="1"/>
  <c r="BG866" i="1"/>
  <c r="AY866" i="1" s="1"/>
  <c r="BA866" i="1"/>
  <c r="AX866" i="1" l="1"/>
  <c r="AU866" i="1"/>
  <c r="BD866" i="1"/>
  <c r="AT866" i="1" l="1"/>
  <c r="AN867" i="1"/>
  <c r="AQ867" i="1"/>
  <c r="AR867" i="1"/>
  <c r="AO867" i="1"/>
  <c r="BG867" i="1" l="1"/>
  <c r="AY867" i="1" s="1"/>
  <c r="BI867" i="1"/>
  <c r="BE867" i="1" s="1"/>
  <c r="BH867" i="1"/>
  <c r="BB867" i="1" s="1"/>
  <c r="BD867" i="1"/>
  <c r="AX867" i="1" l="1"/>
  <c r="AU867" i="1"/>
  <c r="BA867" i="1"/>
  <c r="AT867" i="1" s="1"/>
  <c r="AQ868" i="1" l="1"/>
  <c r="AN868" i="1"/>
  <c r="AR868" i="1"/>
  <c r="AO868" i="1"/>
  <c r="BI868" i="1" l="1"/>
  <c r="BE868" i="1" s="1"/>
  <c r="BG868" i="1"/>
  <c r="AY868" i="1" s="1"/>
  <c r="BH868" i="1"/>
  <c r="BB868" i="1" s="1"/>
  <c r="AX868" i="1"/>
  <c r="BA868" i="1"/>
  <c r="BD868" i="1" l="1"/>
  <c r="AT868" i="1"/>
  <c r="AQ869" i="1" s="1"/>
  <c r="AN869" i="1"/>
  <c r="AU868" i="1"/>
  <c r="AO869" i="1" l="1"/>
  <c r="AR869" i="1"/>
  <c r="BI869" i="1"/>
  <c r="BE869" i="1" s="1"/>
  <c r="BG869" i="1"/>
  <c r="AY869" i="1" s="1"/>
  <c r="BD869" i="1"/>
  <c r="BH869" i="1"/>
  <c r="BB869" i="1" s="1"/>
  <c r="AU869" i="1" l="1"/>
  <c r="AO870" i="1" s="1"/>
  <c r="BA869" i="1"/>
  <c r="AX869" i="1"/>
  <c r="AR870" i="1"/>
  <c r="AT869" i="1" l="1"/>
  <c r="AQ870" i="1" l="1"/>
  <c r="AN870" i="1"/>
  <c r="BG870" i="1" l="1"/>
  <c r="AY870" i="1" s="1"/>
  <c r="BI870" i="1"/>
  <c r="BE870" i="1" s="1"/>
  <c r="AX870" i="1"/>
  <c r="BH870" i="1"/>
  <c r="BB870" i="1" s="1"/>
  <c r="AU870" i="1" s="1"/>
  <c r="BD870" i="1" l="1"/>
  <c r="BA870" i="1"/>
  <c r="AR871" i="1"/>
  <c r="AO871" i="1"/>
  <c r="AT870" i="1" l="1"/>
  <c r="AQ871" i="1" l="1"/>
  <c r="AN871" i="1"/>
  <c r="BH871" i="1" l="1"/>
  <c r="BG871" i="1"/>
  <c r="BI871" i="1"/>
  <c r="BE871" i="1" l="1"/>
  <c r="BD871" i="1"/>
  <c r="AY871" i="1"/>
  <c r="AX871" i="1"/>
  <c r="BB871" i="1"/>
  <c r="BA871" i="1"/>
  <c r="AT871" i="1" l="1"/>
  <c r="AU871" i="1"/>
  <c r="AO872" i="1" l="1"/>
  <c r="AR872" i="1"/>
  <c r="AQ872" i="1"/>
  <c r="AN872" i="1"/>
  <c r="BH872" i="1" l="1"/>
  <c r="BB872" i="1" s="1"/>
  <c r="BG872" i="1"/>
  <c r="AY872" i="1" s="1"/>
  <c r="BI872" i="1"/>
  <c r="BE872" i="1" s="1"/>
  <c r="BD872" i="1" l="1"/>
  <c r="BA872" i="1"/>
  <c r="AX872" i="1"/>
  <c r="AU872" i="1"/>
  <c r="AO873" i="1"/>
  <c r="AR873" i="1"/>
  <c r="AT872" i="1" l="1"/>
  <c r="AQ873" i="1" s="1"/>
  <c r="AN873" i="1" l="1"/>
  <c r="BG873" i="1" l="1"/>
  <c r="AY873" i="1" s="1"/>
  <c r="BH873" i="1"/>
  <c r="BI873" i="1"/>
  <c r="AX873" i="1"/>
  <c r="BB873" i="1" l="1"/>
  <c r="BA873" i="1"/>
  <c r="BE873" i="1"/>
  <c r="AU873" i="1" s="1"/>
  <c r="BD873" i="1"/>
  <c r="AT873" i="1" s="1"/>
  <c r="AQ874" i="1" l="1"/>
  <c r="AN874" i="1"/>
  <c r="AO874" i="1"/>
  <c r="AR874" i="1"/>
  <c r="BG874" i="1" l="1"/>
  <c r="BH874" i="1"/>
  <c r="BB874" i="1" s="1"/>
  <c r="BA874" i="1"/>
  <c r="BI874" i="1"/>
  <c r="BE874" i="1" l="1"/>
  <c r="BD874" i="1"/>
  <c r="AY874" i="1"/>
  <c r="AU874" i="1" s="1"/>
  <c r="AX874" i="1"/>
  <c r="AT874" i="1" s="1"/>
  <c r="AN875" i="1" l="1"/>
  <c r="AQ875" i="1"/>
  <c r="AO875" i="1"/>
  <c r="AR875" i="1"/>
  <c r="BI875" i="1" l="1"/>
  <c r="BG875" i="1"/>
  <c r="BH875" i="1"/>
  <c r="AY875" i="1" l="1"/>
  <c r="AX875" i="1"/>
  <c r="BB875" i="1"/>
  <c r="BA875" i="1"/>
  <c r="BE875" i="1"/>
  <c r="BD875" i="1"/>
  <c r="AT875" i="1" l="1"/>
  <c r="AU875" i="1"/>
  <c r="AO876" i="1" l="1"/>
  <c r="AR876" i="1"/>
  <c r="AQ876" i="1"/>
  <c r="AN876" i="1"/>
  <c r="BI876" i="1" l="1"/>
  <c r="BE876" i="1" s="1"/>
  <c r="BH876" i="1"/>
  <c r="BG876" i="1"/>
  <c r="AY876" i="1" s="1"/>
  <c r="BD876" i="1"/>
  <c r="AX876" i="1" l="1"/>
  <c r="BB876" i="1"/>
  <c r="AU876" i="1" s="1"/>
  <c r="BA876" i="1"/>
  <c r="AT876" i="1" s="1"/>
  <c r="AR877" i="1" l="1"/>
  <c r="AO877" i="1"/>
  <c r="AQ877" i="1"/>
  <c r="AN877" i="1"/>
  <c r="BG877" i="1" l="1"/>
  <c r="AY877" i="1" s="1"/>
  <c r="BH877" i="1"/>
  <c r="BI877" i="1"/>
  <c r="BE877" i="1" s="1"/>
  <c r="BD877" i="1" l="1"/>
  <c r="AX877" i="1"/>
  <c r="BB877" i="1"/>
  <c r="BA877" i="1"/>
  <c r="AT877" i="1" s="1"/>
  <c r="AU877" i="1"/>
  <c r="AN878" i="1" l="1"/>
  <c r="AQ878" i="1"/>
  <c r="AR878" i="1"/>
  <c r="AO878" i="1"/>
  <c r="BH878" i="1" l="1"/>
  <c r="BI878" i="1"/>
  <c r="BG878" i="1"/>
  <c r="AY878" i="1" l="1"/>
  <c r="AX878" i="1"/>
  <c r="BE878" i="1"/>
  <c r="BD878" i="1"/>
  <c r="BB878" i="1"/>
  <c r="BA878" i="1"/>
  <c r="AT878" i="1" l="1"/>
  <c r="AU878" i="1"/>
  <c r="AO879" i="1" l="1"/>
  <c r="AR879" i="1"/>
  <c r="AQ879" i="1"/>
  <c r="AN879" i="1"/>
  <c r="BI879" i="1" l="1"/>
  <c r="BE879" i="1" s="1"/>
  <c r="BG879" i="1"/>
  <c r="BH879" i="1"/>
  <c r="BB879" i="1" s="1"/>
  <c r="BA879" i="1" l="1"/>
  <c r="BD879" i="1"/>
  <c r="AY879" i="1"/>
  <c r="AU879" i="1" s="1"/>
  <c r="AX879" i="1"/>
  <c r="AT879" i="1" s="1"/>
  <c r="AN880" i="1" l="1"/>
  <c r="AQ880" i="1"/>
  <c r="AR880" i="1"/>
  <c r="AO880" i="1"/>
  <c r="BH880" i="1" l="1"/>
  <c r="BG880" i="1"/>
  <c r="BI880" i="1"/>
  <c r="AX880" i="1" l="1"/>
  <c r="AY880" i="1"/>
  <c r="BE880" i="1"/>
  <c r="BD880" i="1"/>
  <c r="BB880" i="1"/>
  <c r="BA880" i="1"/>
  <c r="AU880" i="1" l="1"/>
  <c r="AT880" i="1"/>
  <c r="AQ881" i="1" l="1"/>
  <c r="AN881" i="1"/>
  <c r="AR881" i="1"/>
  <c r="AO881" i="1"/>
  <c r="BI881" i="1" l="1"/>
  <c r="BE881" i="1" s="1"/>
  <c r="BH881" i="1"/>
  <c r="BB881" i="1" s="1"/>
  <c r="BG881" i="1"/>
  <c r="AY881" i="1" s="1"/>
  <c r="AU881" i="1" s="1"/>
  <c r="AR882" i="1" s="1"/>
  <c r="BD881" i="1"/>
  <c r="BA881" i="1"/>
  <c r="AX881" i="1"/>
  <c r="AT881" i="1" l="1"/>
  <c r="AO882" i="1"/>
  <c r="AQ882" i="1" l="1"/>
  <c r="AN882" i="1"/>
  <c r="BH882" i="1" l="1"/>
  <c r="BB882" i="1" s="1"/>
  <c r="BI882" i="1"/>
  <c r="BE882" i="1" s="1"/>
  <c r="BG882" i="1"/>
  <c r="AY882" i="1" s="1"/>
  <c r="BA882" i="1"/>
  <c r="AU882" i="1" l="1"/>
  <c r="AO883" i="1"/>
  <c r="AR883" i="1"/>
  <c r="AX882" i="1"/>
  <c r="BD882" i="1"/>
  <c r="AT882" i="1" s="1"/>
  <c r="AQ883" i="1" l="1"/>
  <c r="AN883" i="1"/>
  <c r="BG883" i="1" l="1"/>
  <c r="AY883" i="1" s="1"/>
  <c r="BI883" i="1"/>
  <c r="BE883" i="1" s="1"/>
  <c r="BH883" i="1"/>
  <c r="BB883" i="1" s="1"/>
  <c r="AX883" i="1"/>
  <c r="BD883" i="1"/>
  <c r="AU883" i="1" l="1"/>
  <c r="BA883" i="1"/>
  <c r="AT883" i="1" s="1"/>
  <c r="AN884" i="1" l="1"/>
  <c r="AQ884" i="1"/>
  <c r="AO884" i="1"/>
  <c r="AR884" i="1"/>
  <c r="BG884" i="1" l="1"/>
  <c r="AY884" i="1" s="1"/>
  <c r="BI884" i="1"/>
  <c r="BE884" i="1" s="1"/>
  <c r="BH884" i="1"/>
  <c r="BB884" i="1" s="1"/>
  <c r="AX884" i="1"/>
  <c r="BA884" i="1"/>
  <c r="BD884" i="1" l="1"/>
  <c r="AT884" i="1" s="1"/>
  <c r="AU884" i="1"/>
  <c r="AQ885" i="1" l="1"/>
  <c r="AN885" i="1"/>
  <c r="AR885" i="1"/>
  <c r="AO885" i="1"/>
  <c r="BH885" i="1" l="1"/>
  <c r="BA885" i="1" s="1"/>
  <c r="BI885" i="1"/>
  <c r="BE885" i="1" s="1"/>
  <c r="BG885" i="1"/>
  <c r="AY885" i="1" s="1"/>
  <c r="AX885" i="1"/>
  <c r="BD885" i="1" l="1"/>
  <c r="AT885" i="1" s="1"/>
  <c r="BB885" i="1"/>
  <c r="AU885" i="1" s="1"/>
  <c r="AN886" i="1" l="1"/>
  <c r="AQ886" i="1"/>
  <c r="AO886" i="1"/>
  <c r="AR886" i="1"/>
  <c r="BI886" i="1" l="1"/>
  <c r="BE886" i="1" s="1"/>
  <c r="BH886" i="1"/>
  <c r="BB886" i="1" s="1"/>
  <c r="BG886" i="1"/>
  <c r="AY886" i="1" s="1"/>
  <c r="BA886" i="1"/>
  <c r="AX886" i="1"/>
  <c r="BD886" i="1"/>
  <c r="AT886" i="1" l="1"/>
  <c r="AU886" i="1"/>
  <c r="AO887" i="1" s="1"/>
  <c r="AQ887" i="1"/>
  <c r="AN887" i="1"/>
  <c r="AR887" i="1"/>
  <c r="BG887" i="1" l="1"/>
  <c r="BI887" i="1"/>
  <c r="BH887" i="1"/>
  <c r="BB887" i="1" s="1"/>
  <c r="BE887" i="1" l="1"/>
  <c r="BD887" i="1"/>
  <c r="AY887" i="1"/>
  <c r="AU887" i="1" s="1"/>
  <c r="AX887" i="1"/>
  <c r="BA887" i="1"/>
  <c r="AO888" i="1" l="1"/>
  <c r="AR888" i="1"/>
  <c r="AT887" i="1"/>
  <c r="AN888" i="1" l="1"/>
  <c r="AQ888" i="1"/>
  <c r="BH888" i="1" l="1"/>
  <c r="BG888" i="1"/>
  <c r="BI888" i="1"/>
  <c r="BD888" i="1" l="1"/>
  <c r="BE888" i="1"/>
  <c r="AX888" i="1"/>
  <c r="AY888" i="1"/>
  <c r="BA888" i="1"/>
  <c r="BB888" i="1"/>
  <c r="AT888" i="1" l="1"/>
  <c r="AU888" i="1"/>
  <c r="AR889" i="1" l="1"/>
  <c r="AO889" i="1"/>
  <c r="AN889" i="1"/>
  <c r="AQ889" i="1"/>
  <c r="BH889" i="1" l="1"/>
  <c r="BA889" i="1" s="1"/>
  <c r="BI889" i="1"/>
  <c r="BD889" i="1" s="1"/>
  <c r="BG889" i="1"/>
  <c r="AX889" i="1" s="1"/>
  <c r="BB889" i="1"/>
  <c r="AY889" i="1"/>
  <c r="BE889" i="1"/>
  <c r="AU889" i="1" l="1"/>
  <c r="AT889" i="1"/>
  <c r="AN890" i="1" l="1"/>
  <c r="AQ890" i="1"/>
  <c r="AR890" i="1"/>
  <c r="AO890" i="1"/>
  <c r="BI890" i="1" l="1"/>
  <c r="BG890" i="1"/>
  <c r="BH890" i="1"/>
  <c r="BA890" i="1" l="1"/>
  <c r="BB890" i="1"/>
  <c r="AX890" i="1"/>
  <c r="AY890" i="1"/>
  <c r="BD890" i="1"/>
  <c r="BE890" i="1"/>
  <c r="AT890" i="1" l="1"/>
  <c r="AU890" i="1"/>
  <c r="AR891" i="1" l="1"/>
  <c r="AO891" i="1"/>
  <c r="AQ891" i="1"/>
  <c r="AN891" i="1"/>
  <c r="BI891" i="1" l="1"/>
  <c r="BH891" i="1"/>
  <c r="BG891" i="1"/>
  <c r="BA891" i="1" l="1"/>
  <c r="BB891" i="1"/>
  <c r="AX891" i="1"/>
  <c r="AY891" i="1"/>
  <c r="BD891" i="1"/>
  <c r="BE891" i="1"/>
  <c r="AU891" i="1" l="1"/>
  <c r="AT891" i="1"/>
  <c r="AN892" i="1" l="1"/>
  <c r="AQ892" i="1"/>
  <c r="AR892" i="1"/>
  <c r="AO892" i="1"/>
  <c r="BG892" i="1" l="1"/>
  <c r="AY892" i="1" s="1"/>
  <c r="BI892" i="1"/>
  <c r="BE892" i="1" s="1"/>
  <c r="BH892" i="1"/>
  <c r="BB892" i="1" s="1"/>
  <c r="BD892" i="1"/>
  <c r="BA892" i="1" l="1"/>
  <c r="AU892" i="1"/>
  <c r="AX892" i="1"/>
  <c r="AT892" i="1" s="1"/>
  <c r="AR893" i="1" l="1"/>
  <c r="AO893" i="1"/>
  <c r="AQ893" i="1"/>
  <c r="AN893" i="1"/>
  <c r="BG893" i="1" l="1"/>
  <c r="AY893" i="1" s="1"/>
  <c r="BI893" i="1"/>
  <c r="BE893" i="1" s="1"/>
  <c r="BH893" i="1"/>
  <c r="BB893" i="1" s="1"/>
  <c r="BD893" i="1"/>
  <c r="BA893" i="1"/>
  <c r="AX893" i="1"/>
  <c r="AT893" i="1" s="1"/>
  <c r="AQ894" i="1" s="1"/>
  <c r="AN894" i="1" l="1"/>
  <c r="AU893" i="1"/>
  <c r="AO894" i="1" l="1"/>
  <c r="AR894" i="1"/>
  <c r="BH894" i="1"/>
  <c r="BB894" i="1" s="1"/>
  <c r="BI894" i="1"/>
  <c r="BE894" i="1" s="1"/>
  <c r="BG894" i="1"/>
  <c r="AY894" i="1" s="1"/>
  <c r="AU894" i="1" s="1"/>
  <c r="BA894" i="1"/>
  <c r="BD894" i="1"/>
  <c r="AX894" i="1" l="1"/>
  <c r="AT894" i="1" s="1"/>
  <c r="AR895" i="1"/>
  <c r="AO895" i="1"/>
  <c r="AN895" i="1" l="1"/>
  <c r="AQ895" i="1"/>
  <c r="BH895" i="1" l="1"/>
  <c r="BB895" i="1" s="1"/>
  <c r="BG895" i="1"/>
  <c r="AY895" i="1" s="1"/>
  <c r="BI895" i="1"/>
  <c r="BE895" i="1" s="1"/>
  <c r="AX895" i="1"/>
  <c r="BA895" i="1"/>
  <c r="AU895" i="1" l="1"/>
  <c r="BD895" i="1"/>
  <c r="AT895" i="1" s="1"/>
  <c r="AN896" i="1" l="1"/>
  <c r="AQ896" i="1"/>
  <c r="AO896" i="1"/>
  <c r="AR896" i="1"/>
  <c r="BI896" i="1" l="1"/>
  <c r="BE896" i="1" s="1"/>
  <c r="BG896" i="1"/>
  <c r="AY896" i="1" s="1"/>
  <c r="BD896" i="1"/>
  <c r="AX896" i="1"/>
  <c r="BH896" i="1"/>
  <c r="BB896" i="1" l="1"/>
  <c r="AU896" i="1" s="1"/>
  <c r="BA896" i="1"/>
  <c r="AT896" i="1" s="1"/>
  <c r="AR897" i="1" l="1"/>
  <c r="AO897" i="1"/>
  <c r="AN897" i="1"/>
  <c r="AQ897" i="1"/>
  <c r="BH897" i="1" l="1"/>
  <c r="BG897" i="1"/>
  <c r="BI897" i="1"/>
  <c r="BD897" i="1" l="1"/>
  <c r="BE897" i="1"/>
  <c r="AX897" i="1"/>
  <c r="AY897" i="1"/>
  <c r="BB897" i="1"/>
  <c r="BA897" i="1"/>
  <c r="AU897" i="1" l="1"/>
  <c r="AT897" i="1"/>
  <c r="AQ898" i="1" l="1"/>
  <c r="AN898" i="1"/>
  <c r="AR898" i="1"/>
  <c r="AO898" i="1"/>
  <c r="BG898" i="1" l="1"/>
  <c r="AY898" i="1" s="1"/>
  <c r="BH898" i="1"/>
  <c r="BB898" i="1" s="1"/>
  <c r="BI898" i="1"/>
  <c r="BA898" i="1" l="1"/>
  <c r="AX898" i="1"/>
  <c r="BE898" i="1"/>
  <c r="AU898" i="1" s="1"/>
  <c r="BD898" i="1"/>
  <c r="AT898" i="1" s="1"/>
  <c r="AR899" i="1" l="1"/>
  <c r="AO899" i="1"/>
  <c r="AQ899" i="1"/>
  <c r="AN899" i="1"/>
  <c r="BG899" i="1" l="1"/>
  <c r="BH899" i="1"/>
  <c r="BI899" i="1"/>
  <c r="BE899" i="1" s="1"/>
  <c r="BD899" i="1" l="1"/>
  <c r="BB899" i="1"/>
  <c r="BA899" i="1"/>
  <c r="AY899" i="1"/>
  <c r="AU899" i="1" s="1"/>
  <c r="AX899" i="1"/>
  <c r="AT899" i="1" s="1"/>
  <c r="AR900" i="1" l="1"/>
  <c r="AO900" i="1"/>
  <c r="AQ900" i="1"/>
  <c r="AN900" i="1"/>
  <c r="BG900" i="1" l="1"/>
  <c r="BI900" i="1"/>
  <c r="BH900" i="1"/>
  <c r="BA900" i="1" l="1"/>
  <c r="BB900" i="1"/>
  <c r="BD900" i="1"/>
  <c r="BE900" i="1"/>
  <c r="AY900" i="1"/>
  <c r="AU900" i="1" s="1"/>
  <c r="AX900" i="1"/>
  <c r="AT900" i="1" s="1"/>
  <c r="AN901" i="1" s="1"/>
  <c r="AQ901" i="1" l="1"/>
  <c r="AR901" i="1"/>
  <c r="AO901" i="1"/>
  <c r="BI901" i="1"/>
  <c r="BE901" i="1" s="1"/>
  <c r="BH901" i="1"/>
  <c r="BB901" i="1" s="1"/>
  <c r="BG901" i="1"/>
  <c r="AY901" i="1" s="1"/>
  <c r="AU901" i="1" l="1"/>
  <c r="BA901" i="1"/>
  <c r="AX901" i="1"/>
  <c r="AO902" i="1"/>
  <c r="AR902" i="1"/>
  <c r="BD901" i="1"/>
  <c r="AT901" i="1" l="1"/>
  <c r="AN902" i="1" l="1"/>
  <c r="AQ902" i="1"/>
  <c r="BI902" i="1" l="1"/>
  <c r="BE902" i="1" s="1"/>
  <c r="BG902" i="1"/>
  <c r="AY902" i="1" s="1"/>
  <c r="BH902" i="1"/>
  <c r="BB902" i="1" s="1"/>
  <c r="AX902" i="1" l="1"/>
  <c r="BD902" i="1"/>
  <c r="BA902" i="1"/>
  <c r="AU902" i="1"/>
  <c r="AT902" i="1" l="1"/>
  <c r="AQ903" i="1" s="1"/>
  <c r="AN903" i="1"/>
  <c r="AR903" i="1"/>
  <c r="AO903" i="1"/>
  <c r="BH903" i="1" s="1"/>
  <c r="BB903" i="1" l="1"/>
  <c r="BA903" i="1"/>
  <c r="BG903" i="1"/>
  <c r="BI903" i="1"/>
  <c r="BE903" i="1" l="1"/>
  <c r="BD903" i="1"/>
  <c r="AY903" i="1"/>
  <c r="AU903" i="1" s="1"/>
  <c r="AX903" i="1"/>
  <c r="AR904" i="1" l="1"/>
  <c r="AO904" i="1"/>
  <c r="AT903" i="1"/>
  <c r="AQ904" i="1" l="1"/>
  <c r="AN904" i="1"/>
  <c r="BH904" i="1" l="1"/>
  <c r="BB904" i="1" s="1"/>
  <c r="BG904" i="1"/>
  <c r="AY904" i="1" s="1"/>
  <c r="BI904" i="1"/>
  <c r="BE904" i="1" s="1"/>
  <c r="BA904" i="1"/>
  <c r="BD904" i="1" l="1"/>
  <c r="AU904" i="1"/>
  <c r="AX904" i="1"/>
  <c r="AT904" i="1" l="1"/>
  <c r="AN905" i="1"/>
  <c r="AQ905" i="1"/>
  <c r="AR905" i="1"/>
  <c r="AO905" i="1"/>
  <c r="BI905" i="1" l="1"/>
  <c r="BE905" i="1" s="1"/>
  <c r="BH905" i="1"/>
  <c r="BB905" i="1" s="1"/>
  <c r="BD905" i="1"/>
  <c r="BG905" i="1"/>
  <c r="AY905" i="1" s="1"/>
  <c r="AU905" i="1" l="1"/>
  <c r="AR906" i="1" s="1"/>
  <c r="BA905" i="1"/>
  <c r="AX905" i="1"/>
  <c r="AT905" i="1" s="1"/>
  <c r="AO906" i="1"/>
  <c r="AQ906" i="1" l="1"/>
  <c r="AN906" i="1"/>
  <c r="BI906" i="1" l="1"/>
  <c r="BE906" i="1" s="1"/>
  <c r="BH906" i="1"/>
  <c r="BB906" i="1" s="1"/>
  <c r="BG906" i="1"/>
  <c r="AY906" i="1" s="1"/>
  <c r="BD906" i="1"/>
  <c r="BA906" i="1" l="1"/>
  <c r="AU906" i="1"/>
  <c r="AR907" i="1" s="1"/>
  <c r="AO907" i="1"/>
  <c r="AX906" i="1"/>
  <c r="AT906" i="1" l="1"/>
  <c r="AN907" i="1"/>
  <c r="AQ907" i="1"/>
  <c r="BI907" i="1" l="1"/>
  <c r="BE907" i="1" s="1"/>
  <c r="BH907" i="1"/>
  <c r="BB907" i="1" s="1"/>
  <c r="BG907" i="1"/>
  <c r="AY907" i="1" s="1"/>
  <c r="BD907" i="1"/>
  <c r="BA907" i="1"/>
  <c r="AX907" i="1"/>
  <c r="AU907" i="1" l="1"/>
  <c r="AT907" i="1"/>
  <c r="AQ908" i="1" s="1"/>
  <c r="AO908" i="1"/>
  <c r="AR908" i="1"/>
  <c r="AN908" i="1"/>
  <c r="BG908" i="1" l="1"/>
  <c r="AX908" i="1" s="1"/>
  <c r="BH908" i="1"/>
  <c r="BA908" i="1" s="1"/>
  <c r="BI908" i="1"/>
  <c r="BE908" i="1" s="1"/>
  <c r="AY908" i="1"/>
  <c r="BB908" i="1"/>
  <c r="BD908" i="1" l="1"/>
  <c r="AT908" i="1" s="1"/>
  <c r="AN909" i="1"/>
  <c r="AQ909" i="1"/>
  <c r="AU908" i="1"/>
  <c r="AR909" i="1" l="1"/>
  <c r="AO909" i="1"/>
  <c r="BI909" i="1"/>
  <c r="BD909" i="1" s="1"/>
  <c r="BG909" i="1"/>
  <c r="AX909" i="1" s="1"/>
  <c r="BH909" i="1"/>
  <c r="BA909" i="1" s="1"/>
  <c r="AT909" i="1" l="1"/>
  <c r="AY909" i="1"/>
  <c r="BE909" i="1"/>
  <c r="BB909" i="1"/>
  <c r="AU909" i="1" l="1"/>
  <c r="AQ910" i="1"/>
  <c r="AN910" i="1"/>
  <c r="AO910" i="1" l="1"/>
  <c r="AR910" i="1"/>
  <c r="BI910" i="1" l="1"/>
  <c r="BD910" i="1" s="1"/>
  <c r="BH910" i="1"/>
  <c r="BA910" i="1" s="1"/>
  <c r="BG910" i="1"/>
  <c r="AX910" i="1" s="1"/>
  <c r="AT910" i="1" l="1"/>
  <c r="AQ911" i="1"/>
  <c r="AN911" i="1"/>
  <c r="BE910" i="1"/>
  <c r="AY910" i="1"/>
  <c r="BB910" i="1"/>
  <c r="AU910" i="1" l="1"/>
  <c r="AO911" i="1" l="1"/>
  <c r="AR911" i="1"/>
  <c r="BI911" i="1" l="1"/>
  <c r="BG911" i="1"/>
  <c r="BH911" i="1"/>
  <c r="BB911" i="1" l="1"/>
  <c r="BA911" i="1"/>
  <c r="AY911" i="1"/>
  <c r="AX911" i="1"/>
  <c r="BE911" i="1"/>
  <c r="BD911" i="1"/>
  <c r="AU911" i="1" l="1"/>
  <c r="AT911" i="1"/>
  <c r="AQ912" i="1" l="1"/>
  <c r="AN912" i="1"/>
  <c r="AR912" i="1"/>
  <c r="AO912" i="1"/>
  <c r="BI912" i="1" l="1"/>
  <c r="BE912" i="1" s="1"/>
  <c r="BG912" i="1"/>
  <c r="AY912" i="1" s="1"/>
  <c r="BH912" i="1"/>
  <c r="BB912" i="1" s="1"/>
  <c r="AX912" i="1" l="1"/>
  <c r="BA912" i="1"/>
  <c r="AU912" i="1"/>
  <c r="BD912" i="1"/>
  <c r="AO913" i="1" l="1"/>
  <c r="AR913" i="1"/>
  <c r="AT912" i="1"/>
  <c r="AN913" i="1" l="1"/>
  <c r="AQ913" i="1"/>
  <c r="BH913" i="1" l="1"/>
  <c r="BB913" i="1" s="1"/>
  <c r="BG913" i="1"/>
  <c r="AY913" i="1" s="1"/>
  <c r="BI913" i="1"/>
  <c r="BE913" i="1" s="1"/>
  <c r="BA913" i="1"/>
  <c r="AX913" i="1" l="1"/>
  <c r="BD913" i="1"/>
  <c r="AT913" i="1" s="1"/>
  <c r="AQ914" i="1" s="1"/>
  <c r="AU913" i="1"/>
  <c r="AN914" i="1" l="1"/>
  <c r="AR914" i="1"/>
  <c r="AO914" i="1"/>
  <c r="BI914" i="1" s="1"/>
  <c r="BE914" i="1" s="1"/>
  <c r="BH914" i="1"/>
  <c r="BB914" i="1" s="1"/>
  <c r="BD914" i="1" l="1"/>
  <c r="BA914" i="1"/>
  <c r="BG914" i="1"/>
  <c r="AY914" i="1" l="1"/>
  <c r="AU914" i="1" s="1"/>
  <c r="AX914" i="1"/>
  <c r="AT914" i="1" s="1"/>
  <c r="AQ915" i="1" l="1"/>
  <c r="AN915" i="1"/>
  <c r="AO915" i="1"/>
  <c r="AR915" i="1"/>
  <c r="BH915" i="1" l="1"/>
  <c r="BB915" i="1" s="1"/>
  <c r="BI915" i="1"/>
  <c r="BE915" i="1" s="1"/>
  <c r="BG915" i="1"/>
  <c r="AY915" i="1" s="1"/>
  <c r="BA915" i="1"/>
  <c r="AX915" i="1" l="1"/>
  <c r="AU915" i="1"/>
  <c r="AO916" i="1" s="1"/>
  <c r="BD915" i="1"/>
  <c r="AT915" i="1" s="1"/>
  <c r="AR916" i="1"/>
  <c r="AN916" i="1" l="1"/>
  <c r="AQ916" i="1"/>
  <c r="BI916" i="1" l="1"/>
  <c r="BE916" i="1" s="1"/>
  <c r="BH916" i="1"/>
  <c r="BB916" i="1" s="1"/>
  <c r="BG916" i="1"/>
  <c r="AY916" i="1" s="1"/>
  <c r="BD916" i="1"/>
  <c r="AX916" i="1" l="1"/>
  <c r="BA916" i="1"/>
  <c r="AT916" i="1" s="1"/>
  <c r="AU916" i="1"/>
  <c r="AO917" i="1" s="1"/>
  <c r="AR917" i="1" l="1"/>
  <c r="AQ917" i="1"/>
  <c r="AN917" i="1"/>
  <c r="BG917" i="1" l="1"/>
  <c r="AY917" i="1" s="1"/>
  <c r="BI917" i="1"/>
  <c r="BE917" i="1" s="1"/>
  <c r="BH917" i="1"/>
  <c r="BB917" i="1" s="1"/>
  <c r="BD917" i="1" l="1"/>
  <c r="AX917" i="1"/>
  <c r="BA917" i="1"/>
  <c r="AU917" i="1"/>
  <c r="AT917" i="1" l="1"/>
  <c r="AR918" i="1"/>
  <c r="AO918" i="1"/>
  <c r="AQ918" i="1"/>
  <c r="AN918" i="1"/>
  <c r="BI918" i="1" l="1"/>
  <c r="BD918" i="1" s="1"/>
  <c r="BH918" i="1"/>
  <c r="BA918" i="1" s="1"/>
  <c r="BG918" i="1"/>
  <c r="AX918" i="1" s="1"/>
  <c r="AT918" i="1" l="1"/>
  <c r="AN919" i="1" s="1"/>
  <c r="AQ919" i="1"/>
  <c r="BB918" i="1"/>
  <c r="AY918" i="1"/>
  <c r="BE918" i="1"/>
  <c r="AU918" i="1" l="1"/>
  <c r="AO919" i="1"/>
  <c r="AR919" i="1"/>
  <c r="BH919" i="1" l="1"/>
  <c r="BA919" i="1" s="1"/>
  <c r="BI919" i="1"/>
  <c r="BD919" i="1" s="1"/>
  <c r="BG919" i="1"/>
  <c r="AX919" i="1" s="1"/>
  <c r="AT919" i="1" l="1"/>
  <c r="AQ920" i="1"/>
  <c r="AN920" i="1"/>
  <c r="AY919" i="1"/>
  <c r="BE919" i="1"/>
  <c r="BB919" i="1"/>
  <c r="AU919" i="1" l="1"/>
  <c r="AR920" i="1" l="1"/>
  <c r="AO920" i="1"/>
  <c r="BG920" i="1" l="1"/>
  <c r="AX920" i="1" s="1"/>
  <c r="BI920" i="1"/>
  <c r="BD920" i="1" s="1"/>
  <c r="BH920" i="1"/>
  <c r="BA920" i="1" s="1"/>
  <c r="AY920" i="1" l="1"/>
  <c r="AT920" i="1"/>
  <c r="BE920" i="1"/>
  <c r="BB920" i="1"/>
  <c r="AN921" i="1" l="1"/>
  <c r="AQ921" i="1"/>
  <c r="AU920" i="1"/>
  <c r="AR921" i="1" l="1"/>
  <c r="AO921" i="1"/>
  <c r="BH921" i="1" s="1"/>
  <c r="BB921" i="1" l="1"/>
  <c r="BA921" i="1"/>
  <c r="BI921" i="1"/>
  <c r="BG921" i="1"/>
  <c r="AY921" i="1" l="1"/>
  <c r="AX921" i="1"/>
  <c r="BE921" i="1"/>
  <c r="BD921" i="1"/>
  <c r="AT921" i="1" l="1"/>
  <c r="AU921" i="1"/>
  <c r="AO922" i="1" l="1"/>
  <c r="AR922" i="1"/>
  <c r="AN922" i="1"/>
  <c r="AQ922" i="1"/>
  <c r="BH922" i="1" l="1"/>
  <c r="BG922" i="1"/>
  <c r="BI922" i="1"/>
  <c r="BD922" i="1" s="1"/>
  <c r="AX922" i="1"/>
  <c r="BA922" i="1"/>
  <c r="BE922" i="1"/>
  <c r="AY922" i="1"/>
  <c r="BB922" i="1"/>
  <c r="AT922" i="1" l="1"/>
  <c r="AU922" i="1"/>
  <c r="AO923" i="1" l="1"/>
  <c r="AR923" i="1"/>
  <c r="AN923" i="1"/>
  <c r="AQ923" i="1"/>
  <c r="BG923" i="1" l="1"/>
  <c r="AY923" i="1" s="1"/>
  <c r="BH923" i="1"/>
  <c r="BB923" i="1" s="1"/>
  <c r="BI923" i="1"/>
  <c r="BE923" i="1" s="1"/>
  <c r="AX923" i="1"/>
  <c r="BD923" i="1" l="1"/>
  <c r="BA923" i="1"/>
  <c r="AU923" i="1"/>
  <c r="AR924" i="1" l="1"/>
  <c r="AO924" i="1"/>
  <c r="AT923" i="1"/>
  <c r="AQ924" i="1" l="1"/>
  <c r="AN924" i="1"/>
  <c r="BI924" i="1" l="1"/>
  <c r="BE924" i="1" s="1"/>
  <c r="BG924" i="1"/>
  <c r="AY924" i="1" s="1"/>
  <c r="BH924" i="1"/>
  <c r="BB924" i="1" s="1"/>
  <c r="AX924" i="1"/>
  <c r="BA924" i="1" l="1"/>
  <c r="BD924" i="1"/>
  <c r="AT924" i="1" s="1"/>
  <c r="AU924" i="1"/>
  <c r="AR925" i="1" l="1"/>
  <c r="AO925" i="1"/>
  <c r="AN925" i="1"/>
  <c r="AQ925" i="1"/>
  <c r="BH925" i="1" l="1"/>
  <c r="BB925" i="1" s="1"/>
  <c r="BA925" i="1"/>
  <c r="BG925" i="1"/>
  <c r="AY925" i="1" s="1"/>
  <c r="BI925" i="1"/>
  <c r="BE925" i="1" s="1"/>
  <c r="BD925" i="1" l="1"/>
  <c r="AU925" i="1"/>
  <c r="AX925" i="1"/>
  <c r="AT925" i="1" s="1"/>
  <c r="AO926" i="1" l="1"/>
  <c r="AR926" i="1"/>
  <c r="AQ926" i="1"/>
  <c r="AN926" i="1"/>
  <c r="BH926" i="1" l="1"/>
  <c r="BB926" i="1" s="1"/>
  <c r="BG926" i="1"/>
  <c r="AY926" i="1" s="1"/>
  <c r="BI926" i="1"/>
  <c r="BE926" i="1" s="1"/>
  <c r="AX926" i="1"/>
  <c r="BD926" i="1" l="1"/>
  <c r="AU926" i="1"/>
  <c r="BA926" i="1"/>
  <c r="AT926" i="1" s="1"/>
  <c r="AN927" i="1" l="1"/>
  <c r="AQ927" i="1"/>
  <c r="AO927" i="1"/>
  <c r="AR927" i="1"/>
  <c r="BG927" i="1" l="1"/>
  <c r="AY927" i="1" s="1"/>
  <c r="BI927" i="1"/>
  <c r="BE927" i="1" s="1"/>
  <c r="BH927" i="1"/>
  <c r="BB927" i="1" s="1"/>
  <c r="BD927" i="1"/>
  <c r="AX927" i="1"/>
  <c r="BA927" i="1" l="1"/>
  <c r="AT927" i="1" s="1"/>
  <c r="AU927" i="1"/>
  <c r="AR928" i="1" l="1"/>
  <c r="AO928" i="1"/>
  <c r="AN928" i="1"/>
  <c r="AQ928" i="1"/>
  <c r="BG928" i="1" l="1"/>
  <c r="AY928" i="1" s="1"/>
  <c r="BI928" i="1"/>
  <c r="BE928" i="1" s="1"/>
  <c r="BH928" i="1"/>
  <c r="BB928" i="1" s="1"/>
  <c r="AX928" i="1" l="1"/>
  <c r="BD928" i="1"/>
  <c r="BA928" i="1"/>
  <c r="AU928" i="1"/>
  <c r="AT928" i="1" l="1"/>
  <c r="AQ929" i="1"/>
  <c r="AN929" i="1"/>
  <c r="AO929" i="1"/>
  <c r="AR929" i="1"/>
  <c r="BI929" i="1" l="1"/>
  <c r="BE929" i="1" s="1"/>
  <c r="BH929" i="1"/>
  <c r="BB929" i="1" s="1"/>
  <c r="BG929" i="1"/>
  <c r="AY929" i="1" s="1"/>
  <c r="BD929" i="1"/>
  <c r="BA929" i="1" l="1"/>
  <c r="AX929" i="1"/>
  <c r="AT929" i="1" s="1"/>
  <c r="AN930" i="1" s="1"/>
  <c r="AU929" i="1"/>
  <c r="AR930" i="1" s="1"/>
  <c r="AO930" i="1"/>
  <c r="AQ930" i="1" l="1"/>
  <c r="BI930" i="1"/>
  <c r="BH930" i="1"/>
  <c r="BG930" i="1"/>
  <c r="AY930" i="1" l="1"/>
  <c r="AX930" i="1"/>
  <c r="BE930" i="1"/>
  <c r="BD930" i="1"/>
  <c r="BB930" i="1"/>
  <c r="BA930" i="1"/>
  <c r="AT930" i="1" l="1"/>
  <c r="AU930" i="1"/>
  <c r="AR931" i="1" l="1"/>
  <c r="AO931" i="1"/>
  <c r="AN931" i="1"/>
  <c r="AQ931" i="1"/>
  <c r="BG931" i="1" l="1"/>
  <c r="AY931" i="1" s="1"/>
  <c r="BI931" i="1"/>
  <c r="BE931" i="1" s="1"/>
  <c r="BH931" i="1"/>
  <c r="BB931" i="1" s="1"/>
  <c r="BD931" i="1"/>
  <c r="AX931" i="1" l="1"/>
  <c r="BA931" i="1"/>
  <c r="AT931" i="1" s="1"/>
  <c r="AN932" i="1" s="1"/>
  <c r="AU931" i="1"/>
  <c r="AQ932" i="1" l="1"/>
  <c r="AO932" i="1"/>
  <c r="AR932" i="1"/>
  <c r="BH932" i="1" l="1"/>
  <c r="BG932" i="1"/>
  <c r="BI932" i="1"/>
  <c r="AY932" i="1" l="1"/>
  <c r="AX932" i="1"/>
  <c r="BE932" i="1"/>
  <c r="BD932" i="1"/>
  <c r="BB932" i="1"/>
  <c r="BA932" i="1"/>
  <c r="AT932" i="1" l="1"/>
  <c r="AU932" i="1"/>
  <c r="AR933" i="1" l="1"/>
  <c r="AO933" i="1"/>
  <c r="AN933" i="1"/>
  <c r="AQ933" i="1"/>
  <c r="BI933" i="1" l="1"/>
  <c r="BE933" i="1" s="1"/>
  <c r="BH933" i="1"/>
  <c r="BB933" i="1" s="1"/>
  <c r="BG933" i="1"/>
  <c r="AY933" i="1" s="1"/>
  <c r="BA933" i="1"/>
  <c r="AX933" i="1" l="1"/>
  <c r="AU933" i="1"/>
  <c r="AO934" i="1" s="1"/>
  <c r="AR934" i="1"/>
  <c r="BD933" i="1"/>
  <c r="AT933" i="1" s="1"/>
  <c r="AQ934" i="1" l="1"/>
  <c r="AN934" i="1"/>
  <c r="BH934" i="1" l="1"/>
  <c r="BB934" i="1" s="1"/>
  <c r="BI934" i="1"/>
  <c r="BE934" i="1" s="1"/>
  <c r="BG934" i="1"/>
  <c r="AY934" i="1" s="1"/>
  <c r="AX934" i="1" l="1"/>
  <c r="AU934" i="1"/>
  <c r="AO935" i="1"/>
  <c r="AR935" i="1"/>
  <c r="BA934" i="1"/>
  <c r="BD934" i="1"/>
  <c r="AT934" i="1" l="1"/>
  <c r="AN935" i="1" s="1"/>
  <c r="AQ935" i="1" l="1"/>
  <c r="BI935" i="1"/>
  <c r="BE935" i="1" s="1"/>
  <c r="BG935" i="1"/>
  <c r="AY935" i="1" s="1"/>
  <c r="BH935" i="1"/>
  <c r="BB935" i="1" s="1"/>
  <c r="BD935" i="1"/>
  <c r="AX935" i="1" l="1"/>
  <c r="AU935" i="1"/>
  <c r="AO936" i="1"/>
  <c r="AR936" i="1"/>
  <c r="BA935" i="1"/>
  <c r="AT935" i="1" s="1"/>
  <c r="AQ936" i="1" l="1"/>
  <c r="AN936" i="1"/>
  <c r="BI936" i="1" l="1"/>
  <c r="BE936" i="1" s="1"/>
  <c r="BG936" i="1"/>
  <c r="AY936" i="1" s="1"/>
  <c r="BD936" i="1"/>
  <c r="BH936" i="1"/>
  <c r="BB936" i="1" s="1"/>
  <c r="AX936" i="1"/>
  <c r="BA936" i="1" l="1"/>
  <c r="AT936" i="1" s="1"/>
  <c r="AQ937" i="1" s="1"/>
  <c r="AN937" i="1"/>
  <c r="AU936" i="1"/>
  <c r="AO937" i="1" l="1"/>
  <c r="AR937" i="1"/>
  <c r="BH937" i="1" l="1"/>
  <c r="BG937" i="1"/>
  <c r="BI937" i="1"/>
  <c r="AY937" i="1" l="1"/>
  <c r="AX937" i="1"/>
  <c r="BE937" i="1"/>
  <c r="BD937" i="1"/>
  <c r="BB937" i="1"/>
  <c r="BA937" i="1"/>
  <c r="AT937" i="1" l="1"/>
  <c r="AU937" i="1"/>
  <c r="AR938" i="1" l="1"/>
  <c r="AO938" i="1"/>
  <c r="AQ938" i="1"/>
  <c r="AN938" i="1"/>
  <c r="BI938" i="1" l="1"/>
  <c r="BE938" i="1" s="1"/>
  <c r="BH938" i="1"/>
  <c r="BB938" i="1" s="1"/>
  <c r="BD938" i="1"/>
  <c r="BG938" i="1"/>
  <c r="AY938" i="1" s="1"/>
  <c r="AX938" i="1" l="1"/>
  <c r="AU938" i="1"/>
  <c r="BA938" i="1"/>
  <c r="AT938" i="1" s="1"/>
  <c r="AN939" i="1" l="1"/>
  <c r="AQ939" i="1"/>
  <c r="AO939" i="1"/>
  <c r="AR939" i="1"/>
  <c r="BI939" i="1" l="1"/>
  <c r="BE939" i="1" s="1"/>
  <c r="BH939" i="1"/>
  <c r="BB939" i="1" s="1"/>
  <c r="BD939" i="1"/>
  <c r="BG939" i="1"/>
  <c r="AY939" i="1" s="1"/>
  <c r="AX939" i="1" l="1"/>
  <c r="BA939" i="1"/>
  <c r="AU939" i="1"/>
  <c r="AR940" i="1" l="1"/>
  <c r="AO940" i="1"/>
  <c r="AT939" i="1"/>
  <c r="AQ940" i="1" l="1"/>
  <c r="AN940" i="1"/>
  <c r="BI940" i="1" l="1"/>
  <c r="BE940" i="1" s="1"/>
  <c r="BG940" i="1"/>
  <c r="AY940" i="1" s="1"/>
  <c r="BH940" i="1"/>
  <c r="BB940" i="1" s="1"/>
  <c r="AX940" i="1"/>
  <c r="BD940" i="1"/>
  <c r="BA940" i="1" l="1"/>
  <c r="AT940" i="1" s="1"/>
  <c r="AU940" i="1"/>
  <c r="AQ941" i="1" l="1"/>
  <c r="AN941" i="1"/>
  <c r="AR941" i="1"/>
  <c r="AO941" i="1"/>
  <c r="BG941" i="1" s="1"/>
  <c r="BH941" i="1" l="1"/>
  <c r="BI941" i="1"/>
  <c r="AY941" i="1"/>
  <c r="AX941" i="1"/>
  <c r="BB941" i="1" l="1"/>
  <c r="BA941" i="1"/>
  <c r="BE941" i="1"/>
  <c r="AU941" i="1" s="1"/>
  <c r="BD941" i="1"/>
  <c r="AT941" i="1" s="1"/>
  <c r="AQ942" i="1" l="1"/>
  <c r="AN942" i="1"/>
  <c r="AR942" i="1"/>
  <c r="AO942" i="1"/>
  <c r="BG942" i="1"/>
  <c r="AY942" i="1" s="1"/>
  <c r="BI942" i="1"/>
  <c r="BE942" i="1" s="1"/>
  <c r="BH942" i="1"/>
  <c r="BB942" i="1" s="1"/>
  <c r="AX942" i="1"/>
  <c r="BD942" i="1"/>
  <c r="BA942" i="1"/>
  <c r="AT942" i="1" l="1"/>
  <c r="AU942" i="1"/>
  <c r="AR943" i="1" l="1"/>
  <c r="AO943" i="1"/>
  <c r="AN943" i="1"/>
  <c r="AQ943" i="1"/>
  <c r="BI943" i="1" l="1"/>
  <c r="BE943" i="1" s="1"/>
  <c r="BH943" i="1"/>
  <c r="BB943" i="1" s="1"/>
  <c r="BD943" i="1"/>
  <c r="BG943" i="1"/>
  <c r="AY943" i="1" s="1"/>
  <c r="AU943" i="1" s="1"/>
  <c r="AR944" i="1" s="1"/>
  <c r="BA943" i="1" l="1"/>
  <c r="AX943" i="1"/>
  <c r="AT943" i="1" s="1"/>
  <c r="AO944" i="1"/>
  <c r="AQ944" i="1" l="1"/>
  <c r="AN944" i="1"/>
  <c r="BH944" i="1" l="1"/>
  <c r="BB944" i="1" s="1"/>
  <c r="BG944" i="1"/>
  <c r="AY944" i="1" s="1"/>
  <c r="BI944" i="1"/>
  <c r="BE944" i="1" s="1"/>
  <c r="BA944" i="1"/>
  <c r="AX944" i="1"/>
  <c r="BD944" i="1" l="1"/>
  <c r="AT944" i="1"/>
  <c r="AN945" i="1" s="1"/>
  <c r="AQ945" i="1"/>
  <c r="AU944" i="1"/>
  <c r="AR945" i="1" l="1"/>
  <c r="AO945" i="1"/>
  <c r="BH945" i="1" l="1"/>
  <c r="BI945" i="1"/>
  <c r="BG945" i="1"/>
  <c r="AY945" i="1" l="1"/>
  <c r="AX945" i="1"/>
  <c r="BB945" i="1"/>
  <c r="BA945" i="1"/>
  <c r="BE945" i="1"/>
  <c r="BD945" i="1"/>
  <c r="AT945" i="1" l="1"/>
  <c r="AU945" i="1"/>
  <c r="AO946" i="1" l="1"/>
  <c r="AR946" i="1"/>
  <c r="AN946" i="1"/>
  <c r="AQ946" i="1"/>
  <c r="BI946" i="1" l="1"/>
  <c r="BE946" i="1" s="1"/>
  <c r="BG946" i="1"/>
  <c r="AY946" i="1" s="1"/>
  <c r="BD946" i="1"/>
  <c r="BH946" i="1"/>
  <c r="BB946" i="1" s="1"/>
  <c r="AX946" i="1"/>
  <c r="BA946" i="1" l="1"/>
  <c r="AT946" i="1" s="1"/>
  <c r="AU946" i="1"/>
  <c r="AQ947" i="1" l="1"/>
  <c r="AN947" i="1"/>
  <c r="AR947" i="1"/>
  <c r="AO947" i="1"/>
  <c r="BI947" i="1"/>
  <c r="BH947" i="1"/>
  <c r="BG947" i="1"/>
  <c r="BA947" i="1" l="1"/>
  <c r="BB947" i="1"/>
  <c r="AX947" i="1"/>
  <c r="AY947" i="1"/>
  <c r="BD947" i="1"/>
  <c r="BE947" i="1"/>
  <c r="AU947" i="1" l="1"/>
  <c r="AT947" i="1"/>
  <c r="AQ948" i="1" l="1"/>
  <c r="AN948" i="1"/>
  <c r="AR948" i="1"/>
  <c r="AO948" i="1"/>
  <c r="BH948" i="1" l="1"/>
  <c r="BA948" i="1" s="1"/>
  <c r="BI948" i="1"/>
  <c r="BD948" i="1" s="1"/>
  <c r="BG948" i="1"/>
  <c r="AX948" i="1" s="1"/>
  <c r="BB948" i="1" l="1"/>
  <c r="AT948" i="1"/>
  <c r="AY948" i="1"/>
  <c r="BE948" i="1"/>
  <c r="AQ949" i="1" l="1"/>
  <c r="AN949" i="1"/>
  <c r="AU948" i="1"/>
  <c r="AR949" i="1" l="1"/>
  <c r="AO949" i="1"/>
  <c r="BG949" i="1"/>
  <c r="AX949" i="1" s="1"/>
  <c r="BI949" i="1"/>
  <c r="BD949" i="1" s="1"/>
  <c r="AY949" i="1" l="1"/>
  <c r="BE949" i="1"/>
  <c r="BH949" i="1"/>
  <c r="BA949" i="1" s="1"/>
  <c r="AT949" i="1" s="1"/>
  <c r="AN950" i="1" l="1"/>
  <c r="AQ950" i="1"/>
  <c r="BB949" i="1"/>
  <c r="AU949" i="1" s="1"/>
  <c r="AO950" i="1" l="1"/>
  <c r="AR950" i="1"/>
  <c r="BG950" i="1"/>
  <c r="AX950" i="1" s="1"/>
  <c r="BI950" i="1"/>
  <c r="BD950" i="1" s="1"/>
  <c r="BH950" i="1"/>
  <c r="BA950" i="1" s="1"/>
  <c r="AT950" i="1" l="1"/>
  <c r="BB950" i="1"/>
  <c r="AY950" i="1"/>
  <c r="BE950" i="1"/>
  <c r="AU950" i="1" l="1"/>
  <c r="AR951" i="1" s="1"/>
  <c r="AO951" i="1"/>
  <c r="AQ951" i="1"/>
  <c r="AN951" i="1"/>
  <c r="BI951" i="1" l="1"/>
  <c r="BE951" i="1" s="1"/>
  <c r="BH951" i="1"/>
  <c r="BB951" i="1" s="1"/>
  <c r="BD951" i="1"/>
  <c r="BG951" i="1"/>
  <c r="AY951" i="1" s="1"/>
  <c r="AU951" i="1" s="1"/>
  <c r="AR952" i="1" s="1"/>
  <c r="BA951" i="1"/>
  <c r="AO952" i="1" l="1"/>
  <c r="AX951" i="1"/>
  <c r="AT951" i="1" s="1"/>
  <c r="AN952" i="1" l="1"/>
  <c r="AQ952" i="1"/>
  <c r="BG952" i="1" l="1"/>
  <c r="AY952" i="1" s="1"/>
  <c r="BH952" i="1"/>
  <c r="BB952" i="1" s="1"/>
  <c r="BI952" i="1"/>
  <c r="BE952" i="1" s="1"/>
  <c r="AX952" i="1"/>
  <c r="BD952" i="1"/>
  <c r="BA952" i="1" l="1"/>
  <c r="AT952" i="1" s="1"/>
  <c r="AU952" i="1"/>
  <c r="AO953" i="1" s="1"/>
  <c r="AR953" i="1"/>
  <c r="AQ953" i="1" l="1"/>
  <c r="AN953" i="1"/>
  <c r="BG953" i="1"/>
  <c r="AY953" i="1" s="1"/>
  <c r="BH953" i="1"/>
  <c r="BB953" i="1" s="1"/>
  <c r="BI953" i="1"/>
  <c r="BE953" i="1" s="1"/>
  <c r="BA953" i="1" l="1"/>
  <c r="BD953" i="1"/>
  <c r="AX953" i="1"/>
  <c r="AT953" i="1" s="1"/>
  <c r="AU953" i="1"/>
  <c r="AQ954" i="1" l="1"/>
  <c r="AN954" i="1"/>
  <c r="AO954" i="1"/>
  <c r="AR954" i="1"/>
  <c r="BI954" i="1" l="1"/>
  <c r="BE954" i="1" s="1"/>
  <c r="BG954" i="1"/>
  <c r="AY954" i="1" s="1"/>
  <c r="BH954" i="1"/>
  <c r="BB954" i="1" s="1"/>
  <c r="BD954" i="1"/>
  <c r="BA954" i="1" l="1"/>
  <c r="AX954" i="1"/>
  <c r="AT954" i="1"/>
  <c r="AU954" i="1"/>
  <c r="AR955" i="1" l="1"/>
  <c r="AO955" i="1"/>
  <c r="AQ955" i="1"/>
  <c r="AN955" i="1"/>
  <c r="BH955" i="1" l="1"/>
  <c r="BB955" i="1" s="1"/>
  <c r="BI955" i="1"/>
  <c r="BE955" i="1" s="1"/>
  <c r="BG955" i="1"/>
  <c r="AY955" i="1" s="1"/>
  <c r="BD955" i="1"/>
  <c r="AX955" i="1"/>
  <c r="BA955" i="1"/>
  <c r="AU955" i="1" l="1"/>
  <c r="AO956" i="1" s="1"/>
  <c r="AR956" i="1"/>
  <c r="AT955" i="1"/>
  <c r="AN956" i="1" l="1"/>
  <c r="AQ956" i="1"/>
  <c r="BH956" i="1" l="1"/>
  <c r="BB956" i="1" s="1"/>
  <c r="BG956" i="1"/>
  <c r="BI956" i="1"/>
  <c r="BE956" i="1" s="1"/>
  <c r="BA956" i="1"/>
  <c r="BD956" i="1" l="1"/>
  <c r="AY956" i="1"/>
  <c r="AU956" i="1" s="1"/>
  <c r="AX956" i="1"/>
  <c r="AT956" i="1" l="1"/>
  <c r="AQ957" i="1"/>
  <c r="AN957" i="1"/>
  <c r="AO957" i="1"/>
  <c r="AR957" i="1"/>
  <c r="BI957" i="1" l="1"/>
  <c r="BG957" i="1"/>
  <c r="BH957" i="1"/>
  <c r="BA957" i="1" l="1"/>
  <c r="BB957" i="1"/>
  <c r="AY957" i="1"/>
  <c r="AX957" i="1"/>
  <c r="BE957" i="1"/>
  <c r="BD957" i="1"/>
  <c r="AT957" i="1" l="1"/>
  <c r="AU957" i="1"/>
  <c r="AN958" i="1" l="1"/>
  <c r="AQ958" i="1"/>
  <c r="AR958" i="1"/>
  <c r="AO958" i="1"/>
  <c r="BH958" i="1" l="1"/>
  <c r="BG958" i="1"/>
  <c r="BI958" i="1"/>
  <c r="BE958" i="1" l="1"/>
  <c r="BD958" i="1"/>
  <c r="AY958" i="1"/>
  <c r="AX958" i="1"/>
  <c r="BB958" i="1"/>
  <c r="BA958" i="1"/>
  <c r="AT958" i="1" l="1"/>
  <c r="AU958" i="1"/>
  <c r="AR959" i="1" l="1"/>
  <c r="AO959" i="1"/>
  <c r="AN959" i="1"/>
  <c r="AQ959" i="1"/>
  <c r="BH959" i="1" l="1"/>
  <c r="BB959" i="1" s="1"/>
  <c r="BI959" i="1"/>
  <c r="BE959" i="1" s="1"/>
  <c r="BG959" i="1"/>
  <c r="AY959" i="1" s="1"/>
  <c r="AU959" i="1" s="1"/>
  <c r="AO960" i="1" s="1"/>
  <c r="BD959" i="1" l="1"/>
  <c r="BA959" i="1"/>
  <c r="AX959" i="1"/>
  <c r="AT959" i="1" s="1"/>
  <c r="AR960" i="1"/>
  <c r="AQ960" i="1" l="1"/>
  <c r="AN960" i="1"/>
  <c r="BH960" i="1" l="1"/>
  <c r="BB960" i="1" s="1"/>
  <c r="BG960" i="1"/>
  <c r="AY960" i="1" s="1"/>
  <c r="BI960" i="1"/>
  <c r="BE960" i="1" s="1"/>
  <c r="AX960" i="1"/>
  <c r="BA960" i="1"/>
  <c r="BD960" i="1" l="1"/>
  <c r="AT960" i="1" s="1"/>
  <c r="AU960" i="1"/>
  <c r="AN961" i="1" l="1"/>
  <c r="AQ961" i="1"/>
  <c r="AR961" i="1"/>
  <c r="AO961" i="1"/>
  <c r="BG961" i="1"/>
  <c r="AX961" i="1" s="1"/>
  <c r="BH961" i="1"/>
  <c r="BA961" i="1" s="1"/>
  <c r="BI961" i="1"/>
  <c r="BD961" i="1" s="1"/>
  <c r="AT961" i="1" l="1"/>
  <c r="BB961" i="1"/>
  <c r="BE961" i="1"/>
  <c r="AY961" i="1"/>
  <c r="AU961" i="1" l="1"/>
  <c r="AR962" i="1"/>
  <c r="AO962" i="1"/>
  <c r="AN962" i="1"/>
  <c r="AQ962" i="1"/>
  <c r="BI962" i="1" l="1"/>
  <c r="BE962" i="1" s="1"/>
  <c r="BG962" i="1"/>
  <c r="AY962" i="1" s="1"/>
  <c r="BH962" i="1"/>
  <c r="BB962" i="1" s="1"/>
  <c r="AX962" i="1"/>
  <c r="BD962" i="1"/>
  <c r="BA962" i="1" l="1"/>
  <c r="AT962" i="1"/>
  <c r="AU962" i="1"/>
  <c r="AO963" i="1" l="1"/>
  <c r="AR963" i="1"/>
  <c r="AN963" i="1"/>
  <c r="AQ963" i="1"/>
  <c r="BG963" i="1" l="1"/>
  <c r="AY963" i="1" s="1"/>
  <c r="BI963" i="1"/>
  <c r="BH963" i="1"/>
  <c r="BB963" i="1" s="1"/>
  <c r="AX963" i="1"/>
  <c r="BA963" i="1" l="1"/>
  <c r="BE963" i="1"/>
  <c r="BD963" i="1"/>
  <c r="AT963" i="1" s="1"/>
  <c r="AU963" i="1"/>
  <c r="AQ964" i="1" l="1"/>
  <c r="AN964" i="1"/>
  <c r="AO964" i="1"/>
  <c r="AR964" i="1"/>
  <c r="BG964" i="1" l="1"/>
  <c r="BH964" i="1"/>
  <c r="BI964" i="1"/>
  <c r="BE964" i="1" l="1"/>
  <c r="BD964" i="1"/>
  <c r="BB964" i="1"/>
  <c r="BA964" i="1"/>
  <c r="AY964" i="1"/>
  <c r="AU964" i="1" s="1"/>
  <c r="AX964" i="1"/>
  <c r="AT964" i="1" s="1"/>
  <c r="AQ965" i="1" l="1"/>
  <c r="AN965" i="1"/>
  <c r="AR965" i="1"/>
  <c r="AO965" i="1"/>
  <c r="BH965" i="1" l="1"/>
  <c r="BI965" i="1"/>
  <c r="BG965" i="1"/>
  <c r="AY965" i="1" s="1"/>
  <c r="BE965" i="1" l="1"/>
  <c r="BD965" i="1"/>
  <c r="AX965" i="1"/>
  <c r="BB965" i="1"/>
  <c r="AU965" i="1" s="1"/>
  <c r="BA965" i="1"/>
  <c r="AO966" i="1" l="1"/>
  <c r="AR966" i="1"/>
  <c r="AT965" i="1"/>
  <c r="AQ966" i="1" l="1"/>
  <c r="AN966" i="1"/>
  <c r="BG966" i="1" l="1"/>
  <c r="AY966" i="1" s="1"/>
  <c r="BH966" i="1"/>
  <c r="BB966" i="1" s="1"/>
  <c r="BI966" i="1"/>
  <c r="BE966" i="1" s="1"/>
  <c r="BA966" i="1"/>
  <c r="AX966" i="1"/>
  <c r="BD966" i="1" l="1"/>
  <c r="AT966" i="1" s="1"/>
  <c r="AU966" i="1"/>
  <c r="AQ967" i="1" l="1"/>
  <c r="AN967" i="1"/>
  <c r="AR967" i="1"/>
  <c r="AO967" i="1"/>
  <c r="BH967" i="1" s="1"/>
  <c r="BI967" i="1" l="1"/>
  <c r="BG967" i="1"/>
  <c r="BB967" i="1"/>
  <c r="BA967" i="1"/>
  <c r="BE967" i="1" l="1"/>
  <c r="BD967" i="1"/>
  <c r="AY967" i="1"/>
  <c r="AU967" i="1" s="1"/>
  <c r="AX967" i="1"/>
  <c r="AT967" i="1" s="1"/>
  <c r="AQ968" i="1" l="1"/>
  <c r="AN968" i="1"/>
  <c r="AR968" i="1"/>
  <c r="AO968" i="1"/>
  <c r="BG968" i="1" s="1"/>
  <c r="BH968" i="1"/>
  <c r="BB968" i="1" s="1"/>
  <c r="BI968" i="1"/>
  <c r="BE968" i="1" s="1"/>
  <c r="BA968" i="1"/>
  <c r="AY968" i="1" l="1"/>
  <c r="AX968" i="1"/>
  <c r="BD968" i="1"/>
  <c r="AU968" i="1"/>
  <c r="AT968" i="1" l="1"/>
  <c r="AQ969" i="1"/>
  <c r="AN969" i="1"/>
  <c r="AO969" i="1"/>
  <c r="AR969" i="1"/>
  <c r="BH969" i="1" l="1"/>
  <c r="BG969" i="1"/>
  <c r="BI969" i="1"/>
  <c r="BE969" i="1" s="1"/>
  <c r="BD969" i="1" l="1"/>
  <c r="AY969" i="1"/>
  <c r="AX969" i="1"/>
  <c r="BB969" i="1"/>
  <c r="BA969" i="1"/>
  <c r="AT969" i="1" l="1"/>
  <c r="AU969" i="1"/>
  <c r="AR970" i="1" l="1"/>
  <c r="AO970" i="1"/>
  <c r="AN970" i="1"/>
  <c r="AQ970" i="1"/>
  <c r="BH970" i="1" l="1"/>
  <c r="BI970" i="1"/>
  <c r="BG970" i="1"/>
  <c r="AY970" i="1" l="1"/>
  <c r="AX970" i="1"/>
  <c r="BE970" i="1"/>
  <c r="BD970" i="1"/>
  <c r="BB970" i="1"/>
  <c r="BA970" i="1"/>
  <c r="AT970" i="1" l="1"/>
  <c r="AN971" i="1"/>
  <c r="AQ971" i="1"/>
  <c r="AU970" i="1"/>
  <c r="AO971" i="1" l="1"/>
  <c r="AR971" i="1"/>
  <c r="BG971" i="1"/>
  <c r="AY971" i="1" s="1"/>
  <c r="BI971" i="1"/>
  <c r="AX971" i="1"/>
  <c r="BH971" i="1"/>
  <c r="BB971" i="1" l="1"/>
  <c r="BA971" i="1"/>
  <c r="BE971" i="1"/>
  <c r="BD971" i="1"/>
  <c r="AU971" i="1" l="1"/>
  <c r="AR972" i="1"/>
  <c r="AO972" i="1"/>
  <c r="AT971" i="1"/>
  <c r="AN972" i="1" l="1"/>
  <c r="AQ972" i="1"/>
  <c r="BH972" i="1" l="1"/>
  <c r="BB972" i="1" s="1"/>
  <c r="BG972" i="1"/>
  <c r="BI972" i="1"/>
  <c r="BA972" i="1"/>
  <c r="BE972" i="1" l="1"/>
  <c r="BD972" i="1"/>
  <c r="AY972" i="1"/>
  <c r="AU972" i="1" s="1"/>
  <c r="AX972" i="1"/>
  <c r="AT972" i="1" s="1"/>
  <c r="AO973" i="1" l="1"/>
  <c r="AR973" i="1"/>
  <c r="AN973" i="1"/>
  <c r="AQ973" i="1"/>
  <c r="BH973" i="1" l="1"/>
  <c r="BB973" i="1" s="1"/>
  <c r="BG973" i="1"/>
  <c r="BI973" i="1"/>
  <c r="BA973" i="1" l="1"/>
  <c r="BE973" i="1"/>
  <c r="BD973" i="1"/>
  <c r="AY973" i="1"/>
  <c r="AU973" i="1" s="1"/>
  <c r="AX973" i="1"/>
  <c r="AT973" i="1" s="1"/>
  <c r="AN974" i="1" l="1"/>
  <c r="AQ974" i="1"/>
  <c r="AR974" i="1"/>
  <c r="AO974" i="1"/>
  <c r="BI974" i="1" l="1"/>
  <c r="BE974" i="1" s="1"/>
  <c r="BH974" i="1"/>
  <c r="BB974" i="1" s="1"/>
  <c r="BG974" i="1"/>
  <c r="BA974" i="1"/>
  <c r="BD974" i="1" l="1"/>
  <c r="AY974" i="1"/>
  <c r="AU974" i="1" s="1"/>
  <c r="AX974" i="1"/>
  <c r="AT974" i="1" s="1"/>
  <c r="AQ975" i="1" l="1"/>
  <c r="AN975" i="1"/>
  <c r="AR975" i="1"/>
  <c r="AO975" i="1"/>
  <c r="BG975" i="1" l="1"/>
  <c r="AY975" i="1" s="1"/>
  <c r="BH975" i="1"/>
  <c r="BB975" i="1" s="1"/>
  <c r="AX975" i="1"/>
  <c r="BI975" i="1"/>
  <c r="BE975" i="1" s="1"/>
  <c r="BA975" i="1" l="1"/>
  <c r="BD975" i="1"/>
  <c r="AT975" i="1" s="1"/>
  <c r="AU975" i="1"/>
  <c r="AQ976" i="1" l="1"/>
  <c r="AN976" i="1"/>
  <c r="AO976" i="1"/>
  <c r="AR976" i="1"/>
  <c r="BH976" i="1" l="1"/>
  <c r="BA976" i="1" s="1"/>
  <c r="BI976" i="1"/>
  <c r="BD976" i="1" s="1"/>
  <c r="BG976" i="1"/>
  <c r="AX976" i="1" s="1"/>
  <c r="AT976" i="1" l="1"/>
  <c r="AQ977" i="1"/>
  <c r="AN977" i="1"/>
  <c r="BB976" i="1"/>
  <c r="BE976" i="1"/>
  <c r="AY976" i="1"/>
  <c r="AU976" i="1" l="1"/>
  <c r="AR977" i="1" l="1"/>
  <c r="AO977" i="1"/>
  <c r="BI977" i="1" l="1"/>
  <c r="BD977" i="1" s="1"/>
  <c r="BH977" i="1"/>
  <c r="BA977" i="1" s="1"/>
  <c r="BE977" i="1"/>
  <c r="BG977" i="1"/>
  <c r="AX977" i="1" s="1"/>
  <c r="AT977" i="1" s="1"/>
  <c r="BB977" i="1"/>
  <c r="AY977" i="1" l="1"/>
  <c r="AU977" i="1" s="1"/>
  <c r="AR978" i="1" s="1"/>
  <c r="AO978" i="1"/>
  <c r="AQ978" i="1"/>
  <c r="AN978" i="1"/>
  <c r="BH978" i="1" l="1"/>
  <c r="BA978" i="1" s="1"/>
  <c r="BI978" i="1"/>
  <c r="BD978" i="1" s="1"/>
  <c r="BG978" i="1"/>
  <c r="BB978" i="1"/>
  <c r="BE978" i="1"/>
  <c r="AX978" i="1" l="1"/>
  <c r="AT978" i="1" s="1"/>
  <c r="AY978" i="1"/>
  <c r="AU978" i="1" s="1"/>
  <c r="AR979" i="1" l="1"/>
  <c r="AO979" i="1"/>
  <c r="AQ979" i="1"/>
  <c r="AN979" i="1"/>
  <c r="BG979" i="1" l="1"/>
  <c r="AX979" i="1" s="1"/>
  <c r="BI979" i="1"/>
  <c r="BD979" i="1" s="1"/>
  <c r="BH979" i="1"/>
  <c r="BA979" i="1" s="1"/>
  <c r="BB979" i="1"/>
  <c r="AY979" i="1"/>
  <c r="BE979" i="1" l="1"/>
  <c r="AU979" i="1"/>
  <c r="AT979" i="1"/>
  <c r="AQ980" i="1" l="1"/>
  <c r="AN980" i="1"/>
  <c r="AO980" i="1"/>
  <c r="AR980" i="1"/>
  <c r="BG980" i="1" l="1"/>
  <c r="BI980" i="1"/>
  <c r="BH980" i="1"/>
  <c r="BD980" i="1" l="1"/>
  <c r="BE980" i="1"/>
  <c r="BA980" i="1"/>
  <c r="BB980" i="1"/>
  <c r="AX980" i="1"/>
  <c r="AY980" i="1"/>
  <c r="AU980" i="1" s="1"/>
  <c r="AO981" i="1" s="1"/>
  <c r="AT980" i="1" l="1"/>
  <c r="AR981" i="1"/>
  <c r="AN981" i="1"/>
  <c r="AQ981" i="1"/>
  <c r="BH981" i="1"/>
  <c r="BA981" i="1" s="1"/>
  <c r="BG981" i="1"/>
  <c r="AX981" i="1" s="1"/>
  <c r="BI981" i="1"/>
  <c r="BD981" i="1" s="1"/>
  <c r="BB981" i="1" l="1"/>
  <c r="AT981" i="1"/>
  <c r="AQ982" i="1"/>
  <c r="AN982" i="1"/>
  <c r="AY981" i="1"/>
  <c r="BE981" i="1"/>
  <c r="AU981" i="1" l="1"/>
  <c r="AO982" i="1"/>
  <c r="AR982" i="1"/>
  <c r="BG982" i="1"/>
  <c r="AX982" i="1" s="1"/>
  <c r="BI982" i="1"/>
  <c r="BD982" i="1" s="1"/>
  <c r="BH982" i="1"/>
  <c r="BA982" i="1" s="1"/>
  <c r="AT982" i="1" l="1"/>
  <c r="AY982" i="1"/>
  <c r="BB982" i="1"/>
  <c r="BE982" i="1"/>
  <c r="AU982" i="1" l="1"/>
  <c r="AN983" i="1"/>
  <c r="AQ983" i="1"/>
  <c r="AR983" i="1" l="1"/>
  <c r="AO983" i="1"/>
  <c r="BG983" i="1" s="1"/>
  <c r="AY983" i="1" l="1"/>
  <c r="AX983" i="1"/>
  <c r="BI983" i="1"/>
  <c r="BH983" i="1"/>
  <c r="BB983" i="1" l="1"/>
  <c r="BA983" i="1"/>
  <c r="BE983" i="1"/>
  <c r="BD983" i="1"/>
  <c r="AU983" i="1" l="1"/>
  <c r="AT983" i="1"/>
  <c r="AR984" i="1"/>
  <c r="AO984" i="1"/>
  <c r="AQ984" i="1"/>
  <c r="AN984" i="1"/>
  <c r="BG984" i="1" l="1"/>
  <c r="AY984" i="1" s="1"/>
  <c r="BI984" i="1"/>
  <c r="BE984" i="1" s="1"/>
  <c r="BH984" i="1"/>
  <c r="BB984" i="1" s="1"/>
  <c r="BD984" i="1"/>
  <c r="BA984" i="1"/>
  <c r="AX984" i="1" l="1"/>
  <c r="AT984" i="1" s="1"/>
  <c r="AU984" i="1"/>
  <c r="AO985" i="1" l="1"/>
  <c r="AR985" i="1"/>
  <c r="AN985" i="1"/>
  <c r="AQ985" i="1"/>
  <c r="BG985" i="1" l="1"/>
  <c r="AY985" i="1" s="1"/>
  <c r="BI985" i="1"/>
  <c r="BE985" i="1" s="1"/>
  <c r="BH985" i="1"/>
  <c r="BB985" i="1" s="1"/>
  <c r="BA985" i="1" l="1"/>
  <c r="BD985" i="1"/>
  <c r="AX985" i="1"/>
  <c r="AT985" i="1" s="1"/>
  <c r="AU985" i="1"/>
  <c r="AR986" i="1" l="1"/>
  <c r="AO986" i="1"/>
  <c r="AQ986" i="1"/>
  <c r="AN986" i="1"/>
  <c r="BI986" i="1" l="1"/>
  <c r="BD986" i="1" s="1"/>
  <c r="BH986" i="1"/>
  <c r="BA986" i="1" s="1"/>
  <c r="BG986" i="1"/>
  <c r="AX986" i="1" s="1"/>
  <c r="BE986" i="1"/>
  <c r="BB986" i="1" l="1"/>
  <c r="AY986" i="1"/>
  <c r="AT986" i="1"/>
  <c r="AN987" i="1" s="1"/>
  <c r="AU986" i="1"/>
  <c r="AQ987" i="1" l="1"/>
  <c r="AO987" i="1"/>
  <c r="AR987" i="1"/>
  <c r="BH987" i="1" l="1"/>
  <c r="BA987" i="1" s="1"/>
  <c r="BI987" i="1"/>
  <c r="BD987" i="1" s="1"/>
  <c r="BG987" i="1"/>
  <c r="AX987" i="1" s="1"/>
  <c r="AT987" i="1" l="1"/>
  <c r="AN988" i="1"/>
  <c r="AQ988" i="1"/>
  <c r="AY987" i="1"/>
  <c r="BB987" i="1"/>
  <c r="BE987" i="1"/>
  <c r="AU987" i="1" l="1"/>
  <c r="AR988" i="1" l="1"/>
  <c r="AO988" i="1"/>
  <c r="BG988" i="1" l="1"/>
  <c r="AX988" i="1" s="1"/>
  <c r="BI988" i="1"/>
  <c r="BD988" i="1" s="1"/>
  <c r="BH988" i="1"/>
  <c r="BA988" i="1" s="1"/>
  <c r="AT988" i="1" l="1"/>
  <c r="AY988" i="1"/>
  <c r="BE988" i="1"/>
  <c r="BB988" i="1"/>
  <c r="AU988" i="1" l="1"/>
  <c r="AQ989" i="1"/>
  <c r="AN989" i="1"/>
  <c r="AO989" i="1" l="1"/>
  <c r="BG989" i="1" s="1"/>
  <c r="AR989" i="1"/>
  <c r="AY989" i="1" l="1"/>
  <c r="AX989" i="1"/>
  <c r="BI989" i="1"/>
  <c r="BH989" i="1"/>
  <c r="BE989" i="1" l="1"/>
  <c r="BD989" i="1"/>
  <c r="BB989" i="1"/>
  <c r="AU989" i="1" s="1"/>
  <c r="BA989" i="1"/>
  <c r="AT989" i="1" s="1"/>
  <c r="AQ990" i="1" l="1"/>
  <c r="AN990" i="1"/>
  <c r="AR990" i="1"/>
  <c r="AO990" i="1"/>
  <c r="BH990" i="1" l="1"/>
  <c r="BB990" i="1" s="1"/>
  <c r="BG990" i="1"/>
  <c r="AY990" i="1" s="1"/>
  <c r="BI990" i="1"/>
  <c r="BE990" i="1" s="1"/>
  <c r="AX990" i="1" l="1"/>
  <c r="BA990" i="1"/>
  <c r="AU990" i="1"/>
  <c r="AO991" i="1" s="1"/>
  <c r="BD990" i="1"/>
  <c r="AT990" i="1" s="1"/>
  <c r="AR991" i="1"/>
  <c r="AN991" i="1" l="1"/>
  <c r="AQ991" i="1"/>
  <c r="BH991" i="1" l="1"/>
  <c r="BB991" i="1" s="1"/>
  <c r="BI991" i="1"/>
  <c r="BE991" i="1" s="1"/>
  <c r="BG991" i="1"/>
  <c r="AY991" i="1" s="1"/>
  <c r="BA991" i="1"/>
  <c r="BD991" i="1"/>
  <c r="AU991" i="1" l="1"/>
  <c r="AO992" i="1"/>
  <c r="AR992" i="1"/>
  <c r="AX991" i="1"/>
  <c r="AT991" i="1" s="1"/>
  <c r="AQ992" i="1" l="1"/>
  <c r="AN992" i="1"/>
  <c r="BH992" i="1" l="1"/>
  <c r="BG992" i="1"/>
  <c r="BI992" i="1"/>
  <c r="AX992" i="1" l="1"/>
  <c r="AY992" i="1"/>
  <c r="BD992" i="1"/>
  <c r="BE992" i="1"/>
  <c r="BA992" i="1"/>
  <c r="BB992" i="1"/>
  <c r="AU992" i="1" l="1"/>
  <c r="AT992" i="1"/>
  <c r="AQ993" i="1" l="1"/>
  <c r="AN993" i="1"/>
  <c r="AR993" i="1"/>
  <c r="AO993" i="1"/>
  <c r="BH993" i="1" l="1"/>
  <c r="BA993" i="1" s="1"/>
  <c r="BI993" i="1"/>
  <c r="BD993" i="1" s="1"/>
  <c r="BG993" i="1"/>
  <c r="AX993" i="1" s="1"/>
  <c r="AT993" i="1" l="1"/>
  <c r="AN994" i="1" s="1"/>
  <c r="AY993" i="1"/>
  <c r="BB993" i="1"/>
  <c r="BE993" i="1"/>
  <c r="AQ994" i="1" l="1"/>
  <c r="AU993" i="1"/>
  <c r="AR994" i="1" l="1"/>
  <c r="AO994" i="1"/>
  <c r="BI994" i="1" l="1"/>
  <c r="BD994" i="1" s="1"/>
  <c r="BG994" i="1"/>
  <c r="AX994" i="1" s="1"/>
  <c r="BH994" i="1"/>
  <c r="BA994" i="1" s="1"/>
  <c r="BB994" i="1" l="1"/>
  <c r="AT994" i="1"/>
  <c r="BE994" i="1"/>
  <c r="AY994" i="1"/>
  <c r="AU994" i="1" l="1"/>
  <c r="AO995" i="1"/>
  <c r="AR995" i="1"/>
  <c r="AQ995" i="1"/>
  <c r="AN995" i="1"/>
  <c r="BG995" i="1" l="1"/>
  <c r="AY995" i="1" s="1"/>
  <c r="BH995" i="1"/>
  <c r="BA995" i="1" s="1"/>
  <c r="BI995" i="1"/>
  <c r="BD995" i="1"/>
  <c r="BB995" i="1"/>
  <c r="BE995" i="1"/>
  <c r="AX995" i="1" l="1"/>
  <c r="AU995" i="1"/>
  <c r="AT995" i="1"/>
  <c r="AN996" i="1" l="1"/>
  <c r="AQ996" i="1"/>
  <c r="AO996" i="1"/>
  <c r="AR996" i="1"/>
  <c r="BH996" i="1" l="1"/>
  <c r="BB996" i="1" s="1"/>
  <c r="BG996" i="1"/>
  <c r="AY996" i="1" s="1"/>
  <c r="BI996" i="1"/>
  <c r="BE996" i="1" s="1"/>
  <c r="AU996" i="1" l="1"/>
  <c r="AR997" i="1" s="1"/>
  <c r="BD996" i="1"/>
  <c r="AX996" i="1"/>
  <c r="BA996" i="1"/>
  <c r="AO997" i="1" l="1"/>
  <c r="AT996" i="1"/>
  <c r="AQ997" i="1" l="1"/>
  <c r="AN997" i="1"/>
  <c r="BG997" i="1" l="1"/>
  <c r="AY997" i="1" s="1"/>
  <c r="BH997" i="1"/>
  <c r="BB997" i="1" s="1"/>
  <c r="BI997" i="1"/>
  <c r="BE997" i="1" s="1"/>
  <c r="BA997" i="1" l="1"/>
  <c r="BD997" i="1"/>
  <c r="AU997" i="1"/>
  <c r="AX997" i="1"/>
  <c r="AT997" i="1" l="1"/>
  <c r="AN998" i="1"/>
  <c r="AQ998" i="1"/>
  <c r="AR998" i="1"/>
  <c r="AO998" i="1"/>
  <c r="BG998" i="1" l="1"/>
  <c r="AX998" i="1" s="1"/>
  <c r="BI998" i="1"/>
  <c r="BD998" i="1" s="1"/>
  <c r="BH998" i="1"/>
  <c r="BA998" i="1" s="1"/>
  <c r="AT998" i="1" l="1"/>
  <c r="AQ999" i="1" s="1"/>
  <c r="BB998" i="1"/>
  <c r="AY998" i="1"/>
  <c r="BE998" i="1"/>
  <c r="AN999" i="1" l="1"/>
  <c r="AU998" i="1"/>
  <c r="AR999" i="1" l="1"/>
  <c r="AO999" i="1"/>
  <c r="BI999" i="1" l="1"/>
  <c r="BD999" i="1" s="1"/>
  <c r="BH999" i="1"/>
  <c r="BA999" i="1" s="1"/>
  <c r="BG999" i="1"/>
  <c r="AX999" i="1" s="1"/>
  <c r="AT999" i="1" l="1"/>
  <c r="BE999" i="1"/>
  <c r="AQ1000" i="1"/>
  <c r="AN1000" i="1"/>
  <c r="AY999" i="1"/>
  <c r="BB999" i="1"/>
  <c r="AU999" i="1" l="1"/>
  <c r="AO1000" i="1"/>
  <c r="AR1000" i="1"/>
  <c r="BG1000" i="1"/>
  <c r="AY1000" i="1" s="1"/>
  <c r="BH1000" i="1"/>
  <c r="BB1000" i="1" s="1"/>
  <c r="BI1000" i="1"/>
  <c r="BE1000" i="1" s="1"/>
  <c r="AX1000" i="1"/>
  <c r="BA1000" i="1"/>
  <c r="BD1000" i="1" l="1"/>
  <c r="AT1000" i="1"/>
  <c r="AQ1001" i="1" s="1"/>
  <c r="AU1000" i="1"/>
  <c r="AR1001" i="1" s="1"/>
  <c r="AO1001" i="1" l="1"/>
  <c r="AN1001" i="1"/>
  <c r="BH1001" i="1"/>
  <c r="BI1001" i="1"/>
  <c r="BG1001" i="1"/>
  <c r="AY1001" i="1" l="1"/>
  <c r="AX1001" i="1"/>
  <c r="BE1001" i="1"/>
  <c r="BD1001" i="1"/>
  <c r="BB1001" i="1"/>
  <c r="BA1001" i="1"/>
  <c r="AT1001" i="1" l="1"/>
  <c r="AU1001" i="1"/>
  <c r="AR1002" i="1" l="1"/>
  <c r="AO1002" i="1"/>
  <c r="AQ1002" i="1"/>
  <c r="AN1002" i="1"/>
  <c r="BG1002" i="1" l="1"/>
  <c r="AY1002" i="1" s="1"/>
  <c r="BI1002" i="1"/>
  <c r="BE1002" i="1" s="1"/>
  <c r="BH1002" i="1"/>
  <c r="BB1002" i="1" s="1"/>
  <c r="AX1002" i="1"/>
  <c r="BD1002" i="1"/>
  <c r="BA1002" i="1" l="1"/>
  <c r="AU1002" i="1"/>
  <c r="AT1002" i="1"/>
  <c r="AQ1003" i="1" l="1"/>
  <c r="AN1003" i="1"/>
  <c r="AO1003" i="1"/>
  <c r="AR1003" i="1"/>
  <c r="BG1003" i="1" l="1"/>
  <c r="AX1003" i="1" s="1"/>
  <c r="BI1003" i="1"/>
  <c r="BD1003" i="1" s="1"/>
  <c r="BH1003" i="1"/>
  <c r="BA1003" i="1" s="1"/>
  <c r="AT1003" i="1" l="1"/>
  <c r="BB1003" i="1"/>
  <c r="AY1003" i="1"/>
  <c r="BE1003" i="1"/>
  <c r="AU1003" i="1" l="1"/>
  <c r="AN1004" i="1"/>
  <c r="AQ1004" i="1"/>
  <c r="B3" i="2" l="1"/>
  <c r="AR1004" i="1"/>
  <c r="AO1004" i="1"/>
  <c r="C3" i="2" s="1"/>
  <c r="BI1004" i="1" l="1"/>
  <c r="BG1004" i="1"/>
  <c r="BH1004" i="1"/>
  <c r="BB1004" i="1" l="1"/>
  <c r="BA1004" i="1"/>
  <c r="AY1004" i="1"/>
  <c r="AX1004" i="1"/>
  <c r="BE1004" i="1"/>
  <c r="BD1004" i="1"/>
  <c r="AT1004" i="1" l="1"/>
  <c r="AU1004" i="1"/>
</calcChain>
</file>

<file path=xl/sharedStrings.xml><?xml version="1.0" encoding="utf-8"?>
<sst xmlns="http://schemas.openxmlformats.org/spreadsheetml/2006/main" count="129" uniqueCount="84">
  <si>
    <t xml:space="preserve">parametres génereaux </t>
  </si>
  <si>
    <t>Bsae de temps</t>
  </si>
  <si>
    <t>ratio de la constante d’Aarseth</t>
  </si>
  <si>
    <t>paramètres du corps en mouvement</t>
  </si>
  <si>
    <t>la masse</t>
  </si>
  <si>
    <t>la position initiale en x et y</t>
  </si>
  <si>
    <t>la vitesse initiale en x et y</t>
  </si>
  <si>
    <t>l’accélération initiale en x et y</t>
  </si>
  <si>
    <t>le rayon de la sphère représentant le corps</t>
  </si>
  <si>
    <t>la position en x et y</t>
  </si>
  <si>
    <t>la masse volumique moyenne du corps</t>
  </si>
  <si>
    <t>le volume</t>
  </si>
  <si>
    <t>la masse totale</t>
  </si>
  <si>
    <t>la constante d’Aarseth</t>
  </si>
  <si>
    <t>Les paramètres pour les corps statiques</t>
  </si>
  <si>
    <t>t</t>
  </si>
  <si>
    <t>m</t>
  </si>
  <si>
    <t>Λ</t>
  </si>
  <si>
    <t>Corps 1</t>
  </si>
  <si>
    <t>mètre</t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</si>
  <si>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</si>
  <si>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2xy</t>
    </r>
  </si>
  <si>
    <r>
      <t xml:space="preserve">ρ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</si>
  <si>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</si>
  <si>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</si>
  <si>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</si>
  <si>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5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</si>
  <si>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5</t>
    </r>
  </si>
  <si>
    <t>gramme</t>
  </si>
  <si>
    <t>Corps 2</t>
  </si>
  <si>
    <t>seconde</t>
  </si>
  <si>
    <t>mètre/seconde</t>
  </si>
  <si>
    <t>-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</si>
  <si>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5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</si>
  <si>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</si>
  <si>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1xy</t>
    </r>
  </si>
  <si>
    <r>
      <t xml:space="preserve">ρ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</si>
  <si>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</si>
  <si>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</si>
  <si>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</si>
  <si>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3xy</t>
    </r>
  </si>
  <si>
    <r>
      <t xml:space="preserve">ρ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</si>
  <si>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</si>
  <si>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</si>
  <si>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</si>
  <si>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</si>
  <si>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scheme val="minor"/>
      </rPr>
      <t>x,y</t>
    </r>
  </si>
  <si>
    <r>
      <t>v</t>
    </r>
    <r>
      <rPr>
        <vertAlign val="subscript"/>
        <sz val="11"/>
        <color theme="1"/>
        <rFont val="Calibri"/>
        <family val="2"/>
        <scheme val="minor"/>
      </rPr>
      <t>x,y</t>
    </r>
  </si>
  <si>
    <r>
      <t>a</t>
    </r>
    <r>
      <rPr>
        <vertAlign val="subscript"/>
        <sz val="11"/>
        <color theme="1"/>
        <rFont val="Calibri"/>
        <family val="2"/>
        <scheme val="minor"/>
      </rPr>
      <t>x,y</t>
    </r>
  </si>
  <si>
    <t>Corps 3</t>
  </si>
  <si>
    <t>px</t>
  </si>
  <si>
    <t>py</t>
  </si>
  <si>
    <t>temps</t>
  </si>
  <si>
    <t>vx</t>
  </si>
  <si>
    <t>vy</t>
  </si>
  <si>
    <t>p1</t>
  </si>
  <si>
    <t>x</t>
  </si>
  <si>
    <t>y</t>
  </si>
  <si>
    <t>p2</t>
  </si>
  <si>
    <t>p3</t>
  </si>
  <si>
    <t>l'itteration</t>
  </si>
  <si>
    <t>num</t>
  </si>
  <si>
    <t>initial</t>
  </si>
  <si>
    <t>final</t>
  </si>
  <si>
    <t>courent</t>
  </si>
  <si>
    <t>dimantion du vaiseau</t>
  </si>
  <si>
    <t>s</t>
  </si>
  <si>
    <t>angle</t>
  </si>
  <si>
    <t>pxj</t>
  </si>
  <si>
    <t>pyj</t>
  </si>
  <si>
    <t>vxj</t>
  </si>
  <si>
    <t>vyj</t>
  </si>
  <si>
    <t>position vaisseau</t>
  </si>
  <si>
    <t>dimmention</t>
  </si>
  <si>
    <t xml:space="preserve"> + angle</t>
  </si>
  <si>
    <t>position</t>
  </si>
  <si>
    <t>axj</t>
  </si>
  <si>
    <t>ayj</t>
  </si>
  <si>
    <t>planete</t>
  </si>
  <si>
    <t>vaissea</t>
  </si>
  <si>
    <t>distance planette</t>
  </si>
  <si>
    <t>ai p1</t>
  </si>
  <si>
    <t>ai p2</t>
  </si>
  <si>
    <t>ai 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</si>
</sst>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E+00"/>
    <numFmt numFmtId="166" formatCode="0.00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1"/>
      <name val="Aharoni"/>
      <charset val="177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0" fontId="1" fillId="9" borderId="0" applyNumberFormat="0" applyBorder="0" applyAlignment="0" applyProtection="0"/>
    <xf numFmtId="0" fontId="4" fillId="10" borderId="0" applyNumberFormat="0" applyBorder="0" applyAlignment="0" applyProtection="0"/>
  </cellStyleXfs>
  <cellXfs count="67">
    <xf numFmtId="0" fontId="0" fillId="0" borderId="0" xfId="0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4" borderId="4" xfId="3" applyBorder="1"/>
    <xf numFmtId="0" fontId="1" fillId="4" borderId="5" xfId="3" applyBorder="1"/>
    <xf numFmtId="0" fontId="0" fillId="0" borderId="6" xfId="0" applyBorder="1"/>
    <xf numFmtId="0" fontId="1" fillId="2" borderId="8" xfId="1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1" fillId="3" borderId="10" xfId="2" applyBorder="1"/>
    <xf numFmtId="0" fontId="1" fillId="3" borderId="7" xfId="2" applyBorder="1"/>
    <xf numFmtId="0" fontId="1" fillId="5" borderId="7" xfId="4" applyBorder="1"/>
    <xf numFmtId="0" fontId="1" fillId="5" borderId="11" xfId="4" applyBorder="1"/>
    <xf numFmtId="0" fontId="1" fillId="5" borderId="10" xfId="4" applyBorder="1"/>
    <xf numFmtId="2" fontId="0" fillId="0" borderId="2" xfId="0" applyNumberFormat="1" applyBorder="1"/>
    <xf numFmtId="1" fontId="0" fillId="0" borderId="2" xfId="0" applyNumberFormat="1" applyBorder="1"/>
    <xf numFmtId="0" fontId="0" fillId="0" borderId="13" xfId="0" applyBorder="1"/>
    <xf numFmtId="0" fontId="4" fillId="6" borderId="0" xfId="5"/>
    <xf numFmtId="166" fontId="0" fillId="0" borderId="0" xfId="0" applyNumberFormat="1"/>
    <xf numFmtId="0" fontId="0" fillId="0" borderId="18" xfId="0" applyBorder="1"/>
    <xf numFmtId="0" fontId="0" fillId="0" borderId="20" xfId="0" applyBorder="1"/>
    <xf numFmtId="0" fontId="0" fillId="0" borderId="17" xfId="0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/>
    </xf>
    <xf numFmtId="0" fontId="1" fillId="4" borderId="10" xfId="3" applyBorder="1"/>
    <xf numFmtId="0" fontId="1" fillId="4" borderId="16" xfId="3" applyBorder="1"/>
    <xf numFmtId="0" fontId="0" fillId="0" borderId="2" xfId="0" applyBorder="1"/>
    <xf numFmtId="0" fontId="1" fillId="4" borderId="0" xfId="3" applyBorder="1"/>
    <xf numFmtId="0" fontId="1" fillId="4" borderId="12" xfId="3" applyBorder="1"/>
    <xf numFmtId="0" fontId="1" fillId="2" borderId="10" xfId="1" applyBorder="1"/>
    <xf numFmtId="0" fontId="1" fillId="5" borderId="10" xfId="4" applyBorder="1"/>
    <xf numFmtId="0" fontId="1" fillId="3" borderId="10" xfId="2" applyBorder="1"/>
    <xf numFmtId="0" fontId="5" fillId="7" borderId="0" xfId="6"/>
    <xf numFmtId="0" fontId="4" fillId="10" borderId="0" xfId="9"/>
    <xf numFmtId="0" fontId="1" fillId="5" borderId="0" xfId="4"/>
    <xf numFmtId="167" fontId="1" fillId="5" borderId="0" xfId="4" quotePrefix="1" applyNumberFormat="1"/>
    <xf numFmtId="167" fontId="1" fillId="5" borderId="0" xfId="4" applyNumberFormat="1"/>
    <xf numFmtId="0" fontId="1" fillId="9" borderId="0" xfId="8"/>
    <xf numFmtId="0" fontId="1" fillId="4" borderId="0" xfId="3"/>
    <xf numFmtId="0" fontId="0" fillId="11" borderId="0" xfId="0" applyFill="1"/>
    <xf numFmtId="1" fontId="1" fillId="5" borderId="0" xfId="4" applyNumberFormat="1"/>
    <xf numFmtId="166" fontId="1" fillId="5" borderId="0" xfId="4" applyNumberFormat="1"/>
    <xf numFmtId="0" fontId="6" fillId="8" borderId="0" xfId="7"/>
    <xf numFmtId="166" fontId="6" fillId="8" borderId="0" xfId="7" applyNumberFormat="1"/>
    <xf numFmtId="0" fontId="1" fillId="3" borderId="0" xfId="2"/>
    <xf numFmtId="166" fontId="1" fillId="3" borderId="0" xfId="2" applyNumberFormat="1"/>
    <xf numFmtId="0" fontId="0" fillId="0" borderId="0" xfId="0" applyAlignment="1">
      <alignment horizontal="center" vertical="center"/>
    </xf>
    <xf numFmtId="166" fontId="1" fillId="9" borderId="0" xfId="8" applyNumberFormat="1"/>
    <xf numFmtId="0" fontId="7" fillId="0" borderId="0" xfId="0" applyFont="1" applyAlignment="1">
      <alignment horizontal="center" vertical="top"/>
    </xf>
    <xf numFmtId="0" fontId="0" fillId="11" borderId="0" xfId="0" applyFill="1" applyBorder="1"/>
    <xf numFmtId="165" fontId="0" fillId="11" borderId="0" xfId="0" applyNumberFormat="1" applyFill="1"/>
    <xf numFmtId="0" fontId="0" fillId="11" borderId="1" xfId="0" applyFill="1" applyBorder="1"/>
    <xf numFmtId="11" fontId="0" fillId="11" borderId="0" xfId="0" applyNumberFormat="1" applyFill="1"/>
    <xf numFmtId="0" fontId="0" fillId="11" borderId="0" xfId="0" applyFill="1"/>
    <xf numFmtId="0" fontId="0" fillId="11" borderId="9" xfId="0" applyFill="1" applyBorder="1"/>
    <xf numFmtId="0" fontId="0" fillId="11" borderId="9" xfId="0" applyFill="1" applyBorder="1" applyAlignment="1">
      <alignment horizontal="center"/>
    </xf>
    <xf numFmtId="0" fontId="0" fillId="11" borderId="13" xfId="0" applyFill="1" applyBorder="1"/>
    <xf numFmtId="0" fontId="0" fillId="11" borderId="0" xfId="0" applyFill="1" applyAlignment="1">
      <alignment horizontal="center"/>
    </xf>
    <xf numFmtId="0" fontId="0" fillId="11" borderId="15" xfId="0" applyFill="1" applyBorder="1"/>
    <xf numFmtId="0" fontId="0" fillId="11" borderId="14" xfId="0" applyFill="1" applyBorder="1"/>
  </cellXfs>
  <cellStyles count="10">
    <cellStyle name="40 % - Accent1" xfId="5" builtinId="31"/>
    <cellStyle name="60 % - Accent5" xfId="9" builtinId="48"/>
    <cellStyle name="Accent1" xfId="1" builtinId="29"/>
    <cellStyle name="Accent2" xfId="2" builtinId="33"/>
    <cellStyle name="Accent3" xfId="3" builtinId="37"/>
    <cellStyle name="Accent4" xfId="8" builtinId="41"/>
    <cellStyle name="Accent6" xfId="4" builtinId="49"/>
    <cellStyle name="Neutre" xfId="7" builtinId="28"/>
    <cellStyle name="Normal" xfId="0" builtinId="0"/>
    <cellStyle name="Satisfaisant" xfId="6" builtinId="26"/>
  </cellStyles>
  <dxfs count="1"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575853237369109"/>
          <c:y val="4.15800415800415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9929427368669583E-2"/>
          <c:y val="7.9588283645395233E-2"/>
          <c:w val="0.90109353353712829"/>
          <c:h val="0.8262317894436193"/>
        </c:manualLayout>
      </c:layout>
      <c:scatterChart>
        <c:scatterStyle val="smoothMarker"/>
        <c:varyColors val="0"/>
        <c:ser>
          <c:idx val="4"/>
          <c:order val="0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trajectoires'!$BK$4:$BK$8</c:f>
              <c:numCache>
                <c:formatCode>General</c:formatCode>
                <c:ptCount val="5"/>
                <c:pt idx="0">
                  <c:v>0</c:v>
                </c:pt>
                <c:pt idx="1">
                  <c:v>2500</c:v>
                </c:pt>
                <c:pt idx="2">
                  <c:v>0</c:v>
                </c:pt>
                <c:pt idx="3">
                  <c:v>-2500</c:v>
                </c:pt>
                <c:pt idx="4">
                  <c:v>0</c:v>
                </c:pt>
              </c:numCache>
            </c:numRef>
          </c:xVal>
          <c:yVal>
            <c:numRef>
              <c:f>'conditions init+ trajectoires'!$BL$4:$BL$8</c:f>
              <c:numCache>
                <c:formatCode>General</c:formatCode>
                <c:ptCount val="5"/>
                <c:pt idx="0">
                  <c:v>5000</c:v>
                </c:pt>
                <c:pt idx="1">
                  <c:v>-2500</c:v>
                </c:pt>
                <c:pt idx="2">
                  <c:v>0</c:v>
                </c:pt>
                <c:pt idx="3">
                  <c:v>-2500</c:v>
                </c:pt>
                <c:pt idx="4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6BF-4F4D-BF89-22715AFAC7DC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trajectoires'!$AE$5:$AE$105</c:f>
              <c:numCache>
                <c:formatCode>General</c:formatCode>
                <c:ptCount val="101"/>
                <c:pt idx="0">
                  <c:v>24990.133642141358</c:v>
                </c:pt>
                <c:pt idx="1">
                  <c:v>24960.573506572389</c:v>
                </c:pt>
                <c:pt idx="2">
                  <c:v>24911.436253643442</c:v>
                </c:pt>
                <c:pt idx="3">
                  <c:v>24842.915805643155</c:v>
                </c:pt>
                <c:pt idx="4">
                  <c:v>24755.282581475767</c:v>
                </c:pt>
                <c:pt idx="5">
                  <c:v>24648.882429441255</c:v>
                </c:pt>
                <c:pt idx="6">
                  <c:v>24524.135262330099</c:v>
                </c:pt>
                <c:pt idx="7">
                  <c:v>24381.533400219319</c:v>
                </c:pt>
                <c:pt idx="8">
                  <c:v>24221.639627510078</c:v>
                </c:pt>
                <c:pt idx="9">
                  <c:v>24045.084971874738</c:v>
                </c:pt>
                <c:pt idx="10">
                  <c:v>23852.566213878948</c:v>
                </c:pt>
                <c:pt idx="11">
                  <c:v>23644.843137107058</c:v>
                </c:pt>
                <c:pt idx="12">
                  <c:v>23422.735529643443</c:v>
                </c:pt>
                <c:pt idx="13">
                  <c:v>23187.11994874345</c:v>
                </c:pt>
                <c:pt idx="14">
                  <c:v>22938.926261462366</c:v>
                </c:pt>
                <c:pt idx="15">
                  <c:v>22679.133974894983</c:v>
                </c:pt>
                <c:pt idx="16">
                  <c:v>22408.768370508576</c:v>
                </c:pt>
                <c:pt idx="17">
                  <c:v>22128.896457825362</c:v>
                </c:pt>
                <c:pt idx="18">
                  <c:v>21840.622763423391</c:v>
                </c:pt>
                <c:pt idx="19">
                  <c:v>21545.084971874738</c:v>
                </c:pt>
                <c:pt idx="20">
                  <c:v>21243.449435824274</c:v>
                </c:pt>
                <c:pt idx="21">
                  <c:v>20936.906572928623</c:v>
                </c:pt>
                <c:pt idx="22">
                  <c:v>20626.666167821521</c:v>
                </c:pt>
                <c:pt idx="23">
                  <c:v>20313.952597646563</c:v>
                </c:pt>
                <c:pt idx="24">
                  <c:v>19999.999999999996</c:v>
                </c:pt>
                <c:pt idx="25">
                  <c:v>19686.04740235343</c:v>
                </c:pt>
                <c:pt idx="26">
                  <c:v>19373.333832178476</c:v>
                </c:pt>
                <c:pt idx="27">
                  <c:v>19063.093427071373</c:v>
                </c:pt>
                <c:pt idx="28">
                  <c:v>18756.550564175723</c:v>
                </c:pt>
                <c:pt idx="29">
                  <c:v>18454.915028125259</c:v>
                </c:pt>
                <c:pt idx="30">
                  <c:v>18159.377236576605</c:v>
                </c:pt>
                <c:pt idx="31">
                  <c:v>17871.103542174631</c:v>
                </c:pt>
                <c:pt idx="32">
                  <c:v>17591.23162949142</c:v>
                </c:pt>
                <c:pt idx="33">
                  <c:v>17320.866025105013</c:v>
                </c:pt>
                <c:pt idx="34">
                  <c:v>17061.073738537631</c:v>
                </c:pt>
                <c:pt idx="35">
                  <c:v>16812.880051256547</c:v>
                </c:pt>
                <c:pt idx="36">
                  <c:v>16577.264470356553</c:v>
                </c:pt>
                <c:pt idx="37">
                  <c:v>16355.156862892938</c:v>
                </c:pt>
                <c:pt idx="38">
                  <c:v>16147.433786121048</c:v>
                </c:pt>
                <c:pt idx="39">
                  <c:v>15954.915028125259</c:v>
                </c:pt>
                <c:pt idx="40">
                  <c:v>15778.360372489919</c:v>
                </c:pt>
                <c:pt idx="41">
                  <c:v>15618.466599780677</c:v>
                </c:pt>
                <c:pt idx="42">
                  <c:v>15475.864737669897</c:v>
                </c:pt>
                <c:pt idx="43">
                  <c:v>15351.117570558739</c:v>
                </c:pt>
                <c:pt idx="44">
                  <c:v>15244.717418524229</c:v>
                </c:pt>
                <c:pt idx="45">
                  <c:v>15157.084194356841</c:v>
                </c:pt>
                <c:pt idx="46">
                  <c:v>15088.563746356554</c:v>
                </c:pt>
                <c:pt idx="47">
                  <c:v>15039.426493427611</c:v>
                </c:pt>
                <c:pt idx="48">
                  <c:v>15009.866357858642</c:v>
                </c:pt>
                <c:pt idx="49">
                  <c:v>15000</c:v>
                </c:pt>
                <c:pt idx="50">
                  <c:v>15009.866357858642</c:v>
                </c:pt>
                <c:pt idx="51">
                  <c:v>15039.426493427613</c:v>
                </c:pt>
                <c:pt idx="52">
                  <c:v>15088.563746356558</c:v>
                </c:pt>
                <c:pt idx="53">
                  <c:v>15157.084194356848</c:v>
                </c:pt>
                <c:pt idx="54">
                  <c:v>15244.717418524237</c:v>
                </c:pt>
                <c:pt idx="55">
                  <c:v>15351.117570558748</c:v>
                </c:pt>
                <c:pt idx="56">
                  <c:v>15475.864737669908</c:v>
                </c:pt>
                <c:pt idx="57">
                  <c:v>15618.46659978069</c:v>
                </c:pt>
                <c:pt idx="58">
                  <c:v>15778.360372489933</c:v>
                </c:pt>
                <c:pt idx="59">
                  <c:v>15954.915028125273</c:v>
                </c:pt>
                <c:pt idx="60">
                  <c:v>16147.433786121064</c:v>
                </c:pt>
                <c:pt idx="61">
                  <c:v>16355.156862892954</c:v>
                </c:pt>
                <c:pt idx="62">
                  <c:v>16577.264470356571</c:v>
                </c:pt>
                <c:pt idx="63">
                  <c:v>16812.880051256565</c:v>
                </c:pt>
                <c:pt idx="64">
                  <c:v>17061.073738537649</c:v>
                </c:pt>
                <c:pt idx="65">
                  <c:v>17320.866025105031</c:v>
                </c:pt>
                <c:pt idx="66">
                  <c:v>17591.231629491434</c:v>
                </c:pt>
                <c:pt idx="67">
                  <c:v>17871.103542174649</c:v>
                </c:pt>
                <c:pt idx="68">
                  <c:v>18159.37723657662</c:v>
                </c:pt>
                <c:pt idx="69">
                  <c:v>18454.91502812527</c:v>
                </c:pt>
                <c:pt idx="70">
                  <c:v>18756.550564175734</c:v>
                </c:pt>
                <c:pt idx="71">
                  <c:v>19063.093427071381</c:v>
                </c:pt>
                <c:pt idx="72">
                  <c:v>19373.333832178483</c:v>
                </c:pt>
                <c:pt idx="73">
                  <c:v>19686.047402353433</c:v>
                </c:pt>
                <c:pt idx="74">
                  <c:v>20000</c:v>
                </c:pt>
                <c:pt idx="75">
                  <c:v>20313.952597646563</c:v>
                </c:pt>
                <c:pt idx="76">
                  <c:v>20626.666167821517</c:v>
                </c:pt>
                <c:pt idx="77">
                  <c:v>20936.906572928616</c:v>
                </c:pt>
                <c:pt idx="78">
                  <c:v>21243.449435824266</c:v>
                </c:pt>
                <c:pt idx="79">
                  <c:v>21545.084971874727</c:v>
                </c:pt>
                <c:pt idx="80">
                  <c:v>21840.62276342338</c:v>
                </c:pt>
                <c:pt idx="81">
                  <c:v>22128.896457825351</c:v>
                </c:pt>
                <c:pt idx="82">
                  <c:v>22408.768370508562</c:v>
                </c:pt>
                <c:pt idx="83">
                  <c:v>22679.133974894969</c:v>
                </c:pt>
                <c:pt idx="84">
                  <c:v>22938.926261462351</c:v>
                </c:pt>
                <c:pt idx="85">
                  <c:v>23187.119948743431</c:v>
                </c:pt>
                <c:pt idx="86">
                  <c:v>23422.735529643425</c:v>
                </c:pt>
                <c:pt idx="87">
                  <c:v>23644.84313710704</c:v>
                </c:pt>
                <c:pt idx="88">
                  <c:v>23852.56621387893</c:v>
                </c:pt>
                <c:pt idx="89">
                  <c:v>24045.084971874719</c:v>
                </c:pt>
                <c:pt idx="90">
                  <c:v>24221.63962751006</c:v>
                </c:pt>
                <c:pt idx="91">
                  <c:v>24381.533400219305</c:v>
                </c:pt>
                <c:pt idx="92">
                  <c:v>24524.135262330085</c:v>
                </c:pt>
                <c:pt idx="93">
                  <c:v>24648.882429441244</c:v>
                </c:pt>
                <c:pt idx="94">
                  <c:v>24755.282581475756</c:v>
                </c:pt>
                <c:pt idx="95">
                  <c:v>24842.915805643148</c:v>
                </c:pt>
                <c:pt idx="96">
                  <c:v>24911.436253643435</c:v>
                </c:pt>
                <c:pt idx="97">
                  <c:v>24960.573506572386</c:v>
                </c:pt>
                <c:pt idx="98">
                  <c:v>24990.133642141354</c:v>
                </c:pt>
                <c:pt idx="99">
                  <c:v>25000</c:v>
                </c:pt>
                <c:pt idx="100">
                  <c:v>24990.133642141362</c:v>
                </c:pt>
              </c:numCache>
            </c:numRef>
          </c:xVal>
          <c:yVal>
            <c:numRef>
              <c:f>'conditions init+ trajectoires'!$AF$5:$AF$105</c:f>
              <c:numCache>
                <c:formatCode>General</c:formatCode>
                <c:ptCount val="101"/>
                <c:pt idx="0">
                  <c:v>7813.9525976465666</c:v>
                </c:pt>
                <c:pt idx="1">
                  <c:v>8126.6661678215214</c:v>
                </c:pt>
                <c:pt idx="2">
                  <c:v>8436.9065729286231</c:v>
                </c:pt>
                <c:pt idx="3">
                  <c:v>8743.4494358242737</c:v>
                </c:pt>
                <c:pt idx="4">
                  <c:v>9045.0849718747377</c:v>
                </c:pt>
                <c:pt idx="5">
                  <c:v>9340.6227634233892</c:v>
                </c:pt>
                <c:pt idx="6">
                  <c:v>9628.8964578253635</c:v>
                </c:pt>
                <c:pt idx="7">
                  <c:v>9908.7683705085765</c:v>
                </c:pt>
                <c:pt idx="8">
                  <c:v>10179.133974894983</c:v>
                </c:pt>
                <c:pt idx="9">
                  <c:v>10438.926261462366</c:v>
                </c:pt>
                <c:pt idx="10">
                  <c:v>10687.119948743448</c:v>
                </c:pt>
                <c:pt idx="11">
                  <c:v>10922.735529643443</c:v>
                </c:pt>
                <c:pt idx="12">
                  <c:v>11144.843137107056</c:v>
                </c:pt>
                <c:pt idx="13">
                  <c:v>11352.566213878945</c:v>
                </c:pt>
                <c:pt idx="14">
                  <c:v>11545.084971874736</c:v>
                </c:pt>
                <c:pt idx="15">
                  <c:v>11721.639627510074</c:v>
                </c:pt>
                <c:pt idx="16">
                  <c:v>11881.533400219318</c:v>
                </c:pt>
                <c:pt idx="17">
                  <c:v>12024.135262330099</c:v>
                </c:pt>
                <c:pt idx="18">
                  <c:v>12148.882429441257</c:v>
                </c:pt>
                <c:pt idx="19">
                  <c:v>12255.282581475767</c:v>
                </c:pt>
                <c:pt idx="20">
                  <c:v>12342.915805643155</c:v>
                </c:pt>
                <c:pt idx="21">
                  <c:v>12411.436253643444</c:v>
                </c:pt>
                <c:pt idx="22">
                  <c:v>12460.573506572389</c:v>
                </c:pt>
                <c:pt idx="23">
                  <c:v>12490.133642141358</c:v>
                </c:pt>
                <c:pt idx="24">
                  <c:v>12500</c:v>
                </c:pt>
                <c:pt idx="25">
                  <c:v>12490.133642141358</c:v>
                </c:pt>
                <c:pt idx="26">
                  <c:v>12460.573506572389</c:v>
                </c:pt>
                <c:pt idx="27">
                  <c:v>12411.436253643442</c:v>
                </c:pt>
                <c:pt idx="28">
                  <c:v>12342.915805643155</c:v>
                </c:pt>
                <c:pt idx="29">
                  <c:v>12255.282581475767</c:v>
                </c:pt>
                <c:pt idx="30">
                  <c:v>12148.882429441255</c:v>
                </c:pt>
                <c:pt idx="31">
                  <c:v>12024.135262330095</c:v>
                </c:pt>
                <c:pt idx="32">
                  <c:v>11881.533400219316</c:v>
                </c:pt>
                <c:pt idx="33">
                  <c:v>11721.639627510072</c:v>
                </c:pt>
                <c:pt idx="34">
                  <c:v>11545.084971874734</c:v>
                </c:pt>
                <c:pt idx="35">
                  <c:v>11352.566213878941</c:v>
                </c:pt>
                <c:pt idx="36">
                  <c:v>11144.843137107053</c:v>
                </c:pt>
                <c:pt idx="37">
                  <c:v>10922.735529643438</c:v>
                </c:pt>
                <c:pt idx="38">
                  <c:v>10687.119948743442</c:v>
                </c:pt>
                <c:pt idx="39">
                  <c:v>10438.926261462359</c:v>
                </c:pt>
                <c:pt idx="40">
                  <c:v>10179.133974894976</c:v>
                </c:pt>
                <c:pt idx="41">
                  <c:v>9908.7683705085692</c:v>
                </c:pt>
                <c:pt idx="42">
                  <c:v>9628.8964578253544</c:v>
                </c:pt>
                <c:pt idx="43">
                  <c:v>9340.6227634233801</c:v>
                </c:pt>
                <c:pt idx="44">
                  <c:v>9045.0849718747268</c:v>
                </c:pt>
                <c:pt idx="45">
                  <c:v>8743.4494358242628</c:v>
                </c:pt>
                <c:pt idx="46">
                  <c:v>8436.9065729286121</c:v>
                </c:pt>
                <c:pt idx="47">
                  <c:v>8126.6661678215096</c:v>
                </c:pt>
                <c:pt idx="48">
                  <c:v>7813.9525976465548</c:v>
                </c:pt>
                <c:pt idx="49">
                  <c:v>7499.9999999999873</c:v>
                </c:pt>
                <c:pt idx="50">
                  <c:v>7186.0474023534198</c:v>
                </c:pt>
                <c:pt idx="51">
                  <c:v>6873.3338321784649</c:v>
                </c:pt>
                <c:pt idx="52">
                  <c:v>6563.0934270713633</c:v>
                </c:pt>
                <c:pt idx="53">
                  <c:v>6256.5505641757118</c:v>
                </c:pt>
                <c:pt idx="54">
                  <c:v>5954.9150281252487</c:v>
                </c:pt>
                <c:pt idx="55">
                  <c:v>5659.3772365765963</c:v>
                </c:pt>
                <c:pt idx="56">
                  <c:v>5371.1035421746219</c:v>
                </c:pt>
                <c:pt idx="57">
                  <c:v>5091.231629491409</c:v>
                </c:pt>
                <c:pt idx="58">
                  <c:v>4820.8660251050023</c:v>
                </c:pt>
                <c:pt idx="59">
                  <c:v>4561.0737385376206</c:v>
                </c:pt>
                <c:pt idx="60">
                  <c:v>4312.8800512565376</c:v>
                </c:pt>
                <c:pt idx="61">
                  <c:v>4077.2644703565438</c:v>
                </c:pt>
                <c:pt idx="62">
                  <c:v>3855.1568628929299</c:v>
                </c:pt>
                <c:pt idx="63">
                  <c:v>3647.433786121042</c:v>
                </c:pt>
                <c:pt idx="64">
                  <c:v>3454.9150281252528</c:v>
                </c:pt>
                <c:pt idx="65">
                  <c:v>3278.3603724899167</c:v>
                </c:pt>
                <c:pt idx="66">
                  <c:v>3118.4665997806751</c:v>
                </c:pt>
                <c:pt idx="67">
                  <c:v>2975.8647376698973</c:v>
                </c:pt>
                <c:pt idx="68">
                  <c:v>2851.1175705587393</c:v>
                </c:pt>
                <c:pt idx="69">
                  <c:v>2744.7174185242293</c:v>
                </c:pt>
                <c:pt idx="70">
                  <c:v>2657.084194356843</c:v>
                </c:pt>
                <c:pt idx="71">
                  <c:v>2588.5637463565563</c:v>
                </c:pt>
                <c:pt idx="72">
                  <c:v>2539.4264934276107</c:v>
                </c:pt>
                <c:pt idx="73">
                  <c:v>2509.866357858642</c:v>
                </c:pt>
                <c:pt idx="74">
                  <c:v>2500</c:v>
                </c:pt>
                <c:pt idx="75">
                  <c:v>2509.866357858642</c:v>
                </c:pt>
                <c:pt idx="76">
                  <c:v>2539.4264934276098</c:v>
                </c:pt>
                <c:pt idx="77">
                  <c:v>2588.5637463565554</c:v>
                </c:pt>
                <c:pt idx="78">
                  <c:v>2657.0841943568421</c:v>
                </c:pt>
                <c:pt idx="79">
                  <c:v>2744.7174185242293</c:v>
                </c:pt>
                <c:pt idx="80">
                  <c:v>2851.1175705587384</c:v>
                </c:pt>
                <c:pt idx="81">
                  <c:v>2975.8647376698964</c:v>
                </c:pt>
                <c:pt idx="82">
                  <c:v>3118.4665997806751</c:v>
                </c:pt>
                <c:pt idx="83">
                  <c:v>3278.3603724899158</c:v>
                </c:pt>
                <c:pt idx="84">
                  <c:v>3454.9150281252519</c:v>
                </c:pt>
                <c:pt idx="85">
                  <c:v>3647.4337861210411</c:v>
                </c:pt>
                <c:pt idx="86">
                  <c:v>3855.1568628929272</c:v>
                </c:pt>
                <c:pt idx="87">
                  <c:v>4077.2644703565393</c:v>
                </c:pt>
                <c:pt idx="88">
                  <c:v>4312.8800512565313</c:v>
                </c:pt>
                <c:pt idx="89">
                  <c:v>4561.0737385376124</c:v>
                </c:pt>
                <c:pt idx="90">
                  <c:v>4820.8660251049914</c:v>
                </c:pt>
                <c:pt idx="91">
                  <c:v>5091.2316294913962</c:v>
                </c:pt>
                <c:pt idx="92">
                  <c:v>5371.1035421746074</c:v>
                </c:pt>
                <c:pt idx="93">
                  <c:v>5659.3772365765781</c:v>
                </c:pt>
                <c:pt idx="94">
                  <c:v>5954.9150281252278</c:v>
                </c:pt>
                <c:pt idx="95">
                  <c:v>6256.550564175689</c:v>
                </c:pt>
                <c:pt idx="96">
                  <c:v>6563.0934270713369</c:v>
                </c:pt>
                <c:pt idx="97">
                  <c:v>6873.3338321784368</c:v>
                </c:pt>
                <c:pt idx="98">
                  <c:v>7186.0474023533898</c:v>
                </c:pt>
                <c:pt idx="99">
                  <c:v>7499.9999999999545</c:v>
                </c:pt>
                <c:pt idx="100">
                  <c:v>7813.9525976465193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F6-40B9-9FAB-26AC76AF6F0B}"/>
            </c:ext>
          </c:extLst>
        </c:ser>
        <c:ser>
          <c:idx val="1"/>
          <c:order val="2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trajectoires'!$AI$5:$AI$105</c:f>
              <c:numCache>
                <c:formatCode>General</c:formatCode>
                <c:ptCount val="101"/>
                <c:pt idx="0">
                  <c:v>-9.8663578586420044</c:v>
                </c:pt>
                <c:pt idx="1">
                  <c:v>-39.426493427610694</c:v>
                </c:pt>
                <c:pt idx="2">
                  <c:v>-88.563746356556294</c:v>
                </c:pt>
                <c:pt idx="3">
                  <c:v>-157.08419435684482</c:v>
                </c:pt>
                <c:pt idx="4">
                  <c:v>-244.71741852423202</c:v>
                </c:pt>
                <c:pt idx="5">
                  <c:v>-351.11757055874295</c:v>
                </c:pt>
                <c:pt idx="6">
                  <c:v>-475.86473766990184</c:v>
                </c:pt>
                <c:pt idx="7">
                  <c:v>-618.46659978068237</c:v>
                </c:pt>
                <c:pt idx="8">
                  <c:v>-778.36037248992398</c:v>
                </c:pt>
                <c:pt idx="9">
                  <c:v>-954.91502812526278</c:v>
                </c:pt>
                <c:pt idx="10">
                  <c:v>-1147.4337861210533</c:v>
                </c:pt>
                <c:pt idx="11">
                  <c:v>-1355.1568628929417</c:v>
                </c:pt>
                <c:pt idx="12">
                  <c:v>-1577.2644703565556</c:v>
                </c:pt>
                <c:pt idx="13">
                  <c:v>-1812.8800512565508</c:v>
                </c:pt>
                <c:pt idx="14">
                  <c:v>-2061.0737385376333</c:v>
                </c:pt>
                <c:pt idx="15">
                  <c:v>-2320.866025105016</c:v>
                </c:pt>
                <c:pt idx="16">
                  <c:v>-2591.2316294914235</c:v>
                </c:pt>
                <c:pt idx="17">
                  <c:v>-2871.1035421746369</c:v>
                </c:pt>
                <c:pt idx="18">
                  <c:v>-3159.3772365766108</c:v>
                </c:pt>
                <c:pt idx="19">
                  <c:v>-3454.9150281252637</c:v>
                </c:pt>
                <c:pt idx="20">
                  <c:v>-3756.5505641757272</c:v>
                </c:pt>
                <c:pt idx="21">
                  <c:v>-4063.0934270713788</c:v>
                </c:pt>
                <c:pt idx="22">
                  <c:v>-4373.3338321784813</c:v>
                </c:pt>
                <c:pt idx="23">
                  <c:v>-4686.0474023534352</c:v>
                </c:pt>
                <c:pt idx="24">
                  <c:v>-5000.0000000000027</c:v>
                </c:pt>
                <c:pt idx="25">
                  <c:v>-5313.9525976465702</c:v>
                </c:pt>
                <c:pt idx="26">
                  <c:v>-5626.6661678215251</c:v>
                </c:pt>
                <c:pt idx="27">
                  <c:v>-5936.9065729286276</c:v>
                </c:pt>
                <c:pt idx="28">
                  <c:v>-6243.4494358242782</c:v>
                </c:pt>
                <c:pt idx="29">
                  <c:v>-6545.0849718747422</c:v>
                </c:pt>
                <c:pt idx="30">
                  <c:v>-6840.6227634233946</c:v>
                </c:pt>
                <c:pt idx="31">
                  <c:v>-7128.8964578253672</c:v>
                </c:pt>
                <c:pt idx="32">
                  <c:v>-7408.768370508581</c:v>
                </c:pt>
                <c:pt idx="33">
                  <c:v>-7679.1339748949877</c:v>
                </c:pt>
                <c:pt idx="34">
                  <c:v>-7938.9262614623713</c:v>
                </c:pt>
                <c:pt idx="35">
                  <c:v>-8187.1199487434533</c:v>
                </c:pt>
                <c:pt idx="36">
                  <c:v>-8422.7355296434489</c:v>
                </c:pt>
                <c:pt idx="37">
                  <c:v>-8644.8431371070619</c:v>
                </c:pt>
                <c:pt idx="38">
                  <c:v>-8852.5662138789521</c:v>
                </c:pt>
                <c:pt idx="39">
                  <c:v>-9045.0849718747413</c:v>
                </c:pt>
                <c:pt idx="40">
                  <c:v>-9221.6396275100815</c:v>
                </c:pt>
                <c:pt idx="41">
                  <c:v>-9381.5334002193231</c:v>
                </c:pt>
                <c:pt idx="42">
                  <c:v>-9524.1352623301027</c:v>
                </c:pt>
                <c:pt idx="43">
                  <c:v>-9648.8824294412607</c:v>
                </c:pt>
                <c:pt idx="44">
                  <c:v>-9755.2825814757707</c:v>
                </c:pt>
                <c:pt idx="45">
                  <c:v>-9842.9158056431588</c:v>
                </c:pt>
                <c:pt idx="46">
                  <c:v>-9911.4362536434455</c:v>
                </c:pt>
                <c:pt idx="47">
                  <c:v>-9960.5735065723893</c:v>
                </c:pt>
                <c:pt idx="48">
                  <c:v>-9990.133642141358</c:v>
                </c:pt>
                <c:pt idx="49">
                  <c:v>-10000</c:v>
                </c:pt>
                <c:pt idx="50">
                  <c:v>-9990.133642141358</c:v>
                </c:pt>
                <c:pt idx="51">
                  <c:v>-9960.5735065723875</c:v>
                </c:pt>
                <c:pt idx="52">
                  <c:v>-9911.4362536434419</c:v>
                </c:pt>
                <c:pt idx="53">
                  <c:v>-9842.9158056431515</c:v>
                </c:pt>
                <c:pt idx="54">
                  <c:v>-9755.2825814757634</c:v>
                </c:pt>
                <c:pt idx="55">
                  <c:v>-9648.8824294412516</c:v>
                </c:pt>
                <c:pt idx="56">
                  <c:v>-9524.1352623300918</c:v>
                </c:pt>
                <c:pt idx="57">
                  <c:v>-9381.5334002193104</c:v>
                </c:pt>
                <c:pt idx="58">
                  <c:v>-9221.6396275100669</c:v>
                </c:pt>
                <c:pt idx="59">
                  <c:v>-9045.0849718747268</c:v>
                </c:pt>
                <c:pt idx="60">
                  <c:v>-8852.5662138789357</c:v>
                </c:pt>
                <c:pt idx="61">
                  <c:v>-8644.8431371070455</c:v>
                </c:pt>
                <c:pt idx="62">
                  <c:v>-8422.7355296434289</c:v>
                </c:pt>
                <c:pt idx="63">
                  <c:v>-8187.1199487434342</c:v>
                </c:pt>
                <c:pt idx="64">
                  <c:v>-7938.9262614623512</c:v>
                </c:pt>
                <c:pt idx="65">
                  <c:v>-7679.1339748949704</c:v>
                </c:pt>
                <c:pt idx="66">
                  <c:v>-7408.7683705085647</c:v>
                </c:pt>
                <c:pt idx="67">
                  <c:v>-7128.8964578253526</c:v>
                </c:pt>
                <c:pt idx="68">
                  <c:v>-6840.622763423381</c:v>
                </c:pt>
                <c:pt idx="69">
                  <c:v>-6545.0849718747295</c:v>
                </c:pt>
                <c:pt idx="70">
                  <c:v>-6243.4494358242682</c:v>
                </c:pt>
                <c:pt idx="71">
                  <c:v>-5936.9065729286185</c:v>
                </c:pt>
                <c:pt idx="72">
                  <c:v>-5626.6661678215187</c:v>
                </c:pt>
                <c:pt idx="73">
                  <c:v>-5313.9525976465657</c:v>
                </c:pt>
                <c:pt idx="74">
                  <c:v>-5000.0000000000009</c:v>
                </c:pt>
                <c:pt idx="75">
                  <c:v>-4686.0474023534362</c:v>
                </c:pt>
                <c:pt idx="76">
                  <c:v>-4373.3338321784831</c:v>
                </c:pt>
                <c:pt idx="77">
                  <c:v>-4063.0934270713828</c:v>
                </c:pt>
                <c:pt idx="78">
                  <c:v>-3756.5505641757336</c:v>
                </c:pt>
                <c:pt idx="79">
                  <c:v>-3454.9150281252723</c:v>
                </c:pt>
                <c:pt idx="80">
                  <c:v>-3159.3772365766208</c:v>
                </c:pt>
                <c:pt idx="81">
                  <c:v>-2871.1035421746487</c:v>
                </c:pt>
                <c:pt idx="82">
                  <c:v>-2591.2316294914372</c:v>
                </c:pt>
                <c:pt idx="83">
                  <c:v>-2320.866025105031</c:v>
                </c:pt>
                <c:pt idx="84">
                  <c:v>-2061.0737385376492</c:v>
                </c:pt>
                <c:pt idx="85">
                  <c:v>-1812.8800512565672</c:v>
                </c:pt>
                <c:pt idx="86">
                  <c:v>-1577.2644703565729</c:v>
                </c:pt>
                <c:pt idx="87">
                  <c:v>-1355.156862892959</c:v>
                </c:pt>
                <c:pt idx="88">
                  <c:v>-1147.4337861210702</c:v>
                </c:pt>
                <c:pt idx="89">
                  <c:v>-954.9150281252796</c:v>
                </c:pt>
                <c:pt idx="90">
                  <c:v>-778.36037248994035</c:v>
                </c:pt>
                <c:pt idx="91">
                  <c:v>-618.46659978069692</c:v>
                </c:pt>
                <c:pt idx="92">
                  <c:v>-475.86473766991639</c:v>
                </c:pt>
                <c:pt idx="93">
                  <c:v>-351.11757055875569</c:v>
                </c:pt>
                <c:pt idx="94">
                  <c:v>-244.71741852424384</c:v>
                </c:pt>
                <c:pt idx="95">
                  <c:v>-157.08419435685391</c:v>
                </c:pt>
                <c:pt idx="96">
                  <c:v>-88.563746356564479</c:v>
                </c:pt>
                <c:pt idx="97">
                  <c:v>-39.426493427616151</c:v>
                </c:pt>
                <c:pt idx="98">
                  <c:v>-9.8663578586447329</c:v>
                </c:pt>
                <c:pt idx="99">
                  <c:v>0</c:v>
                </c:pt>
                <c:pt idx="100">
                  <c:v>-9.8663578586392759</c:v>
                </c:pt>
              </c:numCache>
            </c:numRef>
          </c:xVal>
          <c:yVal>
            <c:numRef>
              <c:f>'conditions init+ trajectoires'!$AJ$5:$AJ$105</c:f>
              <c:numCache>
                <c:formatCode>General</c:formatCode>
                <c:ptCount val="101"/>
                <c:pt idx="0">
                  <c:v>-14686.047402353433</c:v>
                </c:pt>
                <c:pt idx="1">
                  <c:v>-14373.333832178479</c:v>
                </c:pt>
                <c:pt idx="2">
                  <c:v>-14063.093427071377</c:v>
                </c:pt>
                <c:pt idx="3">
                  <c:v>-13756.550564175726</c:v>
                </c:pt>
                <c:pt idx="4">
                  <c:v>-13454.915028125262</c:v>
                </c:pt>
                <c:pt idx="5">
                  <c:v>-13159.377236576611</c:v>
                </c:pt>
                <c:pt idx="6">
                  <c:v>-12871.103542174636</c:v>
                </c:pt>
                <c:pt idx="7">
                  <c:v>-12591.231629491424</c:v>
                </c:pt>
                <c:pt idx="8">
                  <c:v>-12320.866025105017</c:v>
                </c:pt>
                <c:pt idx="9">
                  <c:v>-12061.073738537634</c:v>
                </c:pt>
                <c:pt idx="10">
                  <c:v>-11812.880051256552</c:v>
                </c:pt>
                <c:pt idx="11">
                  <c:v>-11577.264470356557</c:v>
                </c:pt>
                <c:pt idx="12">
                  <c:v>-11355.156862892944</c:v>
                </c:pt>
                <c:pt idx="13">
                  <c:v>-11147.433786121055</c:v>
                </c:pt>
                <c:pt idx="14">
                  <c:v>-10954.915028125264</c:v>
                </c:pt>
                <c:pt idx="15">
                  <c:v>-10778.360372489926</c:v>
                </c:pt>
                <c:pt idx="16">
                  <c:v>-10618.466599780682</c:v>
                </c:pt>
                <c:pt idx="17">
                  <c:v>-10475.864737669901</c:v>
                </c:pt>
                <c:pt idx="18">
                  <c:v>-10351.117570558743</c:v>
                </c:pt>
                <c:pt idx="19">
                  <c:v>-10244.717418524233</c:v>
                </c:pt>
                <c:pt idx="20">
                  <c:v>-10157.084194356845</c:v>
                </c:pt>
                <c:pt idx="21">
                  <c:v>-10088.563746356556</c:v>
                </c:pt>
                <c:pt idx="22">
                  <c:v>-10039.426493427611</c:v>
                </c:pt>
                <c:pt idx="23">
                  <c:v>-10009.866357858642</c:v>
                </c:pt>
                <c:pt idx="24">
                  <c:v>-10000</c:v>
                </c:pt>
                <c:pt idx="25">
                  <c:v>-10009.866357858642</c:v>
                </c:pt>
                <c:pt idx="26">
                  <c:v>-10039.426493427611</c:v>
                </c:pt>
                <c:pt idx="27">
                  <c:v>-10088.563746356558</c:v>
                </c:pt>
                <c:pt idx="28">
                  <c:v>-10157.084194356845</c:v>
                </c:pt>
                <c:pt idx="29">
                  <c:v>-10244.717418524233</c:v>
                </c:pt>
                <c:pt idx="30">
                  <c:v>-10351.117570558745</c:v>
                </c:pt>
                <c:pt idx="31">
                  <c:v>-10475.864737669905</c:v>
                </c:pt>
                <c:pt idx="32">
                  <c:v>-10618.466599780684</c:v>
                </c:pt>
                <c:pt idx="33">
                  <c:v>-10778.360372489928</c:v>
                </c:pt>
                <c:pt idx="34">
                  <c:v>-10954.915028125266</c:v>
                </c:pt>
                <c:pt idx="35">
                  <c:v>-11147.433786121059</c:v>
                </c:pt>
                <c:pt idx="36">
                  <c:v>-11355.156862892947</c:v>
                </c:pt>
                <c:pt idx="37">
                  <c:v>-11577.264470356562</c:v>
                </c:pt>
                <c:pt idx="38">
                  <c:v>-11812.880051256558</c:v>
                </c:pt>
                <c:pt idx="39">
                  <c:v>-12061.073738537641</c:v>
                </c:pt>
                <c:pt idx="40">
                  <c:v>-12320.866025105024</c:v>
                </c:pt>
                <c:pt idx="41">
                  <c:v>-12591.231629491431</c:v>
                </c:pt>
                <c:pt idx="42">
                  <c:v>-12871.103542174646</c:v>
                </c:pt>
                <c:pt idx="43">
                  <c:v>-13159.37723657662</c:v>
                </c:pt>
                <c:pt idx="44">
                  <c:v>-13454.915028125273</c:v>
                </c:pt>
                <c:pt idx="45">
                  <c:v>-13756.550564175737</c:v>
                </c:pt>
                <c:pt idx="46">
                  <c:v>-14063.093427071388</c:v>
                </c:pt>
                <c:pt idx="47">
                  <c:v>-14373.33383217849</c:v>
                </c:pt>
                <c:pt idx="48">
                  <c:v>-14686.047402353446</c:v>
                </c:pt>
                <c:pt idx="49">
                  <c:v>-15000.000000000013</c:v>
                </c:pt>
                <c:pt idx="50">
                  <c:v>-15313.952597646579</c:v>
                </c:pt>
                <c:pt idx="51">
                  <c:v>-15626.666167821535</c:v>
                </c:pt>
                <c:pt idx="52">
                  <c:v>-15936.906572928638</c:v>
                </c:pt>
                <c:pt idx="53">
                  <c:v>-16243.449435824288</c:v>
                </c:pt>
                <c:pt idx="54">
                  <c:v>-16545.084971874752</c:v>
                </c:pt>
                <c:pt idx="55">
                  <c:v>-16840.622763423406</c:v>
                </c:pt>
                <c:pt idx="56">
                  <c:v>-17128.896457825376</c:v>
                </c:pt>
                <c:pt idx="57">
                  <c:v>-17408.768370508591</c:v>
                </c:pt>
                <c:pt idx="58">
                  <c:v>-17679.133974894998</c:v>
                </c:pt>
                <c:pt idx="59">
                  <c:v>-17938.92626146238</c:v>
                </c:pt>
                <c:pt idx="60">
                  <c:v>-18187.119948743461</c:v>
                </c:pt>
                <c:pt idx="61">
                  <c:v>-18422.735529643454</c:v>
                </c:pt>
                <c:pt idx="62">
                  <c:v>-18644.843137107069</c:v>
                </c:pt>
                <c:pt idx="63">
                  <c:v>-18852.566213878959</c:v>
                </c:pt>
                <c:pt idx="64">
                  <c:v>-19045.084971874749</c:v>
                </c:pt>
                <c:pt idx="65">
                  <c:v>-19221.639627510085</c:v>
                </c:pt>
                <c:pt idx="66">
                  <c:v>-19381.533400219327</c:v>
                </c:pt>
                <c:pt idx="67">
                  <c:v>-19524.135262330103</c:v>
                </c:pt>
                <c:pt idx="68">
                  <c:v>-19648.882429441263</c:v>
                </c:pt>
                <c:pt idx="69">
                  <c:v>-19755.282581475771</c:v>
                </c:pt>
                <c:pt idx="70">
                  <c:v>-19842.915805643155</c:v>
                </c:pt>
                <c:pt idx="71">
                  <c:v>-19911.436253643442</c:v>
                </c:pt>
                <c:pt idx="72">
                  <c:v>-19960.573506572389</c:v>
                </c:pt>
                <c:pt idx="73">
                  <c:v>-19990.133642141358</c:v>
                </c:pt>
                <c:pt idx="74">
                  <c:v>-20000</c:v>
                </c:pt>
                <c:pt idx="75">
                  <c:v>-19990.133642141358</c:v>
                </c:pt>
                <c:pt idx="76">
                  <c:v>-19960.573506572389</c:v>
                </c:pt>
                <c:pt idx="77">
                  <c:v>-19911.436253643446</c:v>
                </c:pt>
                <c:pt idx="78">
                  <c:v>-19842.915805643159</c:v>
                </c:pt>
                <c:pt idx="79">
                  <c:v>-19755.282581475771</c:v>
                </c:pt>
                <c:pt idx="80">
                  <c:v>-19648.882429441263</c:v>
                </c:pt>
                <c:pt idx="81">
                  <c:v>-19524.135262330103</c:v>
                </c:pt>
                <c:pt idx="82">
                  <c:v>-19381.533400219327</c:v>
                </c:pt>
                <c:pt idx="83">
                  <c:v>-19221.639627510085</c:v>
                </c:pt>
                <c:pt idx="84">
                  <c:v>-19045.084971874749</c:v>
                </c:pt>
                <c:pt idx="85">
                  <c:v>-18852.566213878959</c:v>
                </c:pt>
                <c:pt idx="86">
                  <c:v>-18644.843137107073</c:v>
                </c:pt>
                <c:pt idx="87">
                  <c:v>-18422.735529643462</c:v>
                </c:pt>
                <c:pt idx="88">
                  <c:v>-18187.119948743468</c:v>
                </c:pt>
                <c:pt idx="89">
                  <c:v>-17938.926261462388</c:v>
                </c:pt>
                <c:pt idx="90">
                  <c:v>-17679.133974895009</c:v>
                </c:pt>
                <c:pt idx="91">
                  <c:v>-17408.768370508602</c:v>
                </c:pt>
                <c:pt idx="92">
                  <c:v>-17128.896457825394</c:v>
                </c:pt>
                <c:pt idx="93">
                  <c:v>-16840.622763423424</c:v>
                </c:pt>
                <c:pt idx="94">
                  <c:v>-16545.08497187477</c:v>
                </c:pt>
                <c:pt idx="95">
                  <c:v>-16243.449435824312</c:v>
                </c:pt>
                <c:pt idx="96">
                  <c:v>-15936.906572928663</c:v>
                </c:pt>
                <c:pt idx="97">
                  <c:v>-15626.666167821562</c:v>
                </c:pt>
                <c:pt idx="98">
                  <c:v>-15313.95259764661</c:v>
                </c:pt>
                <c:pt idx="99">
                  <c:v>-15000.000000000045</c:v>
                </c:pt>
                <c:pt idx="100">
                  <c:v>-14686.047402353481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F6-40B9-9FAB-26AC76AF6F0B}"/>
            </c:ext>
          </c:extLst>
        </c:ser>
        <c:ser>
          <c:idx val="2"/>
          <c:order val="3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trajectoires'!$AG$5:$AG$105</c:f>
              <c:numCache>
                <c:formatCode>General</c:formatCode>
                <c:ptCount val="101"/>
                <c:pt idx="0">
                  <c:v>-16506.90645050105</c:v>
                </c:pt>
                <c:pt idx="1">
                  <c:v>-16527.598545399327</c:v>
                </c:pt>
                <c:pt idx="2">
                  <c:v>-16561.994622449591</c:v>
                </c:pt>
                <c:pt idx="3">
                  <c:v>-16609.958936049792</c:v>
                </c:pt>
                <c:pt idx="4">
                  <c:v>-16671.302192966963</c:v>
                </c:pt>
                <c:pt idx="5">
                  <c:v>-16745.782299391121</c:v>
                </c:pt>
                <c:pt idx="6">
                  <c:v>-16833.105316368932</c:v>
                </c:pt>
                <c:pt idx="7">
                  <c:v>-16932.926619846476</c:v>
                </c:pt>
                <c:pt idx="8">
                  <c:v>-17044.852260742948</c:v>
                </c:pt>
                <c:pt idx="9">
                  <c:v>-17168.440519687683</c:v>
                </c:pt>
                <c:pt idx="10">
                  <c:v>-17303.203650284737</c:v>
                </c:pt>
                <c:pt idx="11">
                  <c:v>-17448.609804025058</c:v>
                </c:pt>
                <c:pt idx="12">
                  <c:v>-17604.08512924959</c:v>
                </c:pt>
                <c:pt idx="13">
                  <c:v>-17769.016035879584</c:v>
                </c:pt>
                <c:pt idx="14">
                  <c:v>-17942.751616976344</c:v>
                </c:pt>
                <c:pt idx="15">
                  <c:v>-18124.60621757351</c:v>
                </c:pt>
                <c:pt idx="16">
                  <c:v>-18313.862140643996</c:v>
                </c:pt>
                <c:pt idx="17">
                  <c:v>-18509.772479522246</c:v>
                </c:pt>
                <c:pt idx="18">
                  <c:v>-18711.564065603627</c:v>
                </c:pt>
                <c:pt idx="19">
                  <c:v>-18918.440519687683</c:v>
                </c:pt>
                <c:pt idx="20">
                  <c:v>-19129.585394923008</c:v>
                </c:pt>
                <c:pt idx="21">
                  <c:v>-19344.165398949965</c:v>
                </c:pt>
                <c:pt idx="22">
                  <c:v>-19561.333682524935</c:v>
                </c:pt>
                <c:pt idx="23">
                  <c:v>-19780.233181647403</c:v>
                </c:pt>
                <c:pt idx="24">
                  <c:v>-20000.000000000004</c:v>
                </c:pt>
                <c:pt idx="25">
                  <c:v>-20219.7668183526</c:v>
                </c:pt>
                <c:pt idx="26">
                  <c:v>-20438.666317475068</c:v>
                </c:pt>
                <c:pt idx="27">
                  <c:v>-20655.834601050039</c:v>
                </c:pt>
                <c:pt idx="28">
                  <c:v>-20870.414605076996</c:v>
                </c:pt>
                <c:pt idx="29">
                  <c:v>-21081.55948031232</c:v>
                </c:pt>
                <c:pt idx="30">
                  <c:v>-21288.435934396377</c:v>
                </c:pt>
                <c:pt idx="31">
                  <c:v>-21490.227520477758</c:v>
                </c:pt>
                <c:pt idx="32">
                  <c:v>-21686.137859356008</c:v>
                </c:pt>
                <c:pt idx="33">
                  <c:v>-21875.39378242649</c:v>
                </c:pt>
                <c:pt idx="34">
                  <c:v>-22057.24838302366</c:v>
                </c:pt>
                <c:pt idx="35">
                  <c:v>-22230.983964120416</c:v>
                </c:pt>
                <c:pt idx="36">
                  <c:v>-22395.914870750414</c:v>
                </c:pt>
                <c:pt idx="37">
                  <c:v>-22551.390195974942</c:v>
                </c:pt>
                <c:pt idx="38">
                  <c:v>-22696.796349715267</c:v>
                </c:pt>
                <c:pt idx="39">
                  <c:v>-22831.55948031232</c:v>
                </c:pt>
                <c:pt idx="40">
                  <c:v>-22955.147739257056</c:v>
                </c:pt>
                <c:pt idx="41">
                  <c:v>-23067.073380153524</c:v>
                </c:pt>
                <c:pt idx="42">
                  <c:v>-23166.894683631072</c:v>
                </c:pt>
                <c:pt idx="43">
                  <c:v>-23254.217700608882</c:v>
                </c:pt>
                <c:pt idx="44">
                  <c:v>-23328.697807033041</c:v>
                </c:pt>
                <c:pt idx="45">
                  <c:v>-23390.041063950212</c:v>
                </c:pt>
                <c:pt idx="46">
                  <c:v>-23438.005377550413</c:v>
                </c:pt>
                <c:pt idx="47">
                  <c:v>-23472.401454600673</c:v>
                </c:pt>
                <c:pt idx="48">
                  <c:v>-23493.09354949895</c:v>
                </c:pt>
                <c:pt idx="49">
                  <c:v>-23500</c:v>
                </c:pt>
                <c:pt idx="50">
                  <c:v>-23493.09354949895</c:v>
                </c:pt>
                <c:pt idx="51">
                  <c:v>-23472.401454600673</c:v>
                </c:pt>
                <c:pt idx="52">
                  <c:v>-23438.005377550409</c:v>
                </c:pt>
                <c:pt idx="53">
                  <c:v>-23390.041063950208</c:v>
                </c:pt>
                <c:pt idx="54">
                  <c:v>-23328.697807033033</c:v>
                </c:pt>
                <c:pt idx="55">
                  <c:v>-23254.217700608875</c:v>
                </c:pt>
                <c:pt idx="56">
                  <c:v>-23166.894683631064</c:v>
                </c:pt>
                <c:pt idx="57">
                  <c:v>-23067.073380153517</c:v>
                </c:pt>
                <c:pt idx="58">
                  <c:v>-22955.147739257045</c:v>
                </c:pt>
                <c:pt idx="59">
                  <c:v>-22831.559480312309</c:v>
                </c:pt>
                <c:pt idx="60">
                  <c:v>-22696.796349715256</c:v>
                </c:pt>
                <c:pt idx="61">
                  <c:v>-22551.390195974931</c:v>
                </c:pt>
                <c:pt idx="62">
                  <c:v>-22395.914870750399</c:v>
                </c:pt>
                <c:pt idx="63">
                  <c:v>-22230.983964120405</c:v>
                </c:pt>
                <c:pt idx="64">
                  <c:v>-22057.248383023645</c:v>
                </c:pt>
                <c:pt idx="65">
                  <c:v>-21875.393782426479</c:v>
                </c:pt>
                <c:pt idx="66">
                  <c:v>-21686.137859355997</c:v>
                </c:pt>
                <c:pt idx="67">
                  <c:v>-21490.227520477747</c:v>
                </c:pt>
                <c:pt idx="68">
                  <c:v>-21288.435934396366</c:v>
                </c:pt>
                <c:pt idx="69">
                  <c:v>-21081.559480312309</c:v>
                </c:pt>
                <c:pt idx="70">
                  <c:v>-20870.414605076989</c:v>
                </c:pt>
                <c:pt idx="71">
                  <c:v>-20655.834601050032</c:v>
                </c:pt>
                <c:pt idx="72">
                  <c:v>-20438.666317475065</c:v>
                </c:pt>
                <c:pt idx="73">
                  <c:v>-20219.766818352597</c:v>
                </c:pt>
                <c:pt idx="74">
                  <c:v>-20000</c:v>
                </c:pt>
                <c:pt idx="75">
                  <c:v>-19780.233181647403</c:v>
                </c:pt>
                <c:pt idx="76">
                  <c:v>-19561.333682524939</c:v>
                </c:pt>
                <c:pt idx="77">
                  <c:v>-19344.165398949968</c:v>
                </c:pt>
                <c:pt idx="78">
                  <c:v>-19129.585394923015</c:v>
                </c:pt>
                <c:pt idx="79">
                  <c:v>-18918.440519687691</c:v>
                </c:pt>
                <c:pt idx="80">
                  <c:v>-18711.564065603634</c:v>
                </c:pt>
                <c:pt idx="81">
                  <c:v>-18509.772479522253</c:v>
                </c:pt>
                <c:pt idx="82">
                  <c:v>-18313.862140644007</c:v>
                </c:pt>
                <c:pt idx="83">
                  <c:v>-18124.606217573521</c:v>
                </c:pt>
                <c:pt idx="84">
                  <c:v>-17942.751616976355</c:v>
                </c:pt>
                <c:pt idx="85">
                  <c:v>-17769.016035879598</c:v>
                </c:pt>
                <c:pt idx="86">
                  <c:v>-17604.085129249601</c:v>
                </c:pt>
                <c:pt idx="87">
                  <c:v>-17448.609804025073</c:v>
                </c:pt>
                <c:pt idx="88">
                  <c:v>-17303.203650284748</c:v>
                </c:pt>
                <c:pt idx="89">
                  <c:v>-17168.440519687694</c:v>
                </c:pt>
                <c:pt idx="90">
                  <c:v>-17044.852260742959</c:v>
                </c:pt>
                <c:pt idx="91">
                  <c:v>-16932.926619846487</c:v>
                </c:pt>
                <c:pt idx="92">
                  <c:v>-16833.105316368943</c:v>
                </c:pt>
                <c:pt idx="93">
                  <c:v>-16745.782299391129</c:v>
                </c:pt>
                <c:pt idx="94">
                  <c:v>-16671.30219296697</c:v>
                </c:pt>
                <c:pt idx="95">
                  <c:v>-16609.958936049799</c:v>
                </c:pt>
                <c:pt idx="96">
                  <c:v>-16561.994622449594</c:v>
                </c:pt>
                <c:pt idx="97">
                  <c:v>-16527.598545399331</c:v>
                </c:pt>
                <c:pt idx="98">
                  <c:v>-16506.90645050105</c:v>
                </c:pt>
                <c:pt idx="99">
                  <c:v>-16500</c:v>
                </c:pt>
                <c:pt idx="100">
                  <c:v>-16506.906450501046</c:v>
                </c:pt>
              </c:numCache>
            </c:numRef>
          </c:xVal>
          <c:yVal>
            <c:numRef>
              <c:f>'conditions init+ trajectoires'!$AH$5:$AH$105</c:f>
              <c:numCache>
                <c:formatCode>General</c:formatCode>
                <c:ptCount val="101"/>
                <c:pt idx="0">
                  <c:v>10219.766818352597</c:v>
                </c:pt>
                <c:pt idx="1">
                  <c:v>10438.666317475065</c:v>
                </c:pt>
                <c:pt idx="2">
                  <c:v>10655.834601050035</c:v>
                </c:pt>
                <c:pt idx="3">
                  <c:v>10870.414605076992</c:v>
                </c:pt>
                <c:pt idx="4">
                  <c:v>11081.559480312317</c:v>
                </c:pt>
                <c:pt idx="5">
                  <c:v>11288.435934396373</c:v>
                </c:pt>
                <c:pt idx="6">
                  <c:v>11490.227520477754</c:v>
                </c:pt>
                <c:pt idx="7">
                  <c:v>11686.137859356004</c:v>
                </c:pt>
                <c:pt idx="8">
                  <c:v>11875.393782426489</c:v>
                </c:pt>
                <c:pt idx="9">
                  <c:v>12057.248383023656</c:v>
                </c:pt>
                <c:pt idx="10">
                  <c:v>12230.983964120414</c:v>
                </c:pt>
                <c:pt idx="11">
                  <c:v>12395.91487075041</c:v>
                </c:pt>
                <c:pt idx="12">
                  <c:v>12551.39019597494</c:v>
                </c:pt>
                <c:pt idx="13">
                  <c:v>12696.796349715261</c:v>
                </c:pt>
                <c:pt idx="14">
                  <c:v>12831.559480312315</c:v>
                </c:pt>
                <c:pt idx="15">
                  <c:v>12955.147739257052</c:v>
                </c:pt>
                <c:pt idx="16">
                  <c:v>13067.073380153523</c:v>
                </c:pt>
                <c:pt idx="17">
                  <c:v>13166.894683631068</c:v>
                </c:pt>
                <c:pt idx="18">
                  <c:v>13254.21770060888</c:v>
                </c:pt>
                <c:pt idx="19">
                  <c:v>13328.697807033037</c:v>
                </c:pt>
                <c:pt idx="20">
                  <c:v>13390.04106395021</c:v>
                </c:pt>
                <c:pt idx="21">
                  <c:v>13438.005377550411</c:v>
                </c:pt>
                <c:pt idx="22">
                  <c:v>13472.401454600673</c:v>
                </c:pt>
                <c:pt idx="23">
                  <c:v>13493.09354949895</c:v>
                </c:pt>
                <c:pt idx="24">
                  <c:v>13500</c:v>
                </c:pt>
                <c:pt idx="25">
                  <c:v>13493.09354949895</c:v>
                </c:pt>
                <c:pt idx="26">
                  <c:v>13472.401454600673</c:v>
                </c:pt>
                <c:pt idx="27">
                  <c:v>13438.005377550409</c:v>
                </c:pt>
                <c:pt idx="28">
                  <c:v>13390.041063950208</c:v>
                </c:pt>
                <c:pt idx="29">
                  <c:v>13328.697807033037</c:v>
                </c:pt>
                <c:pt idx="30">
                  <c:v>13254.217700608879</c:v>
                </c:pt>
                <c:pt idx="31">
                  <c:v>13166.894683631068</c:v>
                </c:pt>
                <c:pt idx="32">
                  <c:v>13067.073380153521</c:v>
                </c:pt>
                <c:pt idx="33">
                  <c:v>12955.14773925705</c:v>
                </c:pt>
                <c:pt idx="34">
                  <c:v>12831.559480312313</c:v>
                </c:pt>
                <c:pt idx="35">
                  <c:v>12696.79634971526</c:v>
                </c:pt>
                <c:pt idx="36">
                  <c:v>12551.390195974936</c:v>
                </c:pt>
                <c:pt idx="37">
                  <c:v>12395.914870750406</c:v>
                </c:pt>
                <c:pt idx="38">
                  <c:v>12230.983964120409</c:v>
                </c:pt>
                <c:pt idx="39">
                  <c:v>12057.248383023652</c:v>
                </c:pt>
                <c:pt idx="40">
                  <c:v>11875.393782426483</c:v>
                </c:pt>
                <c:pt idx="41">
                  <c:v>11686.137859355998</c:v>
                </c:pt>
                <c:pt idx="42">
                  <c:v>11490.227520477749</c:v>
                </c:pt>
                <c:pt idx="43">
                  <c:v>11288.435934396366</c:v>
                </c:pt>
                <c:pt idx="44">
                  <c:v>11081.559480312309</c:v>
                </c:pt>
                <c:pt idx="45">
                  <c:v>10870.414605076985</c:v>
                </c:pt>
                <c:pt idx="46">
                  <c:v>10655.834601050028</c:v>
                </c:pt>
                <c:pt idx="47">
                  <c:v>10438.666317475057</c:v>
                </c:pt>
                <c:pt idx="48">
                  <c:v>10219.766818352588</c:v>
                </c:pt>
                <c:pt idx="49">
                  <c:v>9999.9999999999909</c:v>
                </c:pt>
                <c:pt idx="50">
                  <c:v>9780.2331816473943</c:v>
                </c:pt>
                <c:pt idx="51">
                  <c:v>9561.3336825249262</c:v>
                </c:pt>
                <c:pt idx="52">
                  <c:v>9344.1653989499537</c:v>
                </c:pt>
                <c:pt idx="53">
                  <c:v>9129.5853949229986</c:v>
                </c:pt>
                <c:pt idx="54">
                  <c:v>8918.4405196876742</c:v>
                </c:pt>
                <c:pt idx="55">
                  <c:v>8711.5640656036176</c:v>
                </c:pt>
                <c:pt idx="56">
                  <c:v>8509.7724795222348</c:v>
                </c:pt>
                <c:pt idx="57">
                  <c:v>8313.862140643987</c:v>
                </c:pt>
                <c:pt idx="58">
                  <c:v>8124.6062175735024</c:v>
                </c:pt>
                <c:pt idx="59">
                  <c:v>7942.7516169763348</c:v>
                </c:pt>
                <c:pt idx="60">
                  <c:v>7769.0160358795765</c:v>
                </c:pt>
                <c:pt idx="61">
                  <c:v>7604.0851292495809</c:v>
                </c:pt>
                <c:pt idx="62">
                  <c:v>7448.6098040250508</c:v>
                </c:pt>
                <c:pt idx="63">
                  <c:v>7303.2036502847295</c:v>
                </c:pt>
                <c:pt idx="64">
                  <c:v>7168.4405196876769</c:v>
                </c:pt>
                <c:pt idx="65">
                  <c:v>7044.8522607429413</c:v>
                </c:pt>
                <c:pt idx="66">
                  <c:v>6932.9266198464729</c:v>
                </c:pt>
                <c:pt idx="67">
                  <c:v>6833.1053163689285</c:v>
                </c:pt>
                <c:pt idx="68">
                  <c:v>6745.7822993911177</c:v>
                </c:pt>
                <c:pt idx="69">
                  <c:v>6671.3021929669612</c:v>
                </c:pt>
                <c:pt idx="70">
                  <c:v>6609.9589360497903</c:v>
                </c:pt>
                <c:pt idx="71">
                  <c:v>6561.9946224495889</c:v>
                </c:pt>
                <c:pt idx="72">
                  <c:v>6527.5985453993271</c:v>
                </c:pt>
                <c:pt idx="73">
                  <c:v>6506.9064505010501</c:v>
                </c:pt>
                <c:pt idx="74">
                  <c:v>6500</c:v>
                </c:pt>
                <c:pt idx="75">
                  <c:v>6506.9064505010501</c:v>
                </c:pt>
                <c:pt idx="76">
                  <c:v>6527.5985453993271</c:v>
                </c:pt>
                <c:pt idx="77">
                  <c:v>6561.9946224495889</c:v>
                </c:pt>
                <c:pt idx="78">
                  <c:v>6609.9589360497903</c:v>
                </c:pt>
                <c:pt idx="79">
                  <c:v>6671.3021929669603</c:v>
                </c:pt>
                <c:pt idx="80">
                  <c:v>6745.7822993911177</c:v>
                </c:pt>
                <c:pt idx="81">
                  <c:v>6833.1053163689276</c:v>
                </c:pt>
                <c:pt idx="82">
                  <c:v>6932.926619846472</c:v>
                </c:pt>
                <c:pt idx="83">
                  <c:v>7044.8522607429404</c:v>
                </c:pt>
                <c:pt idx="84">
                  <c:v>7168.440519687676</c:v>
                </c:pt>
                <c:pt idx="85">
                  <c:v>7303.2036502847286</c:v>
                </c:pt>
                <c:pt idx="86">
                  <c:v>7448.609804025049</c:v>
                </c:pt>
                <c:pt idx="87">
                  <c:v>7604.0851292495772</c:v>
                </c:pt>
                <c:pt idx="88">
                  <c:v>7769.016035879572</c:v>
                </c:pt>
                <c:pt idx="89">
                  <c:v>7942.7516169763285</c:v>
                </c:pt>
                <c:pt idx="90">
                  <c:v>8124.6062175734942</c:v>
                </c:pt>
                <c:pt idx="91">
                  <c:v>8313.8621406439779</c:v>
                </c:pt>
                <c:pt idx="92">
                  <c:v>8509.7724795222239</c:v>
                </c:pt>
                <c:pt idx="93">
                  <c:v>8711.5640656036048</c:v>
                </c:pt>
                <c:pt idx="94">
                  <c:v>8918.4405196876596</c:v>
                </c:pt>
                <c:pt idx="95">
                  <c:v>9129.5853949229822</c:v>
                </c:pt>
                <c:pt idx="96">
                  <c:v>9344.1653989499355</c:v>
                </c:pt>
                <c:pt idx="97">
                  <c:v>9561.3336825249062</c:v>
                </c:pt>
                <c:pt idx="98">
                  <c:v>9780.2331816473725</c:v>
                </c:pt>
                <c:pt idx="99">
                  <c:v>9999.9999999999673</c:v>
                </c:pt>
                <c:pt idx="100">
                  <c:v>10219.766818352564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F6-40B9-9FAB-26AC76AF6F0B}"/>
            </c:ext>
          </c:extLst>
        </c:ser>
        <c:ser>
          <c:idx val="3"/>
          <c:order val="4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2763500" cap="sq">
                <a:gradFill>
                  <a:gsLst>
                    <a:gs pos="11000">
                      <a:srgbClr val="E06000">
                        <a:alpha val="99000"/>
                      </a:srgbClr>
                    </a:gs>
                    <a:gs pos="100000">
                      <a:srgbClr val="C00000"/>
                    </a:gs>
                    <a:gs pos="0">
                      <a:schemeClr val="accent4"/>
                    </a:gs>
                  </a:gsLst>
                  <a:lin ang="5400000" scaled="0"/>
                </a:gradFill>
                <a:bevel/>
                <a:headEnd type="triangle"/>
                <a:tailEnd type="stealth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BF-4F4D-BF89-22715AFAC7DC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gradFill>
                  <a:gsLst>
                    <a:gs pos="10000">
                      <a:srgbClr val="E06000"/>
                    </a:gs>
                    <a:gs pos="100000">
                      <a:srgbClr val="C00000"/>
                    </a:gs>
                    <a:gs pos="0">
                      <a:schemeClr val="accent4"/>
                    </a:gs>
                  </a:gsLst>
                  <a:lin ang="5400000" scaled="1"/>
                </a:gradFill>
                <a:round/>
                <a:headEnd type="non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BF-4F4D-BF89-22715AFAC7DC}"/>
              </c:ext>
            </c:extLst>
          </c:dPt>
          <c:xVal>
            <c:numRef>
              <c:f>'conditions init+ trajectoires'!$AN$4:$AN$1004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</c:numCache>
            </c:numRef>
          </c:xVal>
          <c:yVal>
            <c:numRef>
              <c:f>'conditions init+ trajectoires'!$AO$4:$AO$1004</c:f>
              <c:numCache>
                <c:formatCode>0.000</c:formatCode>
                <c:ptCount val="1001"/>
                <c:pt idx="0" formatCode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5-416C-87B1-3C8E32055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421344"/>
        <c:axId val="1816410944"/>
      </c:scatterChart>
      <c:valAx>
        <c:axId val="18164213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6410944"/>
        <c:crosses val="autoZero"/>
        <c:crossBetween val="midCat"/>
      </c:valAx>
      <c:valAx>
        <c:axId val="1816410944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6421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59197714310171E-2"/>
          <c:y val="2.0232370878071379E-2"/>
          <c:w val="0.90109353353712829"/>
          <c:h val="0.826231789443619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trajectoires'!$AE$5:$AE$105</c:f>
              <c:numCache>
                <c:formatCode>General</c:formatCode>
                <c:ptCount val="101"/>
                <c:pt idx="0">
                  <c:v>24990.133642141358</c:v>
                </c:pt>
                <c:pt idx="1">
                  <c:v>24960.573506572389</c:v>
                </c:pt>
                <c:pt idx="2">
                  <c:v>24911.436253643442</c:v>
                </c:pt>
                <c:pt idx="3">
                  <c:v>24842.915805643155</c:v>
                </c:pt>
                <c:pt idx="4">
                  <c:v>24755.282581475767</c:v>
                </c:pt>
                <c:pt idx="5">
                  <c:v>24648.882429441255</c:v>
                </c:pt>
                <c:pt idx="6">
                  <c:v>24524.135262330099</c:v>
                </c:pt>
                <c:pt idx="7">
                  <c:v>24381.533400219319</c:v>
                </c:pt>
                <c:pt idx="8">
                  <c:v>24221.639627510078</c:v>
                </c:pt>
                <c:pt idx="9">
                  <c:v>24045.084971874738</c:v>
                </c:pt>
                <c:pt idx="10">
                  <c:v>23852.566213878948</c:v>
                </c:pt>
                <c:pt idx="11">
                  <c:v>23644.843137107058</c:v>
                </c:pt>
                <c:pt idx="12">
                  <c:v>23422.735529643443</c:v>
                </c:pt>
                <c:pt idx="13">
                  <c:v>23187.11994874345</c:v>
                </c:pt>
                <c:pt idx="14">
                  <c:v>22938.926261462366</c:v>
                </c:pt>
                <c:pt idx="15">
                  <c:v>22679.133974894983</c:v>
                </c:pt>
                <c:pt idx="16">
                  <c:v>22408.768370508576</c:v>
                </c:pt>
                <c:pt idx="17">
                  <c:v>22128.896457825362</c:v>
                </c:pt>
                <c:pt idx="18">
                  <c:v>21840.622763423391</c:v>
                </c:pt>
                <c:pt idx="19">
                  <c:v>21545.084971874738</c:v>
                </c:pt>
                <c:pt idx="20">
                  <c:v>21243.449435824274</c:v>
                </c:pt>
                <c:pt idx="21">
                  <c:v>20936.906572928623</c:v>
                </c:pt>
                <c:pt idx="22">
                  <c:v>20626.666167821521</c:v>
                </c:pt>
                <c:pt idx="23">
                  <c:v>20313.952597646563</c:v>
                </c:pt>
                <c:pt idx="24">
                  <c:v>19999.999999999996</c:v>
                </c:pt>
                <c:pt idx="25">
                  <c:v>19686.04740235343</c:v>
                </c:pt>
                <c:pt idx="26">
                  <c:v>19373.333832178476</c:v>
                </c:pt>
                <c:pt idx="27">
                  <c:v>19063.093427071373</c:v>
                </c:pt>
                <c:pt idx="28">
                  <c:v>18756.550564175723</c:v>
                </c:pt>
                <c:pt idx="29">
                  <c:v>18454.915028125259</c:v>
                </c:pt>
                <c:pt idx="30">
                  <c:v>18159.377236576605</c:v>
                </c:pt>
                <c:pt idx="31">
                  <c:v>17871.103542174631</c:v>
                </c:pt>
                <c:pt idx="32">
                  <c:v>17591.23162949142</c:v>
                </c:pt>
                <c:pt idx="33">
                  <c:v>17320.866025105013</c:v>
                </c:pt>
                <c:pt idx="34">
                  <c:v>17061.073738537631</c:v>
                </c:pt>
                <c:pt idx="35">
                  <c:v>16812.880051256547</c:v>
                </c:pt>
                <c:pt idx="36">
                  <c:v>16577.264470356553</c:v>
                </c:pt>
                <c:pt idx="37">
                  <c:v>16355.156862892938</c:v>
                </c:pt>
                <c:pt idx="38">
                  <c:v>16147.433786121048</c:v>
                </c:pt>
                <c:pt idx="39">
                  <c:v>15954.915028125259</c:v>
                </c:pt>
                <c:pt idx="40">
                  <c:v>15778.360372489919</c:v>
                </c:pt>
                <c:pt idx="41">
                  <c:v>15618.466599780677</c:v>
                </c:pt>
                <c:pt idx="42">
                  <c:v>15475.864737669897</c:v>
                </c:pt>
                <c:pt idx="43">
                  <c:v>15351.117570558739</c:v>
                </c:pt>
                <c:pt idx="44">
                  <c:v>15244.717418524229</c:v>
                </c:pt>
                <c:pt idx="45">
                  <c:v>15157.084194356841</c:v>
                </c:pt>
                <c:pt idx="46">
                  <c:v>15088.563746356554</c:v>
                </c:pt>
                <c:pt idx="47">
                  <c:v>15039.426493427611</c:v>
                </c:pt>
                <c:pt idx="48">
                  <c:v>15009.866357858642</c:v>
                </c:pt>
                <c:pt idx="49">
                  <c:v>15000</c:v>
                </c:pt>
                <c:pt idx="50">
                  <c:v>15009.866357858642</c:v>
                </c:pt>
                <c:pt idx="51">
                  <c:v>15039.426493427613</c:v>
                </c:pt>
                <c:pt idx="52">
                  <c:v>15088.563746356558</c:v>
                </c:pt>
                <c:pt idx="53">
                  <c:v>15157.084194356848</c:v>
                </c:pt>
                <c:pt idx="54">
                  <c:v>15244.717418524237</c:v>
                </c:pt>
                <c:pt idx="55">
                  <c:v>15351.117570558748</c:v>
                </c:pt>
                <c:pt idx="56">
                  <c:v>15475.864737669908</c:v>
                </c:pt>
                <c:pt idx="57">
                  <c:v>15618.46659978069</c:v>
                </c:pt>
                <c:pt idx="58">
                  <c:v>15778.360372489933</c:v>
                </c:pt>
                <c:pt idx="59">
                  <c:v>15954.915028125273</c:v>
                </c:pt>
                <c:pt idx="60">
                  <c:v>16147.433786121064</c:v>
                </c:pt>
                <c:pt idx="61">
                  <c:v>16355.156862892954</c:v>
                </c:pt>
                <c:pt idx="62">
                  <c:v>16577.264470356571</c:v>
                </c:pt>
                <c:pt idx="63">
                  <c:v>16812.880051256565</c:v>
                </c:pt>
                <c:pt idx="64">
                  <c:v>17061.073738537649</c:v>
                </c:pt>
                <c:pt idx="65">
                  <c:v>17320.866025105031</c:v>
                </c:pt>
                <c:pt idx="66">
                  <c:v>17591.231629491434</c:v>
                </c:pt>
                <c:pt idx="67">
                  <c:v>17871.103542174649</c:v>
                </c:pt>
                <c:pt idx="68">
                  <c:v>18159.37723657662</c:v>
                </c:pt>
                <c:pt idx="69">
                  <c:v>18454.91502812527</c:v>
                </c:pt>
                <c:pt idx="70">
                  <c:v>18756.550564175734</c:v>
                </c:pt>
                <c:pt idx="71">
                  <c:v>19063.093427071381</c:v>
                </c:pt>
                <c:pt idx="72">
                  <c:v>19373.333832178483</c:v>
                </c:pt>
                <c:pt idx="73">
                  <c:v>19686.047402353433</c:v>
                </c:pt>
                <c:pt idx="74">
                  <c:v>20000</c:v>
                </c:pt>
                <c:pt idx="75">
                  <c:v>20313.952597646563</c:v>
                </c:pt>
                <c:pt idx="76">
                  <c:v>20626.666167821517</c:v>
                </c:pt>
                <c:pt idx="77">
                  <c:v>20936.906572928616</c:v>
                </c:pt>
                <c:pt idx="78">
                  <c:v>21243.449435824266</c:v>
                </c:pt>
                <c:pt idx="79">
                  <c:v>21545.084971874727</c:v>
                </c:pt>
                <c:pt idx="80">
                  <c:v>21840.62276342338</c:v>
                </c:pt>
                <c:pt idx="81">
                  <c:v>22128.896457825351</c:v>
                </c:pt>
                <c:pt idx="82">
                  <c:v>22408.768370508562</c:v>
                </c:pt>
                <c:pt idx="83">
                  <c:v>22679.133974894969</c:v>
                </c:pt>
                <c:pt idx="84">
                  <c:v>22938.926261462351</c:v>
                </c:pt>
                <c:pt idx="85">
                  <c:v>23187.119948743431</c:v>
                </c:pt>
                <c:pt idx="86">
                  <c:v>23422.735529643425</c:v>
                </c:pt>
                <c:pt idx="87">
                  <c:v>23644.84313710704</c:v>
                </c:pt>
                <c:pt idx="88">
                  <c:v>23852.56621387893</c:v>
                </c:pt>
                <c:pt idx="89">
                  <c:v>24045.084971874719</c:v>
                </c:pt>
                <c:pt idx="90">
                  <c:v>24221.63962751006</c:v>
                </c:pt>
                <c:pt idx="91">
                  <c:v>24381.533400219305</c:v>
                </c:pt>
                <c:pt idx="92">
                  <c:v>24524.135262330085</c:v>
                </c:pt>
                <c:pt idx="93">
                  <c:v>24648.882429441244</c:v>
                </c:pt>
                <c:pt idx="94">
                  <c:v>24755.282581475756</c:v>
                </c:pt>
                <c:pt idx="95">
                  <c:v>24842.915805643148</c:v>
                </c:pt>
                <c:pt idx="96">
                  <c:v>24911.436253643435</c:v>
                </c:pt>
                <c:pt idx="97">
                  <c:v>24960.573506572386</c:v>
                </c:pt>
                <c:pt idx="98">
                  <c:v>24990.133642141354</c:v>
                </c:pt>
                <c:pt idx="99">
                  <c:v>25000</c:v>
                </c:pt>
                <c:pt idx="100">
                  <c:v>24990.133642141362</c:v>
                </c:pt>
              </c:numCache>
            </c:numRef>
          </c:xVal>
          <c:yVal>
            <c:numRef>
              <c:f>'conditions init+ trajectoires'!$AF$5:$AF$105</c:f>
              <c:numCache>
                <c:formatCode>General</c:formatCode>
                <c:ptCount val="101"/>
                <c:pt idx="0">
                  <c:v>7813.9525976465666</c:v>
                </c:pt>
                <c:pt idx="1">
                  <c:v>8126.6661678215214</c:v>
                </c:pt>
                <c:pt idx="2">
                  <c:v>8436.9065729286231</c:v>
                </c:pt>
                <c:pt idx="3">
                  <c:v>8743.4494358242737</c:v>
                </c:pt>
                <c:pt idx="4">
                  <c:v>9045.0849718747377</c:v>
                </c:pt>
                <c:pt idx="5">
                  <c:v>9340.6227634233892</c:v>
                </c:pt>
                <c:pt idx="6">
                  <c:v>9628.8964578253635</c:v>
                </c:pt>
                <c:pt idx="7">
                  <c:v>9908.7683705085765</c:v>
                </c:pt>
                <c:pt idx="8">
                  <c:v>10179.133974894983</c:v>
                </c:pt>
                <c:pt idx="9">
                  <c:v>10438.926261462366</c:v>
                </c:pt>
                <c:pt idx="10">
                  <c:v>10687.119948743448</c:v>
                </c:pt>
                <c:pt idx="11">
                  <c:v>10922.735529643443</c:v>
                </c:pt>
                <c:pt idx="12">
                  <c:v>11144.843137107056</c:v>
                </c:pt>
                <c:pt idx="13">
                  <c:v>11352.566213878945</c:v>
                </c:pt>
                <c:pt idx="14">
                  <c:v>11545.084971874736</c:v>
                </c:pt>
                <c:pt idx="15">
                  <c:v>11721.639627510074</c:v>
                </c:pt>
                <c:pt idx="16">
                  <c:v>11881.533400219318</c:v>
                </c:pt>
                <c:pt idx="17">
                  <c:v>12024.135262330099</c:v>
                </c:pt>
                <c:pt idx="18">
                  <c:v>12148.882429441257</c:v>
                </c:pt>
                <c:pt idx="19">
                  <c:v>12255.282581475767</c:v>
                </c:pt>
                <c:pt idx="20">
                  <c:v>12342.915805643155</c:v>
                </c:pt>
                <c:pt idx="21">
                  <c:v>12411.436253643444</c:v>
                </c:pt>
                <c:pt idx="22">
                  <c:v>12460.573506572389</c:v>
                </c:pt>
                <c:pt idx="23">
                  <c:v>12490.133642141358</c:v>
                </c:pt>
                <c:pt idx="24">
                  <c:v>12500</c:v>
                </c:pt>
                <c:pt idx="25">
                  <c:v>12490.133642141358</c:v>
                </c:pt>
                <c:pt idx="26">
                  <c:v>12460.573506572389</c:v>
                </c:pt>
                <c:pt idx="27">
                  <c:v>12411.436253643442</c:v>
                </c:pt>
                <c:pt idx="28">
                  <c:v>12342.915805643155</c:v>
                </c:pt>
                <c:pt idx="29">
                  <c:v>12255.282581475767</c:v>
                </c:pt>
                <c:pt idx="30">
                  <c:v>12148.882429441255</c:v>
                </c:pt>
                <c:pt idx="31">
                  <c:v>12024.135262330095</c:v>
                </c:pt>
                <c:pt idx="32">
                  <c:v>11881.533400219316</c:v>
                </c:pt>
                <c:pt idx="33">
                  <c:v>11721.639627510072</c:v>
                </c:pt>
                <c:pt idx="34">
                  <c:v>11545.084971874734</c:v>
                </c:pt>
                <c:pt idx="35">
                  <c:v>11352.566213878941</c:v>
                </c:pt>
                <c:pt idx="36">
                  <c:v>11144.843137107053</c:v>
                </c:pt>
                <c:pt idx="37">
                  <c:v>10922.735529643438</c:v>
                </c:pt>
                <c:pt idx="38">
                  <c:v>10687.119948743442</c:v>
                </c:pt>
                <c:pt idx="39">
                  <c:v>10438.926261462359</c:v>
                </c:pt>
                <c:pt idx="40">
                  <c:v>10179.133974894976</c:v>
                </c:pt>
                <c:pt idx="41">
                  <c:v>9908.7683705085692</c:v>
                </c:pt>
                <c:pt idx="42">
                  <c:v>9628.8964578253544</c:v>
                </c:pt>
                <c:pt idx="43">
                  <c:v>9340.6227634233801</c:v>
                </c:pt>
                <c:pt idx="44">
                  <c:v>9045.0849718747268</c:v>
                </c:pt>
                <c:pt idx="45">
                  <c:v>8743.4494358242628</c:v>
                </c:pt>
                <c:pt idx="46">
                  <c:v>8436.9065729286121</c:v>
                </c:pt>
                <c:pt idx="47">
                  <c:v>8126.6661678215096</c:v>
                </c:pt>
                <c:pt idx="48">
                  <c:v>7813.9525976465548</c:v>
                </c:pt>
                <c:pt idx="49">
                  <c:v>7499.9999999999873</c:v>
                </c:pt>
                <c:pt idx="50">
                  <c:v>7186.0474023534198</c:v>
                </c:pt>
                <c:pt idx="51">
                  <c:v>6873.3338321784649</c:v>
                </c:pt>
                <c:pt idx="52">
                  <c:v>6563.0934270713633</c:v>
                </c:pt>
                <c:pt idx="53">
                  <c:v>6256.5505641757118</c:v>
                </c:pt>
                <c:pt idx="54">
                  <c:v>5954.9150281252487</c:v>
                </c:pt>
                <c:pt idx="55">
                  <c:v>5659.3772365765963</c:v>
                </c:pt>
                <c:pt idx="56">
                  <c:v>5371.1035421746219</c:v>
                </c:pt>
                <c:pt idx="57">
                  <c:v>5091.231629491409</c:v>
                </c:pt>
                <c:pt idx="58">
                  <c:v>4820.8660251050023</c:v>
                </c:pt>
                <c:pt idx="59">
                  <c:v>4561.0737385376206</c:v>
                </c:pt>
                <c:pt idx="60">
                  <c:v>4312.8800512565376</c:v>
                </c:pt>
                <c:pt idx="61">
                  <c:v>4077.2644703565438</c:v>
                </c:pt>
                <c:pt idx="62">
                  <c:v>3855.1568628929299</c:v>
                </c:pt>
                <c:pt idx="63">
                  <c:v>3647.433786121042</c:v>
                </c:pt>
                <c:pt idx="64">
                  <c:v>3454.9150281252528</c:v>
                </c:pt>
                <c:pt idx="65">
                  <c:v>3278.3603724899167</c:v>
                </c:pt>
                <c:pt idx="66">
                  <c:v>3118.4665997806751</c:v>
                </c:pt>
                <c:pt idx="67">
                  <c:v>2975.8647376698973</c:v>
                </c:pt>
                <c:pt idx="68">
                  <c:v>2851.1175705587393</c:v>
                </c:pt>
                <c:pt idx="69">
                  <c:v>2744.7174185242293</c:v>
                </c:pt>
                <c:pt idx="70">
                  <c:v>2657.084194356843</c:v>
                </c:pt>
                <c:pt idx="71">
                  <c:v>2588.5637463565563</c:v>
                </c:pt>
                <c:pt idx="72">
                  <c:v>2539.4264934276107</c:v>
                </c:pt>
                <c:pt idx="73">
                  <c:v>2509.866357858642</c:v>
                </c:pt>
                <c:pt idx="74">
                  <c:v>2500</c:v>
                </c:pt>
                <c:pt idx="75">
                  <c:v>2509.866357858642</c:v>
                </c:pt>
                <c:pt idx="76">
                  <c:v>2539.4264934276098</c:v>
                </c:pt>
                <c:pt idx="77">
                  <c:v>2588.5637463565554</c:v>
                </c:pt>
                <c:pt idx="78">
                  <c:v>2657.0841943568421</c:v>
                </c:pt>
                <c:pt idx="79">
                  <c:v>2744.7174185242293</c:v>
                </c:pt>
                <c:pt idx="80">
                  <c:v>2851.1175705587384</c:v>
                </c:pt>
                <c:pt idx="81">
                  <c:v>2975.8647376698964</c:v>
                </c:pt>
                <c:pt idx="82">
                  <c:v>3118.4665997806751</c:v>
                </c:pt>
                <c:pt idx="83">
                  <c:v>3278.3603724899158</c:v>
                </c:pt>
                <c:pt idx="84">
                  <c:v>3454.9150281252519</c:v>
                </c:pt>
                <c:pt idx="85">
                  <c:v>3647.4337861210411</c:v>
                </c:pt>
                <c:pt idx="86">
                  <c:v>3855.1568628929272</c:v>
                </c:pt>
                <c:pt idx="87">
                  <c:v>4077.2644703565393</c:v>
                </c:pt>
                <c:pt idx="88">
                  <c:v>4312.8800512565313</c:v>
                </c:pt>
                <c:pt idx="89">
                  <c:v>4561.0737385376124</c:v>
                </c:pt>
                <c:pt idx="90">
                  <c:v>4820.8660251049914</c:v>
                </c:pt>
                <c:pt idx="91">
                  <c:v>5091.2316294913962</c:v>
                </c:pt>
                <c:pt idx="92">
                  <c:v>5371.1035421746074</c:v>
                </c:pt>
                <c:pt idx="93">
                  <c:v>5659.3772365765781</c:v>
                </c:pt>
                <c:pt idx="94">
                  <c:v>5954.9150281252278</c:v>
                </c:pt>
                <c:pt idx="95">
                  <c:v>6256.550564175689</c:v>
                </c:pt>
                <c:pt idx="96">
                  <c:v>6563.0934270713369</c:v>
                </c:pt>
                <c:pt idx="97">
                  <c:v>6873.3338321784368</c:v>
                </c:pt>
                <c:pt idx="98">
                  <c:v>7186.0474023533898</c:v>
                </c:pt>
                <c:pt idx="99">
                  <c:v>7499.9999999999545</c:v>
                </c:pt>
                <c:pt idx="100">
                  <c:v>7813.9525976465193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E-465E-94BF-0D32CEB4627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trajectoires'!$AI$5:$AI$105</c:f>
              <c:numCache>
                <c:formatCode>General</c:formatCode>
                <c:ptCount val="101"/>
                <c:pt idx="0">
                  <c:v>-9.8663578586420044</c:v>
                </c:pt>
                <c:pt idx="1">
                  <c:v>-39.426493427610694</c:v>
                </c:pt>
                <c:pt idx="2">
                  <c:v>-88.563746356556294</c:v>
                </c:pt>
                <c:pt idx="3">
                  <c:v>-157.08419435684482</c:v>
                </c:pt>
                <c:pt idx="4">
                  <c:v>-244.71741852423202</c:v>
                </c:pt>
                <c:pt idx="5">
                  <c:v>-351.11757055874295</c:v>
                </c:pt>
                <c:pt idx="6">
                  <c:v>-475.86473766990184</c:v>
                </c:pt>
                <c:pt idx="7">
                  <c:v>-618.46659978068237</c:v>
                </c:pt>
                <c:pt idx="8">
                  <c:v>-778.36037248992398</c:v>
                </c:pt>
                <c:pt idx="9">
                  <c:v>-954.91502812526278</c:v>
                </c:pt>
                <c:pt idx="10">
                  <c:v>-1147.4337861210533</c:v>
                </c:pt>
                <c:pt idx="11">
                  <c:v>-1355.1568628929417</c:v>
                </c:pt>
                <c:pt idx="12">
                  <c:v>-1577.2644703565556</c:v>
                </c:pt>
                <c:pt idx="13">
                  <c:v>-1812.8800512565508</c:v>
                </c:pt>
                <c:pt idx="14">
                  <c:v>-2061.0737385376333</c:v>
                </c:pt>
                <c:pt idx="15">
                  <c:v>-2320.866025105016</c:v>
                </c:pt>
                <c:pt idx="16">
                  <c:v>-2591.2316294914235</c:v>
                </c:pt>
                <c:pt idx="17">
                  <c:v>-2871.1035421746369</c:v>
                </c:pt>
                <c:pt idx="18">
                  <c:v>-3159.3772365766108</c:v>
                </c:pt>
                <c:pt idx="19">
                  <c:v>-3454.9150281252637</c:v>
                </c:pt>
                <c:pt idx="20">
                  <c:v>-3756.5505641757272</c:v>
                </c:pt>
                <c:pt idx="21">
                  <c:v>-4063.0934270713788</c:v>
                </c:pt>
                <c:pt idx="22">
                  <c:v>-4373.3338321784813</c:v>
                </c:pt>
                <c:pt idx="23">
                  <c:v>-4686.0474023534352</c:v>
                </c:pt>
                <c:pt idx="24">
                  <c:v>-5000.0000000000027</c:v>
                </c:pt>
                <c:pt idx="25">
                  <c:v>-5313.9525976465702</c:v>
                </c:pt>
                <c:pt idx="26">
                  <c:v>-5626.6661678215251</c:v>
                </c:pt>
                <c:pt idx="27">
                  <c:v>-5936.9065729286276</c:v>
                </c:pt>
                <c:pt idx="28">
                  <c:v>-6243.4494358242782</c:v>
                </c:pt>
                <c:pt idx="29">
                  <c:v>-6545.0849718747422</c:v>
                </c:pt>
                <c:pt idx="30">
                  <c:v>-6840.6227634233946</c:v>
                </c:pt>
                <c:pt idx="31">
                  <c:v>-7128.8964578253672</c:v>
                </c:pt>
                <c:pt idx="32">
                  <c:v>-7408.768370508581</c:v>
                </c:pt>
                <c:pt idx="33">
                  <c:v>-7679.1339748949877</c:v>
                </c:pt>
                <c:pt idx="34">
                  <c:v>-7938.9262614623713</c:v>
                </c:pt>
                <c:pt idx="35">
                  <c:v>-8187.1199487434533</c:v>
                </c:pt>
                <c:pt idx="36">
                  <c:v>-8422.7355296434489</c:v>
                </c:pt>
                <c:pt idx="37">
                  <c:v>-8644.8431371070619</c:v>
                </c:pt>
                <c:pt idx="38">
                  <c:v>-8852.5662138789521</c:v>
                </c:pt>
                <c:pt idx="39">
                  <c:v>-9045.0849718747413</c:v>
                </c:pt>
                <c:pt idx="40">
                  <c:v>-9221.6396275100815</c:v>
                </c:pt>
                <c:pt idx="41">
                  <c:v>-9381.5334002193231</c:v>
                </c:pt>
                <c:pt idx="42">
                  <c:v>-9524.1352623301027</c:v>
                </c:pt>
                <c:pt idx="43">
                  <c:v>-9648.8824294412607</c:v>
                </c:pt>
                <c:pt idx="44">
                  <c:v>-9755.2825814757707</c:v>
                </c:pt>
                <c:pt idx="45">
                  <c:v>-9842.9158056431588</c:v>
                </c:pt>
                <c:pt idx="46">
                  <c:v>-9911.4362536434455</c:v>
                </c:pt>
                <c:pt idx="47">
                  <c:v>-9960.5735065723893</c:v>
                </c:pt>
                <c:pt idx="48">
                  <c:v>-9990.133642141358</c:v>
                </c:pt>
                <c:pt idx="49">
                  <c:v>-10000</c:v>
                </c:pt>
                <c:pt idx="50">
                  <c:v>-9990.133642141358</c:v>
                </c:pt>
                <c:pt idx="51">
                  <c:v>-9960.5735065723875</c:v>
                </c:pt>
                <c:pt idx="52">
                  <c:v>-9911.4362536434419</c:v>
                </c:pt>
                <c:pt idx="53">
                  <c:v>-9842.9158056431515</c:v>
                </c:pt>
                <c:pt idx="54">
                  <c:v>-9755.2825814757634</c:v>
                </c:pt>
                <c:pt idx="55">
                  <c:v>-9648.8824294412516</c:v>
                </c:pt>
                <c:pt idx="56">
                  <c:v>-9524.1352623300918</c:v>
                </c:pt>
                <c:pt idx="57">
                  <c:v>-9381.5334002193104</c:v>
                </c:pt>
                <c:pt idx="58">
                  <c:v>-9221.6396275100669</c:v>
                </c:pt>
                <c:pt idx="59">
                  <c:v>-9045.0849718747268</c:v>
                </c:pt>
                <c:pt idx="60">
                  <c:v>-8852.5662138789357</c:v>
                </c:pt>
                <c:pt idx="61">
                  <c:v>-8644.8431371070455</c:v>
                </c:pt>
                <c:pt idx="62">
                  <c:v>-8422.7355296434289</c:v>
                </c:pt>
                <c:pt idx="63">
                  <c:v>-8187.1199487434342</c:v>
                </c:pt>
                <c:pt idx="64">
                  <c:v>-7938.9262614623512</c:v>
                </c:pt>
                <c:pt idx="65">
                  <c:v>-7679.1339748949704</c:v>
                </c:pt>
                <c:pt idx="66">
                  <c:v>-7408.7683705085647</c:v>
                </c:pt>
                <c:pt idx="67">
                  <c:v>-7128.8964578253526</c:v>
                </c:pt>
                <c:pt idx="68">
                  <c:v>-6840.622763423381</c:v>
                </c:pt>
                <c:pt idx="69">
                  <c:v>-6545.0849718747295</c:v>
                </c:pt>
                <c:pt idx="70">
                  <c:v>-6243.4494358242682</c:v>
                </c:pt>
                <c:pt idx="71">
                  <c:v>-5936.9065729286185</c:v>
                </c:pt>
                <c:pt idx="72">
                  <c:v>-5626.6661678215187</c:v>
                </c:pt>
                <c:pt idx="73">
                  <c:v>-5313.9525976465657</c:v>
                </c:pt>
                <c:pt idx="74">
                  <c:v>-5000.0000000000009</c:v>
                </c:pt>
                <c:pt idx="75">
                  <c:v>-4686.0474023534362</c:v>
                </c:pt>
                <c:pt idx="76">
                  <c:v>-4373.3338321784831</c:v>
                </c:pt>
                <c:pt idx="77">
                  <c:v>-4063.0934270713828</c:v>
                </c:pt>
                <c:pt idx="78">
                  <c:v>-3756.5505641757336</c:v>
                </c:pt>
                <c:pt idx="79">
                  <c:v>-3454.9150281252723</c:v>
                </c:pt>
                <c:pt idx="80">
                  <c:v>-3159.3772365766208</c:v>
                </c:pt>
                <c:pt idx="81">
                  <c:v>-2871.1035421746487</c:v>
                </c:pt>
                <c:pt idx="82">
                  <c:v>-2591.2316294914372</c:v>
                </c:pt>
                <c:pt idx="83">
                  <c:v>-2320.866025105031</c:v>
                </c:pt>
                <c:pt idx="84">
                  <c:v>-2061.0737385376492</c:v>
                </c:pt>
                <c:pt idx="85">
                  <c:v>-1812.8800512565672</c:v>
                </c:pt>
                <c:pt idx="86">
                  <c:v>-1577.2644703565729</c:v>
                </c:pt>
                <c:pt idx="87">
                  <c:v>-1355.156862892959</c:v>
                </c:pt>
                <c:pt idx="88">
                  <c:v>-1147.4337861210702</c:v>
                </c:pt>
                <c:pt idx="89">
                  <c:v>-954.9150281252796</c:v>
                </c:pt>
                <c:pt idx="90">
                  <c:v>-778.36037248994035</c:v>
                </c:pt>
                <c:pt idx="91">
                  <c:v>-618.46659978069692</c:v>
                </c:pt>
                <c:pt idx="92">
                  <c:v>-475.86473766991639</c:v>
                </c:pt>
                <c:pt idx="93">
                  <c:v>-351.11757055875569</c:v>
                </c:pt>
                <c:pt idx="94">
                  <c:v>-244.71741852424384</c:v>
                </c:pt>
                <c:pt idx="95">
                  <c:v>-157.08419435685391</c:v>
                </c:pt>
                <c:pt idx="96">
                  <c:v>-88.563746356564479</c:v>
                </c:pt>
                <c:pt idx="97">
                  <c:v>-39.426493427616151</c:v>
                </c:pt>
                <c:pt idx="98">
                  <c:v>-9.8663578586447329</c:v>
                </c:pt>
                <c:pt idx="99">
                  <c:v>0</c:v>
                </c:pt>
                <c:pt idx="100">
                  <c:v>-9.8663578586392759</c:v>
                </c:pt>
              </c:numCache>
            </c:numRef>
          </c:xVal>
          <c:yVal>
            <c:numRef>
              <c:f>'conditions init+ trajectoires'!$AJ$5:$AJ$105</c:f>
              <c:numCache>
                <c:formatCode>General</c:formatCode>
                <c:ptCount val="101"/>
                <c:pt idx="0">
                  <c:v>-14686.047402353433</c:v>
                </c:pt>
                <c:pt idx="1">
                  <c:v>-14373.333832178479</c:v>
                </c:pt>
                <c:pt idx="2">
                  <c:v>-14063.093427071377</c:v>
                </c:pt>
                <c:pt idx="3">
                  <c:v>-13756.550564175726</c:v>
                </c:pt>
                <c:pt idx="4">
                  <c:v>-13454.915028125262</c:v>
                </c:pt>
                <c:pt idx="5">
                  <c:v>-13159.377236576611</c:v>
                </c:pt>
                <c:pt idx="6">
                  <c:v>-12871.103542174636</c:v>
                </c:pt>
                <c:pt idx="7">
                  <c:v>-12591.231629491424</c:v>
                </c:pt>
                <c:pt idx="8">
                  <c:v>-12320.866025105017</c:v>
                </c:pt>
                <c:pt idx="9">
                  <c:v>-12061.073738537634</c:v>
                </c:pt>
                <c:pt idx="10">
                  <c:v>-11812.880051256552</c:v>
                </c:pt>
                <c:pt idx="11">
                  <c:v>-11577.264470356557</c:v>
                </c:pt>
                <c:pt idx="12">
                  <c:v>-11355.156862892944</c:v>
                </c:pt>
                <c:pt idx="13">
                  <c:v>-11147.433786121055</c:v>
                </c:pt>
                <c:pt idx="14">
                  <c:v>-10954.915028125264</c:v>
                </c:pt>
                <c:pt idx="15">
                  <c:v>-10778.360372489926</c:v>
                </c:pt>
                <c:pt idx="16">
                  <c:v>-10618.466599780682</c:v>
                </c:pt>
                <c:pt idx="17">
                  <c:v>-10475.864737669901</c:v>
                </c:pt>
                <c:pt idx="18">
                  <c:v>-10351.117570558743</c:v>
                </c:pt>
                <c:pt idx="19">
                  <c:v>-10244.717418524233</c:v>
                </c:pt>
                <c:pt idx="20">
                  <c:v>-10157.084194356845</c:v>
                </c:pt>
                <c:pt idx="21">
                  <c:v>-10088.563746356556</c:v>
                </c:pt>
                <c:pt idx="22">
                  <c:v>-10039.426493427611</c:v>
                </c:pt>
                <c:pt idx="23">
                  <c:v>-10009.866357858642</c:v>
                </c:pt>
                <c:pt idx="24">
                  <c:v>-10000</c:v>
                </c:pt>
                <c:pt idx="25">
                  <c:v>-10009.866357858642</c:v>
                </c:pt>
                <c:pt idx="26">
                  <c:v>-10039.426493427611</c:v>
                </c:pt>
                <c:pt idx="27">
                  <c:v>-10088.563746356558</c:v>
                </c:pt>
                <c:pt idx="28">
                  <c:v>-10157.084194356845</c:v>
                </c:pt>
                <c:pt idx="29">
                  <c:v>-10244.717418524233</c:v>
                </c:pt>
                <c:pt idx="30">
                  <c:v>-10351.117570558745</c:v>
                </c:pt>
                <c:pt idx="31">
                  <c:v>-10475.864737669905</c:v>
                </c:pt>
                <c:pt idx="32">
                  <c:v>-10618.466599780684</c:v>
                </c:pt>
                <c:pt idx="33">
                  <c:v>-10778.360372489928</c:v>
                </c:pt>
                <c:pt idx="34">
                  <c:v>-10954.915028125266</c:v>
                </c:pt>
                <c:pt idx="35">
                  <c:v>-11147.433786121059</c:v>
                </c:pt>
                <c:pt idx="36">
                  <c:v>-11355.156862892947</c:v>
                </c:pt>
                <c:pt idx="37">
                  <c:v>-11577.264470356562</c:v>
                </c:pt>
                <c:pt idx="38">
                  <c:v>-11812.880051256558</c:v>
                </c:pt>
                <c:pt idx="39">
                  <c:v>-12061.073738537641</c:v>
                </c:pt>
                <c:pt idx="40">
                  <c:v>-12320.866025105024</c:v>
                </c:pt>
                <c:pt idx="41">
                  <c:v>-12591.231629491431</c:v>
                </c:pt>
                <c:pt idx="42">
                  <c:v>-12871.103542174646</c:v>
                </c:pt>
                <c:pt idx="43">
                  <c:v>-13159.37723657662</c:v>
                </c:pt>
                <c:pt idx="44">
                  <c:v>-13454.915028125273</c:v>
                </c:pt>
                <c:pt idx="45">
                  <c:v>-13756.550564175737</c:v>
                </c:pt>
                <c:pt idx="46">
                  <c:v>-14063.093427071388</c:v>
                </c:pt>
                <c:pt idx="47">
                  <c:v>-14373.33383217849</c:v>
                </c:pt>
                <c:pt idx="48">
                  <c:v>-14686.047402353446</c:v>
                </c:pt>
                <c:pt idx="49">
                  <c:v>-15000.000000000013</c:v>
                </c:pt>
                <c:pt idx="50">
                  <c:v>-15313.952597646579</c:v>
                </c:pt>
                <c:pt idx="51">
                  <c:v>-15626.666167821535</c:v>
                </c:pt>
                <c:pt idx="52">
                  <c:v>-15936.906572928638</c:v>
                </c:pt>
                <c:pt idx="53">
                  <c:v>-16243.449435824288</c:v>
                </c:pt>
                <c:pt idx="54">
                  <c:v>-16545.084971874752</c:v>
                </c:pt>
                <c:pt idx="55">
                  <c:v>-16840.622763423406</c:v>
                </c:pt>
                <c:pt idx="56">
                  <c:v>-17128.896457825376</c:v>
                </c:pt>
                <c:pt idx="57">
                  <c:v>-17408.768370508591</c:v>
                </c:pt>
                <c:pt idx="58">
                  <c:v>-17679.133974894998</c:v>
                </c:pt>
                <c:pt idx="59">
                  <c:v>-17938.92626146238</c:v>
                </c:pt>
                <c:pt idx="60">
                  <c:v>-18187.119948743461</c:v>
                </c:pt>
                <c:pt idx="61">
                  <c:v>-18422.735529643454</c:v>
                </c:pt>
                <c:pt idx="62">
                  <c:v>-18644.843137107069</c:v>
                </c:pt>
                <c:pt idx="63">
                  <c:v>-18852.566213878959</c:v>
                </c:pt>
                <c:pt idx="64">
                  <c:v>-19045.084971874749</c:v>
                </c:pt>
                <c:pt idx="65">
                  <c:v>-19221.639627510085</c:v>
                </c:pt>
                <c:pt idx="66">
                  <c:v>-19381.533400219327</c:v>
                </c:pt>
                <c:pt idx="67">
                  <c:v>-19524.135262330103</c:v>
                </c:pt>
                <c:pt idx="68">
                  <c:v>-19648.882429441263</c:v>
                </c:pt>
                <c:pt idx="69">
                  <c:v>-19755.282581475771</c:v>
                </c:pt>
                <c:pt idx="70">
                  <c:v>-19842.915805643155</c:v>
                </c:pt>
                <c:pt idx="71">
                  <c:v>-19911.436253643442</c:v>
                </c:pt>
                <c:pt idx="72">
                  <c:v>-19960.573506572389</c:v>
                </c:pt>
                <c:pt idx="73">
                  <c:v>-19990.133642141358</c:v>
                </c:pt>
                <c:pt idx="74">
                  <c:v>-20000</c:v>
                </c:pt>
                <c:pt idx="75">
                  <c:v>-19990.133642141358</c:v>
                </c:pt>
                <c:pt idx="76">
                  <c:v>-19960.573506572389</c:v>
                </c:pt>
                <c:pt idx="77">
                  <c:v>-19911.436253643446</c:v>
                </c:pt>
                <c:pt idx="78">
                  <c:v>-19842.915805643159</c:v>
                </c:pt>
                <c:pt idx="79">
                  <c:v>-19755.282581475771</c:v>
                </c:pt>
                <c:pt idx="80">
                  <c:v>-19648.882429441263</c:v>
                </c:pt>
                <c:pt idx="81">
                  <c:v>-19524.135262330103</c:v>
                </c:pt>
                <c:pt idx="82">
                  <c:v>-19381.533400219327</c:v>
                </c:pt>
                <c:pt idx="83">
                  <c:v>-19221.639627510085</c:v>
                </c:pt>
                <c:pt idx="84">
                  <c:v>-19045.084971874749</c:v>
                </c:pt>
                <c:pt idx="85">
                  <c:v>-18852.566213878959</c:v>
                </c:pt>
                <c:pt idx="86">
                  <c:v>-18644.843137107073</c:v>
                </c:pt>
                <c:pt idx="87">
                  <c:v>-18422.735529643462</c:v>
                </c:pt>
                <c:pt idx="88">
                  <c:v>-18187.119948743468</c:v>
                </c:pt>
                <c:pt idx="89">
                  <c:v>-17938.926261462388</c:v>
                </c:pt>
                <c:pt idx="90">
                  <c:v>-17679.133974895009</c:v>
                </c:pt>
                <c:pt idx="91">
                  <c:v>-17408.768370508602</c:v>
                </c:pt>
                <c:pt idx="92">
                  <c:v>-17128.896457825394</c:v>
                </c:pt>
                <c:pt idx="93">
                  <c:v>-16840.622763423424</c:v>
                </c:pt>
                <c:pt idx="94">
                  <c:v>-16545.08497187477</c:v>
                </c:pt>
                <c:pt idx="95">
                  <c:v>-16243.449435824312</c:v>
                </c:pt>
                <c:pt idx="96">
                  <c:v>-15936.906572928663</c:v>
                </c:pt>
                <c:pt idx="97">
                  <c:v>-15626.666167821562</c:v>
                </c:pt>
                <c:pt idx="98">
                  <c:v>-15313.95259764661</c:v>
                </c:pt>
                <c:pt idx="99">
                  <c:v>-15000.000000000045</c:v>
                </c:pt>
                <c:pt idx="100">
                  <c:v>-14686.047402353481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E-465E-94BF-0D32CEB4627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init+ trajectoires'!$AG$5:$AG$105</c:f>
              <c:numCache>
                <c:formatCode>General</c:formatCode>
                <c:ptCount val="101"/>
                <c:pt idx="0">
                  <c:v>-16506.90645050105</c:v>
                </c:pt>
                <c:pt idx="1">
                  <c:v>-16527.598545399327</c:v>
                </c:pt>
                <c:pt idx="2">
                  <c:v>-16561.994622449591</c:v>
                </c:pt>
                <c:pt idx="3">
                  <c:v>-16609.958936049792</c:v>
                </c:pt>
                <c:pt idx="4">
                  <c:v>-16671.302192966963</c:v>
                </c:pt>
                <c:pt idx="5">
                  <c:v>-16745.782299391121</c:v>
                </c:pt>
                <c:pt idx="6">
                  <c:v>-16833.105316368932</c:v>
                </c:pt>
                <c:pt idx="7">
                  <c:v>-16932.926619846476</c:v>
                </c:pt>
                <c:pt idx="8">
                  <c:v>-17044.852260742948</c:v>
                </c:pt>
                <c:pt idx="9">
                  <c:v>-17168.440519687683</c:v>
                </c:pt>
                <c:pt idx="10">
                  <c:v>-17303.203650284737</c:v>
                </c:pt>
                <c:pt idx="11">
                  <c:v>-17448.609804025058</c:v>
                </c:pt>
                <c:pt idx="12">
                  <c:v>-17604.08512924959</c:v>
                </c:pt>
                <c:pt idx="13">
                  <c:v>-17769.016035879584</c:v>
                </c:pt>
                <c:pt idx="14">
                  <c:v>-17942.751616976344</c:v>
                </c:pt>
                <c:pt idx="15">
                  <c:v>-18124.60621757351</c:v>
                </c:pt>
                <c:pt idx="16">
                  <c:v>-18313.862140643996</c:v>
                </c:pt>
                <c:pt idx="17">
                  <c:v>-18509.772479522246</c:v>
                </c:pt>
                <c:pt idx="18">
                  <c:v>-18711.564065603627</c:v>
                </c:pt>
                <c:pt idx="19">
                  <c:v>-18918.440519687683</c:v>
                </c:pt>
                <c:pt idx="20">
                  <c:v>-19129.585394923008</c:v>
                </c:pt>
                <c:pt idx="21">
                  <c:v>-19344.165398949965</c:v>
                </c:pt>
                <c:pt idx="22">
                  <c:v>-19561.333682524935</c:v>
                </c:pt>
                <c:pt idx="23">
                  <c:v>-19780.233181647403</c:v>
                </c:pt>
                <c:pt idx="24">
                  <c:v>-20000.000000000004</c:v>
                </c:pt>
                <c:pt idx="25">
                  <c:v>-20219.7668183526</c:v>
                </c:pt>
                <c:pt idx="26">
                  <c:v>-20438.666317475068</c:v>
                </c:pt>
                <c:pt idx="27">
                  <c:v>-20655.834601050039</c:v>
                </c:pt>
                <c:pt idx="28">
                  <c:v>-20870.414605076996</c:v>
                </c:pt>
                <c:pt idx="29">
                  <c:v>-21081.55948031232</c:v>
                </c:pt>
                <c:pt idx="30">
                  <c:v>-21288.435934396377</c:v>
                </c:pt>
                <c:pt idx="31">
                  <c:v>-21490.227520477758</c:v>
                </c:pt>
                <c:pt idx="32">
                  <c:v>-21686.137859356008</c:v>
                </c:pt>
                <c:pt idx="33">
                  <c:v>-21875.39378242649</c:v>
                </c:pt>
                <c:pt idx="34">
                  <c:v>-22057.24838302366</c:v>
                </c:pt>
                <c:pt idx="35">
                  <c:v>-22230.983964120416</c:v>
                </c:pt>
                <c:pt idx="36">
                  <c:v>-22395.914870750414</c:v>
                </c:pt>
                <c:pt idx="37">
                  <c:v>-22551.390195974942</c:v>
                </c:pt>
                <c:pt idx="38">
                  <c:v>-22696.796349715267</c:v>
                </c:pt>
                <c:pt idx="39">
                  <c:v>-22831.55948031232</c:v>
                </c:pt>
                <c:pt idx="40">
                  <c:v>-22955.147739257056</c:v>
                </c:pt>
                <c:pt idx="41">
                  <c:v>-23067.073380153524</c:v>
                </c:pt>
                <c:pt idx="42">
                  <c:v>-23166.894683631072</c:v>
                </c:pt>
                <c:pt idx="43">
                  <c:v>-23254.217700608882</c:v>
                </c:pt>
                <c:pt idx="44">
                  <c:v>-23328.697807033041</c:v>
                </c:pt>
                <c:pt idx="45">
                  <c:v>-23390.041063950212</c:v>
                </c:pt>
                <c:pt idx="46">
                  <c:v>-23438.005377550413</c:v>
                </c:pt>
                <c:pt idx="47">
                  <c:v>-23472.401454600673</c:v>
                </c:pt>
                <c:pt idx="48">
                  <c:v>-23493.09354949895</c:v>
                </c:pt>
                <c:pt idx="49">
                  <c:v>-23500</c:v>
                </c:pt>
                <c:pt idx="50">
                  <c:v>-23493.09354949895</c:v>
                </c:pt>
                <c:pt idx="51">
                  <c:v>-23472.401454600673</c:v>
                </c:pt>
                <c:pt idx="52">
                  <c:v>-23438.005377550409</c:v>
                </c:pt>
                <c:pt idx="53">
                  <c:v>-23390.041063950208</c:v>
                </c:pt>
                <c:pt idx="54">
                  <c:v>-23328.697807033033</c:v>
                </c:pt>
                <c:pt idx="55">
                  <c:v>-23254.217700608875</c:v>
                </c:pt>
                <c:pt idx="56">
                  <c:v>-23166.894683631064</c:v>
                </c:pt>
                <c:pt idx="57">
                  <c:v>-23067.073380153517</c:v>
                </c:pt>
                <c:pt idx="58">
                  <c:v>-22955.147739257045</c:v>
                </c:pt>
                <c:pt idx="59">
                  <c:v>-22831.559480312309</c:v>
                </c:pt>
                <c:pt idx="60">
                  <c:v>-22696.796349715256</c:v>
                </c:pt>
                <c:pt idx="61">
                  <c:v>-22551.390195974931</c:v>
                </c:pt>
                <c:pt idx="62">
                  <c:v>-22395.914870750399</c:v>
                </c:pt>
                <c:pt idx="63">
                  <c:v>-22230.983964120405</c:v>
                </c:pt>
                <c:pt idx="64">
                  <c:v>-22057.248383023645</c:v>
                </c:pt>
                <c:pt idx="65">
                  <c:v>-21875.393782426479</c:v>
                </c:pt>
                <c:pt idx="66">
                  <c:v>-21686.137859355997</c:v>
                </c:pt>
                <c:pt idx="67">
                  <c:v>-21490.227520477747</c:v>
                </c:pt>
                <c:pt idx="68">
                  <c:v>-21288.435934396366</c:v>
                </c:pt>
                <c:pt idx="69">
                  <c:v>-21081.559480312309</c:v>
                </c:pt>
                <c:pt idx="70">
                  <c:v>-20870.414605076989</c:v>
                </c:pt>
                <c:pt idx="71">
                  <c:v>-20655.834601050032</c:v>
                </c:pt>
                <c:pt idx="72">
                  <c:v>-20438.666317475065</c:v>
                </c:pt>
                <c:pt idx="73">
                  <c:v>-20219.766818352597</c:v>
                </c:pt>
                <c:pt idx="74">
                  <c:v>-20000</c:v>
                </c:pt>
                <c:pt idx="75">
                  <c:v>-19780.233181647403</c:v>
                </c:pt>
                <c:pt idx="76">
                  <c:v>-19561.333682524939</c:v>
                </c:pt>
                <c:pt idx="77">
                  <c:v>-19344.165398949968</c:v>
                </c:pt>
                <c:pt idx="78">
                  <c:v>-19129.585394923015</c:v>
                </c:pt>
                <c:pt idx="79">
                  <c:v>-18918.440519687691</c:v>
                </c:pt>
                <c:pt idx="80">
                  <c:v>-18711.564065603634</c:v>
                </c:pt>
                <c:pt idx="81">
                  <c:v>-18509.772479522253</c:v>
                </c:pt>
                <c:pt idx="82">
                  <c:v>-18313.862140644007</c:v>
                </c:pt>
                <c:pt idx="83">
                  <c:v>-18124.606217573521</c:v>
                </c:pt>
                <c:pt idx="84">
                  <c:v>-17942.751616976355</c:v>
                </c:pt>
                <c:pt idx="85">
                  <c:v>-17769.016035879598</c:v>
                </c:pt>
                <c:pt idx="86">
                  <c:v>-17604.085129249601</c:v>
                </c:pt>
                <c:pt idx="87">
                  <c:v>-17448.609804025073</c:v>
                </c:pt>
                <c:pt idx="88">
                  <c:v>-17303.203650284748</c:v>
                </c:pt>
                <c:pt idx="89">
                  <c:v>-17168.440519687694</c:v>
                </c:pt>
                <c:pt idx="90">
                  <c:v>-17044.852260742959</c:v>
                </c:pt>
                <c:pt idx="91">
                  <c:v>-16932.926619846487</c:v>
                </c:pt>
                <c:pt idx="92">
                  <c:v>-16833.105316368943</c:v>
                </c:pt>
                <c:pt idx="93">
                  <c:v>-16745.782299391129</c:v>
                </c:pt>
                <c:pt idx="94">
                  <c:v>-16671.30219296697</c:v>
                </c:pt>
                <c:pt idx="95">
                  <c:v>-16609.958936049799</c:v>
                </c:pt>
                <c:pt idx="96">
                  <c:v>-16561.994622449594</c:v>
                </c:pt>
                <c:pt idx="97">
                  <c:v>-16527.598545399331</c:v>
                </c:pt>
                <c:pt idx="98">
                  <c:v>-16506.90645050105</c:v>
                </c:pt>
                <c:pt idx="99">
                  <c:v>-16500</c:v>
                </c:pt>
                <c:pt idx="100">
                  <c:v>-16506.906450501046</c:v>
                </c:pt>
              </c:numCache>
            </c:numRef>
          </c:xVal>
          <c:yVal>
            <c:numRef>
              <c:f>'conditions init+ trajectoires'!$AH$5:$AH$105</c:f>
              <c:numCache>
                <c:formatCode>General</c:formatCode>
                <c:ptCount val="101"/>
                <c:pt idx="0">
                  <c:v>10219.766818352597</c:v>
                </c:pt>
                <c:pt idx="1">
                  <c:v>10438.666317475065</c:v>
                </c:pt>
                <c:pt idx="2">
                  <c:v>10655.834601050035</c:v>
                </c:pt>
                <c:pt idx="3">
                  <c:v>10870.414605076992</c:v>
                </c:pt>
                <c:pt idx="4">
                  <c:v>11081.559480312317</c:v>
                </c:pt>
                <c:pt idx="5">
                  <c:v>11288.435934396373</c:v>
                </c:pt>
                <c:pt idx="6">
                  <c:v>11490.227520477754</c:v>
                </c:pt>
                <c:pt idx="7">
                  <c:v>11686.137859356004</c:v>
                </c:pt>
                <c:pt idx="8">
                  <c:v>11875.393782426489</c:v>
                </c:pt>
                <c:pt idx="9">
                  <c:v>12057.248383023656</c:v>
                </c:pt>
                <c:pt idx="10">
                  <c:v>12230.983964120414</c:v>
                </c:pt>
                <c:pt idx="11">
                  <c:v>12395.91487075041</c:v>
                </c:pt>
                <c:pt idx="12">
                  <c:v>12551.39019597494</c:v>
                </c:pt>
                <c:pt idx="13">
                  <c:v>12696.796349715261</c:v>
                </c:pt>
                <c:pt idx="14">
                  <c:v>12831.559480312315</c:v>
                </c:pt>
                <c:pt idx="15">
                  <c:v>12955.147739257052</c:v>
                </c:pt>
                <c:pt idx="16">
                  <c:v>13067.073380153523</c:v>
                </c:pt>
                <c:pt idx="17">
                  <c:v>13166.894683631068</c:v>
                </c:pt>
                <c:pt idx="18">
                  <c:v>13254.21770060888</c:v>
                </c:pt>
                <c:pt idx="19">
                  <c:v>13328.697807033037</c:v>
                </c:pt>
                <c:pt idx="20">
                  <c:v>13390.04106395021</c:v>
                </c:pt>
                <c:pt idx="21">
                  <c:v>13438.005377550411</c:v>
                </c:pt>
                <c:pt idx="22">
                  <c:v>13472.401454600673</c:v>
                </c:pt>
                <c:pt idx="23">
                  <c:v>13493.09354949895</c:v>
                </c:pt>
                <c:pt idx="24">
                  <c:v>13500</c:v>
                </c:pt>
                <c:pt idx="25">
                  <c:v>13493.09354949895</c:v>
                </c:pt>
                <c:pt idx="26">
                  <c:v>13472.401454600673</c:v>
                </c:pt>
                <c:pt idx="27">
                  <c:v>13438.005377550409</c:v>
                </c:pt>
                <c:pt idx="28">
                  <c:v>13390.041063950208</c:v>
                </c:pt>
                <c:pt idx="29">
                  <c:v>13328.697807033037</c:v>
                </c:pt>
                <c:pt idx="30">
                  <c:v>13254.217700608879</c:v>
                </c:pt>
                <c:pt idx="31">
                  <c:v>13166.894683631068</c:v>
                </c:pt>
                <c:pt idx="32">
                  <c:v>13067.073380153521</c:v>
                </c:pt>
                <c:pt idx="33">
                  <c:v>12955.14773925705</c:v>
                </c:pt>
                <c:pt idx="34">
                  <c:v>12831.559480312313</c:v>
                </c:pt>
                <c:pt idx="35">
                  <c:v>12696.79634971526</c:v>
                </c:pt>
                <c:pt idx="36">
                  <c:v>12551.390195974936</c:v>
                </c:pt>
                <c:pt idx="37">
                  <c:v>12395.914870750406</c:v>
                </c:pt>
                <c:pt idx="38">
                  <c:v>12230.983964120409</c:v>
                </c:pt>
                <c:pt idx="39">
                  <c:v>12057.248383023652</c:v>
                </c:pt>
                <c:pt idx="40">
                  <c:v>11875.393782426483</c:v>
                </c:pt>
                <c:pt idx="41">
                  <c:v>11686.137859355998</c:v>
                </c:pt>
                <c:pt idx="42">
                  <c:v>11490.227520477749</c:v>
                </c:pt>
                <c:pt idx="43">
                  <c:v>11288.435934396366</c:v>
                </c:pt>
                <c:pt idx="44">
                  <c:v>11081.559480312309</c:v>
                </c:pt>
                <c:pt idx="45">
                  <c:v>10870.414605076985</c:v>
                </c:pt>
                <c:pt idx="46">
                  <c:v>10655.834601050028</c:v>
                </c:pt>
                <c:pt idx="47">
                  <c:v>10438.666317475057</c:v>
                </c:pt>
                <c:pt idx="48">
                  <c:v>10219.766818352588</c:v>
                </c:pt>
                <c:pt idx="49">
                  <c:v>9999.9999999999909</c:v>
                </c:pt>
                <c:pt idx="50">
                  <c:v>9780.2331816473943</c:v>
                </c:pt>
                <c:pt idx="51">
                  <c:v>9561.3336825249262</c:v>
                </c:pt>
                <c:pt idx="52">
                  <c:v>9344.1653989499537</c:v>
                </c:pt>
                <c:pt idx="53">
                  <c:v>9129.5853949229986</c:v>
                </c:pt>
                <c:pt idx="54">
                  <c:v>8918.4405196876742</c:v>
                </c:pt>
                <c:pt idx="55">
                  <c:v>8711.5640656036176</c:v>
                </c:pt>
                <c:pt idx="56">
                  <c:v>8509.7724795222348</c:v>
                </c:pt>
                <c:pt idx="57">
                  <c:v>8313.862140643987</c:v>
                </c:pt>
                <c:pt idx="58">
                  <c:v>8124.6062175735024</c:v>
                </c:pt>
                <c:pt idx="59">
                  <c:v>7942.7516169763348</c:v>
                </c:pt>
                <c:pt idx="60">
                  <c:v>7769.0160358795765</c:v>
                </c:pt>
                <c:pt idx="61">
                  <c:v>7604.0851292495809</c:v>
                </c:pt>
                <c:pt idx="62">
                  <c:v>7448.6098040250508</c:v>
                </c:pt>
                <c:pt idx="63">
                  <c:v>7303.2036502847295</c:v>
                </c:pt>
                <c:pt idx="64">
                  <c:v>7168.4405196876769</c:v>
                </c:pt>
                <c:pt idx="65">
                  <c:v>7044.8522607429413</c:v>
                </c:pt>
                <c:pt idx="66">
                  <c:v>6932.9266198464729</c:v>
                </c:pt>
                <c:pt idx="67">
                  <c:v>6833.1053163689285</c:v>
                </c:pt>
                <c:pt idx="68">
                  <c:v>6745.7822993911177</c:v>
                </c:pt>
                <c:pt idx="69">
                  <c:v>6671.3021929669612</c:v>
                </c:pt>
                <c:pt idx="70">
                  <c:v>6609.9589360497903</c:v>
                </c:pt>
                <c:pt idx="71">
                  <c:v>6561.9946224495889</c:v>
                </c:pt>
                <c:pt idx="72">
                  <c:v>6527.5985453993271</c:v>
                </c:pt>
                <c:pt idx="73">
                  <c:v>6506.9064505010501</c:v>
                </c:pt>
                <c:pt idx="74">
                  <c:v>6500</c:v>
                </c:pt>
                <c:pt idx="75">
                  <c:v>6506.9064505010501</c:v>
                </c:pt>
                <c:pt idx="76">
                  <c:v>6527.5985453993271</c:v>
                </c:pt>
                <c:pt idx="77">
                  <c:v>6561.9946224495889</c:v>
                </c:pt>
                <c:pt idx="78">
                  <c:v>6609.9589360497903</c:v>
                </c:pt>
                <c:pt idx="79">
                  <c:v>6671.3021929669603</c:v>
                </c:pt>
                <c:pt idx="80">
                  <c:v>6745.7822993911177</c:v>
                </c:pt>
                <c:pt idx="81">
                  <c:v>6833.1053163689276</c:v>
                </c:pt>
                <c:pt idx="82">
                  <c:v>6932.926619846472</c:v>
                </c:pt>
                <c:pt idx="83">
                  <c:v>7044.8522607429404</c:v>
                </c:pt>
                <c:pt idx="84">
                  <c:v>7168.440519687676</c:v>
                </c:pt>
                <c:pt idx="85">
                  <c:v>7303.2036502847286</c:v>
                </c:pt>
                <c:pt idx="86">
                  <c:v>7448.609804025049</c:v>
                </c:pt>
                <c:pt idx="87">
                  <c:v>7604.0851292495772</c:v>
                </c:pt>
                <c:pt idx="88">
                  <c:v>7769.016035879572</c:v>
                </c:pt>
                <c:pt idx="89">
                  <c:v>7942.7516169763285</c:v>
                </c:pt>
                <c:pt idx="90">
                  <c:v>8124.6062175734942</c:v>
                </c:pt>
                <c:pt idx="91">
                  <c:v>8313.8621406439779</c:v>
                </c:pt>
                <c:pt idx="92">
                  <c:v>8509.7724795222239</c:v>
                </c:pt>
                <c:pt idx="93">
                  <c:v>8711.5640656036048</c:v>
                </c:pt>
                <c:pt idx="94">
                  <c:v>8918.4405196876596</c:v>
                </c:pt>
                <c:pt idx="95">
                  <c:v>9129.5853949229822</c:v>
                </c:pt>
                <c:pt idx="96">
                  <c:v>9344.1653989499355</c:v>
                </c:pt>
                <c:pt idx="97">
                  <c:v>9561.3336825249062</c:v>
                </c:pt>
                <c:pt idx="98">
                  <c:v>9780.2331816473725</c:v>
                </c:pt>
                <c:pt idx="99">
                  <c:v>9999.9999999999673</c:v>
                </c:pt>
                <c:pt idx="100">
                  <c:v>10219.766818352564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3E-465E-94BF-0D32CEB4627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'simulations en mouvement'!$F$14:$F$18</c:f>
            </c:numRef>
          </c:xVal>
          <c:yVal>
            <c:numRef>
              <c:f>'simulations en mouvement'!$G$14:$G$18</c:f>
            </c:numRef>
          </c:yVal>
          <c:smooth val="1"/>
          <c:extLst>
            <c:ext xmlns:c16="http://schemas.microsoft.com/office/drawing/2014/chart" uri="{C3380CC4-5D6E-409C-BE32-E72D297353CC}">
              <c16:uniqueId val="{00000009-8C35-4BCE-98C5-B9C47415D570}"/>
            </c:ext>
          </c:extLst>
        </c:ser>
        <c:ser>
          <c:idx val="4"/>
          <c:order val="4"/>
          <c:tx>
            <c:v>naisseau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'simulations en mouvement'!$F$14:$F$18</c:f>
            </c:numRef>
          </c:xVal>
          <c:yVal>
            <c:numRef>
              <c:f>'simulations en mouvement'!$G$14:$G$18</c:f>
            </c:numRef>
          </c:yVal>
          <c:smooth val="1"/>
          <c:extLst>
            <c:ext xmlns:c16="http://schemas.microsoft.com/office/drawing/2014/chart" uri="{C3380CC4-5D6E-409C-BE32-E72D297353CC}">
              <c16:uniqueId val="{00000000-F856-4613-B574-42BCEC407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421344"/>
        <c:axId val="1816410944"/>
      </c:scatterChart>
      <c:valAx>
        <c:axId val="18164213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6410944"/>
        <c:crosses val="autoZero"/>
        <c:crossBetween val="midCat"/>
      </c:valAx>
      <c:valAx>
        <c:axId val="1816410944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642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372195</xdr:colOff>
      <xdr:row>39</xdr:row>
      <xdr:rowOff>61216</xdr:rowOff>
    </xdr:from>
    <xdr:to>
      <xdr:col>9</xdr:col>
      <xdr:colOff>763488</xdr:colOff>
      <xdr:row>76</xdr:row>
      <xdr:rowOff>151501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927190</xdr:colOff>
      <xdr:row>5</xdr:row>
      <xdr:rowOff>124370</xdr:rowOff>
    </xdr:from>
    <xdr:to>
      <xdr:col>18</xdr:col>
      <xdr:colOff>472440</xdr:colOff>
      <xdr:row>9</xdr:row>
      <xdr:rowOff>13609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4D898FC-0D95-6381-9644-CE610914CD21}"/>
            </a:ext>
          </a:extLst>
        </xdr:cNvPr>
        <xdr:cNvSpPr txBox="1"/>
      </xdr:nvSpPr>
      <xdr:spPr>
        <a:xfrm>
          <a:off x="10424976" y="1335406"/>
          <a:ext cx="6784250" cy="624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1100"/>
            <a:t>Mon ajout</a:t>
          </a:r>
          <a:r>
            <a:rPr lang="fr-CA" sz="1100" baseline="0"/>
            <a:t> pour le projet est un navete triangulaire en 2 dés qui suis le chemain tracer  a la page 1</a:t>
          </a:r>
        </a:p>
        <a:p>
          <a:r>
            <a:rPr lang="fr-CA" sz="1100" baseline="0"/>
            <a:t>peux etre esseyer a la page 2.</a:t>
          </a:r>
          <a:endParaRPr lang="fr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460466</xdr:colOff>
      <xdr:row>6</xdr:row>
      <xdr:rowOff>93889</xdr:rowOff>
    </xdr:from>
    <xdr:to>
      <xdr:col>18</xdr:col>
      <xdr:colOff>611252</xdr:colOff>
      <xdr:row>47</xdr:row>
      <xdr:rowOff>102900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2</xdr:row>
          <xdr:rowOff>57150</xdr:rowOff>
        </xdr:from>
        <xdr:to>
          <xdr:col>14</xdr:col>
          <xdr:colOff>742950</xdr:colOff>
          <xdr:row>5</xdr:row>
          <xdr:rowOff>114300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304800</xdr:colOff>
      <xdr:row>6</xdr:row>
      <xdr:rowOff>95250</xdr:rowOff>
    </xdr:from>
    <xdr:to>
      <xdr:col>22</xdr:col>
      <xdr:colOff>714375</xdr:colOff>
      <xdr:row>12</xdr:row>
      <xdr:rowOff>161925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A6D0983-E5D2-FE87-6C5C-62F8904B66CE}"/>
            </a:ext>
          </a:extLst>
        </xdr:cNvPr>
        <xdr:cNvSpPr txBox="1"/>
      </xdr:nvSpPr>
      <xdr:spPr>
        <a:xfrm>
          <a:off x="9772650" y="1181100"/>
          <a:ext cx="1990725" cy="1152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1100"/>
            <a:t>mot</a:t>
          </a:r>
          <a:r>
            <a:rPr lang="fr-CA" sz="1100" baseline="0"/>
            <a:t> de passe pour enleveer protection "1"</a:t>
          </a:r>
          <a:endParaRPr lang="fr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F0EB7-575B-4868-8967-13BA8B3D084B}">
  <sheetPr codeName="Feuil1"/>
  <dimension ref="A1:BL1005"/>
  <sheetViews>
    <sheetView showGridLines="0" tabSelected="1" zoomScale="70" zoomScaleNormal="70" workbookViewId="0">
      <selection activeCell="U12" sqref="U12"/>
    </sheetView>
  </sheetViews>
  <sheetFormatPr baseColWidth="10" defaultRowHeight="14.4" x14ac:dyDescent="0.3"/>
  <cols>
    <col min="2" max="5" width="11.5546875" customWidth="1"/>
    <col min="6" max="6" width="14.6640625" customWidth="1"/>
    <col min="7" max="7" width="12.21875" bestFit="1" customWidth="1"/>
    <col min="8" max="8" width="12.109375" bestFit="1" customWidth="1"/>
    <col min="9" max="9" width="11.6640625" bestFit="1" customWidth="1"/>
    <col min="10" max="10" width="15" bestFit="1" customWidth="1"/>
    <col min="11" max="27" width="15" customWidth="1"/>
    <col min="28" max="28" width="1" customWidth="1"/>
    <col min="29" max="31" width="0.88671875" customWidth="1"/>
    <col min="32" max="32" width="1" customWidth="1"/>
    <col min="33" max="33" width="0.88671875" customWidth="1"/>
    <col min="34" max="34" width="1" customWidth="1"/>
    <col min="35" max="35" width="0.77734375" customWidth="1"/>
    <col min="36" max="36" width="0.5546875" customWidth="1"/>
    <col min="37" max="37" width="0.6640625" customWidth="1"/>
    <col min="38" max="39" width="0.88671875" customWidth="1"/>
    <col min="40" max="40" width="1.33203125" customWidth="1"/>
    <col min="41" max="41" width="1" customWidth="1"/>
    <col min="42" max="43" width="1.21875" customWidth="1"/>
    <col min="44" max="44" width="0.88671875" customWidth="1"/>
    <col min="45" max="45" width="0.5546875" customWidth="1"/>
    <col min="46" max="46" width="0.77734375" customWidth="1"/>
    <col min="47" max="47" width="1.21875" customWidth="1"/>
    <col min="48" max="48" width="1.6640625" customWidth="1"/>
    <col min="49" max="49" width="0.5546875" customWidth="1"/>
    <col min="50" max="51" width="1.33203125" customWidth="1"/>
    <col min="52" max="52" width="1.5546875" customWidth="1"/>
    <col min="53" max="53" width="1.21875" customWidth="1"/>
    <col min="54" max="54" width="1.33203125" customWidth="1"/>
    <col min="55" max="56" width="1.21875" customWidth="1"/>
    <col min="57" max="57" width="1.44140625" customWidth="1"/>
    <col min="58" max="58" width="2.109375" customWidth="1"/>
    <col min="59" max="59" width="1.5546875" customWidth="1"/>
    <col min="60" max="60" width="8.44140625" customWidth="1"/>
    <col min="61" max="61" width="15.44140625" hidden="1" customWidth="1"/>
    <col min="62" max="62" width="1.44140625" customWidth="1"/>
    <col min="63" max="63" width="10.109375" customWidth="1"/>
    <col min="64" max="64" width="15.44140625" customWidth="1"/>
  </cols>
  <sheetData>
    <row r="1" spans="1:64" ht="24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C1">
        <f>2*PI()/100</f>
        <v>6.2831853071795868E-2</v>
      </c>
      <c r="AF1" s="55" t="s">
        <v>78</v>
      </c>
      <c r="AG1" s="55"/>
      <c r="AH1" s="55"/>
      <c r="AI1" s="55"/>
    </row>
    <row r="2" spans="1:64" ht="12.6" customHeight="1" thickBot="1" x14ac:dyDescent="0.35">
      <c r="A2" s="46"/>
      <c r="B2" s="46"/>
      <c r="C2" s="46"/>
      <c r="D2" s="46"/>
      <c r="E2" s="46"/>
      <c r="F2" s="46"/>
      <c r="G2" s="58"/>
      <c r="H2" s="58"/>
      <c r="I2" s="58"/>
      <c r="J2" s="58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46"/>
      <c r="AC2" s="19"/>
      <c r="AD2" s="19"/>
      <c r="AE2" s="55"/>
      <c r="AF2" s="55"/>
      <c r="AG2" s="55"/>
      <c r="AH2" s="55"/>
      <c r="AI2" s="19"/>
      <c r="AJ2" s="19"/>
      <c r="AX2" s="29" t="s">
        <v>81</v>
      </c>
      <c r="AY2" s="29"/>
      <c r="BA2" s="29" t="s">
        <v>82</v>
      </c>
      <c r="BB2" s="29"/>
      <c r="BD2" s="29" t="s">
        <v>83</v>
      </c>
      <c r="BE2" s="29"/>
      <c r="BG2" t="s">
        <v>80</v>
      </c>
    </row>
    <row r="3" spans="1:64" ht="21.6" customHeight="1" thickTop="1" x14ac:dyDescent="0.3">
      <c r="A3" s="46"/>
      <c r="B3" s="31" t="s">
        <v>0</v>
      </c>
      <c r="C3" s="31"/>
      <c r="D3" s="31"/>
      <c r="E3" s="31"/>
      <c r="F3" s="32"/>
      <c r="G3" s="5"/>
      <c r="H3" s="5"/>
      <c r="I3" s="5"/>
      <c r="J3" s="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C3" s="19"/>
      <c r="AD3" s="19"/>
      <c r="AE3" s="19" t="s">
        <v>50</v>
      </c>
      <c r="AF3" s="19" t="s">
        <v>51</v>
      </c>
      <c r="AG3" s="19" t="s">
        <v>50</v>
      </c>
      <c r="AH3" s="19" t="s">
        <v>51</v>
      </c>
      <c r="AI3" s="19" t="s">
        <v>50</v>
      </c>
      <c r="AJ3" s="19" t="s">
        <v>51</v>
      </c>
      <c r="AK3" t="s">
        <v>60</v>
      </c>
      <c r="AL3" t="s">
        <v>52</v>
      </c>
      <c r="AN3" s="41" t="s">
        <v>68</v>
      </c>
      <c r="AO3" s="41" t="s">
        <v>69</v>
      </c>
      <c r="AQ3" s="49" t="s">
        <v>70</v>
      </c>
      <c r="AR3" s="49" t="s">
        <v>71</v>
      </c>
      <c r="AT3" s="51" t="s">
        <v>76</v>
      </c>
      <c r="AU3" s="51" t="s">
        <v>77</v>
      </c>
      <c r="AX3" t="s">
        <v>56</v>
      </c>
      <c r="AY3" t="s">
        <v>57</v>
      </c>
      <c r="BA3" t="s">
        <v>56</v>
      </c>
      <c r="BB3" t="s">
        <v>57</v>
      </c>
      <c r="BD3" t="s">
        <v>56</v>
      </c>
      <c r="BE3" t="s">
        <v>57</v>
      </c>
      <c r="BG3" s="44" t="s">
        <v>55</v>
      </c>
      <c r="BH3" s="44" t="s">
        <v>58</v>
      </c>
      <c r="BI3" s="44" t="s">
        <v>59</v>
      </c>
      <c r="BK3" s="53" t="s">
        <v>79</v>
      </c>
      <c r="BL3" s="53"/>
    </row>
    <row r="4" spans="1:64" ht="15.6" customHeight="1" x14ac:dyDescent="0.3">
      <c r="A4" s="46"/>
      <c r="B4" s="33" t="s">
        <v>1</v>
      </c>
      <c r="C4" s="33"/>
      <c r="D4" s="33"/>
      <c r="E4" s="33"/>
      <c r="F4" s="33"/>
      <c r="G4" s="3" t="s">
        <v>15</v>
      </c>
      <c r="H4" s="28">
        <v>0.5</v>
      </c>
      <c r="I4" s="28"/>
      <c r="J4" s="7" t="s">
        <v>30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C4" s="19">
        <v>0</v>
      </c>
      <c r="AD4" s="19">
        <v>0</v>
      </c>
      <c r="AE4" s="19">
        <f t="shared" ref="AE4:AE35" si="0">COS(AD4)*r_1+q_1x</f>
        <v>25000</v>
      </c>
      <c r="AF4" s="19">
        <f t="shared" ref="AF4:AF35" si="1">SIN(AD4)*r_1+q_1y</f>
        <v>7500</v>
      </c>
      <c r="AG4" s="19">
        <f t="shared" ref="AG4:AG35" si="2">COS(AD4)*r_2+q_2x</f>
        <v>-16500</v>
      </c>
      <c r="AH4" s="19">
        <f t="shared" ref="AH4:AH35" si="3">SIN(AD4)*r_2+q_2y</f>
        <v>10000</v>
      </c>
      <c r="AI4" s="19">
        <f t="shared" ref="AI4:AI35" si="4">COS(AD4)*r_3+q_3x</f>
        <v>0</v>
      </c>
      <c r="AJ4" s="19">
        <f t="shared" ref="AJ4:AJ35" si="5">SIN(AD4)*r_3+q_3y</f>
        <v>-15000</v>
      </c>
      <c r="AK4">
        <v>0</v>
      </c>
      <c r="AL4">
        <v>0</v>
      </c>
      <c r="AN4" s="41">
        <f>pi_x</f>
        <v>0</v>
      </c>
      <c r="AO4" s="47">
        <f>pi_y</f>
        <v>0</v>
      </c>
      <c r="AQ4" s="49">
        <f>vi_x</f>
        <v>0</v>
      </c>
      <c r="AR4" s="49">
        <f>vi_y</f>
        <v>0</v>
      </c>
      <c r="AT4" s="52">
        <f>AX4+BA4+BD4</f>
        <v>119.16853330342627</v>
      </c>
      <c r="AU4" s="52">
        <f>AY4+BB4+BE4</f>
        <v>-760.51678598645651</v>
      </c>
      <c r="AV4" s="20"/>
      <c r="AW4" s="20"/>
      <c r="AX4" s="20">
        <f t="shared" ref="AX4:AX67" si="6">Masse_1*(q_1x-AN4)/($BG4^2+Aarseth_1^2)^(3/2)</f>
        <v>798.22179539145645</v>
      </c>
      <c r="AY4" s="20">
        <f t="shared" ref="AY4:AY67" si="7">Masse_1*(q_1y-AO4)/($BG4^2+Aarseth_1^2)^(3/2)</f>
        <v>299.33317327179617</v>
      </c>
      <c r="AZ4" s="20"/>
      <c r="BA4" s="20">
        <f t="shared" ref="BA4:BA67" si="8">Masse_2*(q_2x-AN4)/($BH4^2+Aarseth_2^2)^(3/2)</f>
        <v>-279.23137914452508</v>
      </c>
      <c r="BB4" s="20">
        <f t="shared" ref="BB4:BB67" si="9">Masse_2*(q_2y-AO4)/($BH4^2+Aarseth_2^2)^(3/2)</f>
        <v>139.61568957226254</v>
      </c>
      <c r="BC4" s="20"/>
      <c r="BD4" s="20">
        <f t="shared" ref="BD4:BD67" si="10">Masse_3*(q_3x-AN4)/($BI4^2+Aarseth_3^2)^(3/2)</f>
        <v>-399.82188294350505</v>
      </c>
      <c r="BE4" s="20">
        <f t="shared" ref="BE4:BE67" si="11">Masse_3*(q_3y-AO4)/($BI4^2+Aarseth_3^2)^(3/2)</f>
        <v>-1199.4656488305152</v>
      </c>
      <c r="BG4" s="54">
        <f t="shared" ref="BG4:BG67" si="12">SQRT((q_1x-AN4)^2+(q_1y-AO4)^2)</f>
        <v>21360.00936329383</v>
      </c>
      <c r="BH4" s="54">
        <f t="shared" ref="BH4:BH67" si="13">SQRT((q_2x-AN4)^2+(q_2y-AO4)^2)</f>
        <v>22360.679774997898</v>
      </c>
      <c r="BI4" s="54">
        <f t="shared" ref="BI4:BI67" si="14">SQRT((q_3x-AN4)^2+(q_3y-AO4)^2)</f>
        <v>15811.388300841896</v>
      </c>
      <c r="BJ4" s="20"/>
      <c r="BK4" s="49">
        <f>BK6</f>
        <v>0</v>
      </c>
      <c r="BL4" s="49">
        <f>pi_y+2*dimmantion_vaiseau</f>
        <v>5000</v>
      </c>
    </row>
    <row r="5" spans="1:64" ht="21.6" customHeight="1" x14ac:dyDescent="0.3">
      <c r="A5" s="46"/>
      <c r="B5" s="33" t="s">
        <v>2</v>
      </c>
      <c r="C5" s="33"/>
      <c r="D5" s="33"/>
      <c r="E5" s="33"/>
      <c r="F5" s="33"/>
      <c r="G5" s="3" t="s">
        <v>17</v>
      </c>
      <c r="H5" s="27">
        <v>2</v>
      </c>
      <c r="I5" s="27"/>
      <c r="J5" s="7" t="s">
        <v>32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C5" s="19">
        <v>1</v>
      </c>
      <c r="AD5" s="19">
        <f t="shared" ref="AD5:AD36" si="15">AD4+$AC$1</f>
        <v>6.2831853071795868E-2</v>
      </c>
      <c r="AE5" s="19">
        <f t="shared" si="0"/>
        <v>24990.133642141358</v>
      </c>
      <c r="AF5" s="19">
        <f t="shared" si="1"/>
        <v>7813.9525976465666</v>
      </c>
      <c r="AG5" s="19">
        <f t="shared" si="2"/>
        <v>-16506.90645050105</v>
      </c>
      <c r="AH5" s="19">
        <f t="shared" si="3"/>
        <v>10219.766818352597</v>
      </c>
      <c r="AI5" s="19">
        <f t="shared" si="4"/>
        <v>-9.8663578586420044</v>
      </c>
      <c r="AJ5" s="19">
        <f t="shared" si="5"/>
        <v>-14686.047402353433</v>
      </c>
      <c r="AK5">
        <v>1</v>
      </c>
      <c r="AL5">
        <v>0.5</v>
      </c>
      <c r="AN5" s="48">
        <f t="shared" ref="AN5:AN68" si="16">AN4+(AQ4*bt)+(0.5*AT4)*bt^2</f>
        <v>14.896066662928284</v>
      </c>
      <c r="AO5" s="48">
        <f t="shared" ref="AO5:AO68" si="17">AO4+(AR4*bt)+(0.5*AU4)*bt^2</f>
        <v>-95.064598248307064</v>
      </c>
      <c r="AP5" s="20"/>
      <c r="AQ5" s="50">
        <f t="shared" ref="AQ5:AQ68" si="18">AQ4+(AT4*bt)</f>
        <v>59.584266651713136</v>
      </c>
      <c r="AR5" s="50">
        <f t="shared" ref="AR5:AR68" si="19">AR4+(AU4*bt)</f>
        <v>-380.25839299322826</v>
      </c>
      <c r="AS5" s="20"/>
      <c r="AT5" s="52">
        <f>AX5+BA5+BD5</f>
        <v>112.60116813851005</v>
      </c>
      <c r="AU5" s="52">
        <f>AY5+BB5+BE5</f>
        <v>-763.33122122422583</v>
      </c>
      <c r="AV5" s="20"/>
      <c r="AW5" s="20"/>
      <c r="AX5" s="20">
        <f t="shared" si="6"/>
        <v>795.82523824226018</v>
      </c>
      <c r="AY5" s="20">
        <f t="shared" si="7"/>
        <v>302.44246482420186</v>
      </c>
      <c r="AZ5" s="20"/>
      <c r="BA5" s="20">
        <f t="shared" si="8"/>
        <v>-277.53659386448641</v>
      </c>
      <c r="BB5" s="20">
        <f t="shared" si="9"/>
        <v>139.983232194067</v>
      </c>
      <c r="BC5" s="20"/>
      <c r="BD5" s="20">
        <f t="shared" si="10"/>
        <v>-405.68747623926379</v>
      </c>
      <c r="BE5" s="20">
        <f t="shared" si="11"/>
        <v>-1205.7569182424947</v>
      </c>
      <c r="BF5" s="20"/>
      <c r="BG5" s="54">
        <f t="shared" si="12"/>
        <v>21379.6488623609</v>
      </c>
      <c r="BH5" s="54">
        <f t="shared" si="13"/>
        <v>22416.654384678492</v>
      </c>
      <c r="BI5" s="54">
        <f t="shared" si="14"/>
        <v>15725.974751659187</v>
      </c>
      <c r="BJ5" s="20"/>
      <c r="BK5" s="49">
        <f>pi_x+dimmantion_vaiseau</f>
        <v>2500</v>
      </c>
      <c r="BL5" s="49">
        <f>pi_y+-1*dimmantion_vaiseau</f>
        <v>-2500</v>
      </c>
    </row>
    <row r="6" spans="1:64" x14ac:dyDescent="0.3">
      <c r="A6" s="46"/>
      <c r="B6" s="46"/>
      <c r="C6" s="46"/>
      <c r="D6" s="46"/>
      <c r="E6" s="46"/>
      <c r="F6" s="46"/>
      <c r="G6" s="46"/>
      <c r="H6" s="64"/>
      <c r="I6" s="64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C6" s="19">
        <v>2</v>
      </c>
      <c r="AD6" s="19">
        <f t="shared" si="15"/>
        <v>0.12566370614359174</v>
      </c>
      <c r="AE6" s="19">
        <f t="shared" si="0"/>
        <v>24960.573506572389</v>
      </c>
      <c r="AF6" s="19">
        <f t="shared" si="1"/>
        <v>8126.6661678215214</v>
      </c>
      <c r="AG6" s="19">
        <f t="shared" si="2"/>
        <v>-16527.598545399327</v>
      </c>
      <c r="AH6" s="19">
        <f t="shared" si="3"/>
        <v>10438.666317475065</v>
      </c>
      <c r="AI6" s="19">
        <f t="shared" si="4"/>
        <v>-39.426493427610694</v>
      </c>
      <c r="AJ6" s="19">
        <f t="shared" si="5"/>
        <v>-14373.333832178479</v>
      </c>
      <c r="AK6">
        <v>2</v>
      </c>
      <c r="AL6">
        <v>1</v>
      </c>
      <c r="AN6" s="48">
        <f t="shared" si="16"/>
        <v>58.763346006098608</v>
      </c>
      <c r="AO6" s="48">
        <f t="shared" si="17"/>
        <v>-380.61019739794943</v>
      </c>
      <c r="AP6" s="20"/>
      <c r="AQ6" s="50">
        <f t="shared" si="18"/>
        <v>115.88485072096816</v>
      </c>
      <c r="AR6" s="50">
        <f t="shared" si="19"/>
        <v>-761.92400360534111</v>
      </c>
      <c r="AS6" s="20"/>
      <c r="AT6" s="52">
        <f t="shared" ref="AT6:AT17" si="20">AX6+BA6+BD6</f>
        <v>92.146298330016805</v>
      </c>
      <c r="AU6" s="52">
        <f t="shared" ref="AU6:AU17" si="21">AY6+BB6+BE6</f>
        <v>-772.07890139735071</v>
      </c>
      <c r="AV6" s="20"/>
      <c r="AW6" s="20"/>
      <c r="AX6" s="20">
        <f t="shared" si="6"/>
        <v>788.40883777648992</v>
      </c>
      <c r="AY6" s="20">
        <f t="shared" si="7"/>
        <v>311.57258872687225</v>
      </c>
      <c r="AZ6" s="20"/>
      <c r="BA6" s="20">
        <f t="shared" si="8"/>
        <v>-272.4895036118682</v>
      </c>
      <c r="BB6" s="20">
        <f t="shared" si="9"/>
        <v>141.01603728429595</v>
      </c>
      <c r="BC6" s="20"/>
      <c r="BD6" s="20">
        <f t="shared" si="10"/>
        <v>-423.77303583460485</v>
      </c>
      <c r="BE6" s="20">
        <f t="shared" si="11"/>
        <v>-1224.6675274085189</v>
      </c>
      <c r="BF6" s="20"/>
      <c r="BG6" s="54">
        <f t="shared" si="12"/>
        <v>21441.943390791854</v>
      </c>
      <c r="BH6" s="54">
        <f t="shared" si="13"/>
        <v>22585.638247377468</v>
      </c>
      <c r="BI6" s="54">
        <f t="shared" si="14"/>
        <v>15469.894789277645</v>
      </c>
      <c r="BJ6" s="20"/>
      <c r="BK6" s="49">
        <f>pi_x</f>
        <v>0</v>
      </c>
      <c r="BL6" s="49">
        <f>pi_y</f>
        <v>0</v>
      </c>
    </row>
    <row r="7" spans="1:64" ht="15" thickBot="1" x14ac:dyDescent="0.35">
      <c r="A7" s="46"/>
      <c r="B7" s="65"/>
      <c r="C7" s="66"/>
      <c r="D7" s="58"/>
      <c r="E7" s="58"/>
      <c r="F7" s="58"/>
      <c r="G7" s="58"/>
      <c r="H7" s="58"/>
      <c r="I7" s="58"/>
      <c r="J7" s="58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C7" s="19">
        <v>3</v>
      </c>
      <c r="AD7" s="19">
        <f t="shared" si="15"/>
        <v>0.1884955592153876</v>
      </c>
      <c r="AE7" s="19">
        <f t="shared" si="0"/>
        <v>24911.436253643442</v>
      </c>
      <c r="AF7" s="19">
        <f t="shared" si="1"/>
        <v>8436.9065729286231</v>
      </c>
      <c r="AG7" s="19">
        <f t="shared" si="2"/>
        <v>-16561.994622449591</v>
      </c>
      <c r="AH7" s="19">
        <f t="shared" si="3"/>
        <v>10655.834601050035</v>
      </c>
      <c r="AI7" s="19">
        <f t="shared" si="4"/>
        <v>-88.563746356556294</v>
      </c>
      <c r="AJ7" s="19">
        <f t="shared" si="5"/>
        <v>-14063.093427071377</v>
      </c>
      <c r="AK7">
        <v>3</v>
      </c>
      <c r="AL7">
        <v>1.5</v>
      </c>
      <c r="AN7" s="48">
        <f t="shared" si="16"/>
        <v>128.2240586578348</v>
      </c>
      <c r="AO7" s="48">
        <f t="shared" si="17"/>
        <v>-858.08206187528879</v>
      </c>
      <c r="AP7" s="20"/>
      <c r="AQ7" s="50">
        <f t="shared" si="18"/>
        <v>161.95799988597656</v>
      </c>
      <c r="AR7" s="50">
        <f t="shared" si="19"/>
        <v>-1147.9634543040165</v>
      </c>
      <c r="AS7" s="20"/>
      <c r="AT7" s="52">
        <f t="shared" si="20"/>
        <v>55.493464814631807</v>
      </c>
      <c r="AU7" s="52">
        <f t="shared" si="21"/>
        <v>-787.69775044318101</v>
      </c>
      <c r="AV7" s="20"/>
      <c r="AW7" s="20"/>
      <c r="AX7" s="20">
        <f t="shared" si="6"/>
        <v>775.27663424571824</v>
      </c>
      <c r="AY7" s="20">
        <f t="shared" si="7"/>
        <v>326.0818634835378</v>
      </c>
      <c r="AZ7" s="20"/>
      <c r="BA7" s="20">
        <f t="shared" si="8"/>
        <v>-264.21336898309431</v>
      </c>
      <c r="BB7" s="20">
        <f t="shared" si="9"/>
        <v>142.52874142808358</v>
      </c>
      <c r="BC7" s="20"/>
      <c r="BD7" s="20">
        <f t="shared" si="10"/>
        <v>-455.56980044799212</v>
      </c>
      <c r="BE7" s="20">
        <f t="shared" si="11"/>
        <v>-1256.3083553548024</v>
      </c>
      <c r="BF7" s="20"/>
      <c r="BG7" s="54">
        <f t="shared" si="12"/>
        <v>21557.945514727206</v>
      </c>
      <c r="BH7" s="54">
        <f t="shared" si="13"/>
        <v>22870.141010014562</v>
      </c>
      <c r="BI7" s="54">
        <f t="shared" si="14"/>
        <v>15043.022467724048</v>
      </c>
      <c r="BJ7" s="20"/>
      <c r="BK7" s="49">
        <f>pi_x+(-1*dimmantion_vaiseau)</f>
        <v>-2500</v>
      </c>
      <c r="BL7" s="49">
        <f>pi_y+-1*dimmantion_vaiseau</f>
        <v>-2500</v>
      </c>
    </row>
    <row r="8" spans="1:64" ht="15" thickTop="1" x14ac:dyDescent="0.3">
      <c r="A8" s="46"/>
      <c r="B8" s="34" t="s">
        <v>3</v>
      </c>
      <c r="C8" s="34"/>
      <c r="D8" s="34"/>
      <c r="E8" s="34"/>
      <c r="F8" s="35"/>
      <c r="G8" s="5"/>
      <c r="H8" s="5"/>
      <c r="I8" s="5"/>
      <c r="J8" s="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C8" s="19">
        <v>4</v>
      </c>
      <c r="AD8" s="19">
        <f t="shared" si="15"/>
        <v>0.25132741228718347</v>
      </c>
      <c r="AE8" s="19">
        <f t="shared" si="0"/>
        <v>24842.915805643155</v>
      </c>
      <c r="AF8" s="19">
        <f t="shared" si="1"/>
        <v>8743.4494358242737</v>
      </c>
      <c r="AG8" s="19">
        <f t="shared" si="2"/>
        <v>-16609.958936049792</v>
      </c>
      <c r="AH8" s="19">
        <f t="shared" si="3"/>
        <v>10870.414605076992</v>
      </c>
      <c r="AI8" s="19">
        <f t="shared" si="4"/>
        <v>-157.08419435684482</v>
      </c>
      <c r="AJ8" s="19">
        <f t="shared" si="5"/>
        <v>-13756.550564175726</v>
      </c>
      <c r="AK8">
        <v>4</v>
      </c>
      <c r="AL8">
        <v>2</v>
      </c>
      <c r="AN8" s="48">
        <f t="shared" si="16"/>
        <v>216.13974170265206</v>
      </c>
      <c r="AO8" s="48">
        <f t="shared" si="17"/>
        <v>-1530.5260078326946</v>
      </c>
      <c r="AP8" s="20"/>
      <c r="AQ8" s="50">
        <f t="shared" si="18"/>
        <v>189.70473229329247</v>
      </c>
      <c r="AR8" s="50">
        <f t="shared" si="19"/>
        <v>-1541.8123295256071</v>
      </c>
      <c r="AS8" s="20"/>
      <c r="AT8" s="52">
        <f t="shared" si="20"/>
        <v>-1.316856642802918</v>
      </c>
      <c r="AU8" s="52">
        <f t="shared" si="21"/>
        <v>-811.67785049592158</v>
      </c>
      <c r="AV8" s="20"/>
      <c r="AW8" s="20"/>
      <c r="AX8" s="20">
        <f t="shared" si="6"/>
        <v>755.32322118471382</v>
      </c>
      <c r="AY8" s="20">
        <f t="shared" si="7"/>
        <v>344.77427075273715</v>
      </c>
      <c r="AZ8" s="20"/>
      <c r="BA8" s="20">
        <f t="shared" si="8"/>
        <v>-252.93026836046505</v>
      </c>
      <c r="BB8" s="20">
        <f t="shared" si="9"/>
        <v>144.26191522026039</v>
      </c>
      <c r="BC8" s="20"/>
      <c r="BD8" s="20">
        <f t="shared" si="10"/>
        <v>-503.70980946705168</v>
      </c>
      <c r="BE8" s="20">
        <f t="shared" si="11"/>
        <v>-1300.7140364689192</v>
      </c>
      <c r="BF8" s="20"/>
      <c r="BG8" s="54">
        <f t="shared" si="12"/>
        <v>21747.448739978212</v>
      </c>
      <c r="BH8" s="54">
        <f t="shared" si="13"/>
        <v>23273.27514711575</v>
      </c>
      <c r="BI8" s="54">
        <f t="shared" si="14"/>
        <v>14444.197569634711</v>
      </c>
      <c r="BJ8" s="20"/>
      <c r="BK8" s="49">
        <f>BK6</f>
        <v>0</v>
      </c>
      <c r="BL8" s="49">
        <f>pi_y+2*dimmantion_vaiseau</f>
        <v>5000</v>
      </c>
    </row>
    <row r="9" spans="1:64" x14ac:dyDescent="0.3">
      <c r="A9" s="46"/>
      <c r="B9" s="33" t="s">
        <v>4</v>
      </c>
      <c r="C9" s="33"/>
      <c r="D9" s="33"/>
      <c r="E9" s="33"/>
      <c r="F9" s="33"/>
      <c r="G9" s="3" t="s">
        <v>16</v>
      </c>
      <c r="H9" s="30">
        <v>1</v>
      </c>
      <c r="I9" s="30"/>
      <c r="J9" s="7" t="s">
        <v>28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C9" s="19">
        <v>5</v>
      </c>
      <c r="AD9" s="19">
        <f t="shared" si="15"/>
        <v>0.31415926535897931</v>
      </c>
      <c r="AE9" s="19">
        <f t="shared" si="0"/>
        <v>24755.282581475767</v>
      </c>
      <c r="AF9" s="19">
        <f t="shared" si="1"/>
        <v>9045.0849718747377</v>
      </c>
      <c r="AG9" s="19">
        <f t="shared" si="2"/>
        <v>-16671.302192966963</v>
      </c>
      <c r="AH9" s="19">
        <f t="shared" si="3"/>
        <v>11081.559480312317</v>
      </c>
      <c r="AI9" s="19">
        <f t="shared" si="4"/>
        <v>-244.71741852423202</v>
      </c>
      <c r="AJ9" s="19">
        <f t="shared" si="5"/>
        <v>-13454.915028125262</v>
      </c>
      <c r="AK9">
        <v>5</v>
      </c>
      <c r="AL9">
        <v>2.5</v>
      </c>
      <c r="AN9" s="48">
        <f t="shared" si="16"/>
        <v>310.82750076894791</v>
      </c>
      <c r="AO9" s="48">
        <f t="shared" si="17"/>
        <v>-2402.8919039074885</v>
      </c>
      <c r="AP9" s="20"/>
      <c r="AQ9" s="50">
        <f t="shared" si="18"/>
        <v>189.04630397189101</v>
      </c>
      <c r="AR9" s="50">
        <f t="shared" si="19"/>
        <v>-1947.6512547735679</v>
      </c>
      <c r="AS9" s="20"/>
      <c r="AT9" s="52">
        <f t="shared" si="20"/>
        <v>-83.964205813722913</v>
      </c>
      <c r="AU9" s="52">
        <f t="shared" si="21"/>
        <v>-845.65329638356138</v>
      </c>
      <c r="AV9" s="20"/>
      <c r="AW9" s="20"/>
      <c r="AX9" s="20">
        <f t="shared" si="6"/>
        <v>727.24210333376709</v>
      </c>
      <c r="AY9" s="20">
        <f t="shared" si="7"/>
        <v>365.77463768809361</v>
      </c>
      <c r="AZ9" s="20"/>
      <c r="BA9" s="20">
        <f t="shared" si="8"/>
        <v>-238.95985187350044</v>
      </c>
      <c r="BB9" s="20">
        <f t="shared" si="9"/>
        <v>145.9218346494531</v>
      </c>
      <c r="BC9" s="20"/>
      <c r="BD9" s="20">
        <f t="shared" si="10"/>
        <v>-572.24645727398956</v>
      </c>
      <c r="BE9" s="20">
        <f t="shared" si="11"/>
        <v>-1357.3497687211081</v>
      </c>
      <c r="BF9" s="20"/>
      <c r="BG9" s="54">
        <f t="shared" si="12"/>
        <v>22039.300845647369</v>
      </c>
      <c r="BH9" s="54">
        <f t="shared" si="13"/>
        <v>23798.349550882853</v>
      </c>
      <c r="BI9" s="54">
        <f t="shared" si="14"/>
        <v>13670.845662487864</v>
      </c>
      <c r="BJ9" s="20"/>
    </row>
    <row r="10" spans="1:64" ht="15.6" x14ac:dyDescent="0.35">
      <c r="A10" s="46"/>
      <c r="B10" s="33" t="s">
        <v>5</v>
      </c>
      <c r="C10" s="33"/>
      <c r="D10" s="33"/>
      <c r="E10" s="33"/>
      <c r="F10" s="33"/>
      <c r="G10" s="3" t="s">
        <v>46</v>
      </c>
      <c r="H10" s="17">
        <v>0</v>
      </c>
      <c r="I10" s="17">
        <v>0</v>
      </c>
      <c r="J10" s="7" t="s">
        <v>19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C10" s="19">
        <v>6</v>
      </c>
      <c r="AD10" s="19">
        <f t="shared" si="15"/>
        <v>0.37699111843077515</v>
      </c>
      <c r="AE10" s="19">
        <f t="shared" si="0"/>
        <v>24648.882429441255</v>
      </c>
      <c r="AF10" s="19">
        <f t="shared" si="1"/>
        <v>9340.6227634233892</v>
      </c>
      <c r="AG10" s="19">
        <f t="shared" si="2"/>
        <v>-16745.782299391121</v>
      </c>
      <c r="AH10" s="19">
        <f t="shared" si="3"/>
        <v>11288.435934396373</v>
      </c>
      <c r="AI10" s="19">
        <f t="shared" si="4"/>
        <v>-351.11757055874295</v>
      </c>
      <c r="AJ10" s="19">
        <f t="shared" si="5"/>
        <v>-13159.377236576611</v>
      </c>
      <c r="AK10">
        <v>6</v>
      </c>
      <c r="AL10">
        <v>3</v>
      </c>
      <c r="AN10" s="48">
        <f t="shared" si="16"/>
        <v>394.85512702817806</v>
      </c>
      <c r="AO10" s="48">
        <f t="shared" si="17"/>
        <v>-3482.4241933422177</v>
      </c>
      <c r="AP10" s="20"/>
      <c r="AQ10" s="50">
        <f t="shared" si="18"/>
        <v>147.06420106502955</v>
      </c>
      <c r="AR10" s="50">
        <f t="shared" si="19"/>
        <v>-2370.4779029653487</v>
      </c>
      <c r="AS10" s="20"/>
      <c r="AT10" s="52">
        <f t="shared" si="20"/>
        <v>-199.84481721265126</v>
      </c>
      <c r="AU10" s="52">
        <f t="shared" si="21"/>
        <v>-890.31902387599314</v>
      </c>
      <c r="AV10" s="20"/>
      <c r="AW10" s="20"/>
      <c r="AX10" s="20">
        <f t="shared" si="6"/>
        <v>689.86190376956461</v>
      </c>
      <c r="AY10" s="20">
        <f t="shared" si="7"/>
        <v>386.4473387528472</v>
      </c>
      <c r="AZ10" s="20"/>
      <c r="BA10" s="20">
        <f t="shared" si="8"/>
        <v>-222.70655944156962</v>
      </c>
      <c r="BB10" s="20">
        <f t="shared" si="9"/>
        <v>147.22459592526414</v>
      </c>
      <c r="BC10" s="20"/>
      <c r="BD10" s="20">
        <f t="shared" si="10"/>
        <v>-667.00016154064622</v>
      </c>
      <c r="BE10" s="20">
        <f t="shared" si="11"/>
        <v>-1423.9909585541045</v>
      </c>
      <c r="BF10" s="20"/>
      <c r="BG10" s="54">
        <f t="shared" si="12"/>
        <v>22471.656517771931</v>
      </c>
      <c r="BH10" s="54">
        <f t="shared" si="13"/>
        <v>24448.433033257716</v>
      </c>
      <c r="BI10" s="54">
        <f t="shared" si="14"/>
        <v>12718.451725887506</v>
      </c>
      <c r="BJ10" s="20"/>
    </row>
    <row r="11" spans="1:64" ht="15.6" x14ac:dyDescent="0.35">
      <c r="A11" s="46"/>
      <c r="B11" s="33" t="s">
        <v>6</v>
      </c>
      <c r="C11" s="33"/>
      <c r="D11" s="33"/>
      <c r="E11" s="33"/>
      <c r="F11" s="33"/>
      <c r="G11" s="3" t="s">
        <v>47</v>
      </c>
      <c r="H11" s="17">
        <v>0</v>
      </c>
      <c r="I11" s="16">
        <v>0</v>
      </c>
      <c r="J11" s="7" t="s">
        <v>31</v>
      </c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C11" s="19">
        <v>7</v>
      </c>
      <c r="AD11" s="19">
        <f t="shared" si="15"/>
        <v>0.43982297150257099</v>
      </c>
      <c r="AE11" s="19">
        <f t="shared" si="0"/>
        <v>24524.135262330099</v>
      </c>
      <c r="AF11" s="19">
        <f t="shared" si="1"/>
        <v>9628.8964578253635</v>
      </c>
      <c r="AG11" s="19">
        <f t="shared" si="2"/>
        <v>-16833.105316368932</v>
      </c>
      <c r="AH11" s="19">
        <f t="shared" si="3"/>
        <v>11490.227520477754</v>
      </c>
      <c r="AI11" s="19">
        <f t="shared" si="4"/>
        <v>-475.86473766990184</v>
      </c>
      <c r="AJ11" s="19">
        <f t="shared" si="5"/>
        <v>-12871.103542174636</v>
      </c>
      <c r="AK11">
        <v>7</v>
      </c>
      <c r="AL11">
        <v>3.5</v>
      </c>
      <c r="AN11" s="48">
        <f t="shared" si="16"/>
        <v>443.40662540911143</v>
      </c>
      <c r="AO11" s="48">
        <f t="shared" si="17"/>
        <v>-4778.9530228093909</v>
      </c>
      <c r="AP11" s="20"/>
      <c r="AQ11" s="50">
        <f t="shared" si="18"/>
        <v>47.141792458703918</v>
      </c>
      <c r="AR11" s="50">
        <f t="shared" si="19"/>
        <v>-2815.6374149033454</v>
      </c>
      <c r="AS11" s="20"/>
      <c r="AT11" s="52">
        <f t="shared" si="20"/>
        <v>-357.75553329731315</v>
      </c>
      <c r="AU11" s="52">
        <f t="shared" si="21"/>
        <v>-942.73052379080036</v>
      </c>
      <c r="AV11" s="20"/>
      <c r="AW11" s="20"/>
      <c r="AX11" s="20">
        <f t="shared" si="6"/>
        <v>642.60853053385199</v>
      </c>
      <c r="AY11" s="20">
        <f t="shared" si="7"/>
        <v>403.47313089475165</v>
      </c>
      <c r="AZ11" s="20"/>
      <c r="BA11" s="20">
        <f t="shared" si="8"/>
        <v>-204.63366046169691</v>
      </c>
      <c r="BB11" s="20">
        <f t="shared" si="9"/>
        <v>147.93382092640465</v>
      </c>
      <c r="BC11" s="20"/>
      <c r="BD11" s="20">
        <f t="shared" si="10"/>
        <v>-795.73040336946826</v>
      </c>
      <c r="BE11" s="20">
        <f t="shared" si="11"/>
        <v>-1494.1374756119567</v>
      </c>
      <c r="BF11" s="20"/>
      <c r="BG11" s="54">
        <f t="shared" si="12"/>
        <v>23091.839072612907</v>
      </c>
      <c r="BH11" s="54">
        <f t="shared" si="13"/>
        <v>25225.985152263685</v>
      </c>
      <c r="BI11" s="54">
        <f t="shared" si="14"/>
        <v>11580.176034909189</v>
      </c>
      <c r="BJ11" s="20"/>
    </row>
    <row r="12" spans="1:64" ht="16.8" x14ac:dyDescent="0.35">
      <c r="A12" s="46"/>
      <c r="B12" s="33" t="s">
        <v>7</v>
      </c>
      <c r="C12" s="33"/>
      <c r="D12" s="33"/>
      <c r="E12" s="33"/>
      <c r="F12" s="33"/>
      <c r="G12" s="3" t="s">
        <v>48</v>
      </c>
      <c r="H12" s="17">
        <v>0</v>
      </c>
      <c r="I12" s="16">
        <v>0</v>
      </c>
      <c r="J12" s="7" t="s">
        <v>33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C12" s="19">
        <v>8</v>
      </c>
      <c r="AD12" s="19">
        <f t="shared" si="15"/>
        <v>0.50265482457436683</v>
      </c>
      <c r="AE12" s="19">
        <f t="shared" si="0"/>
        <v>24381.533400219319</v>
      </c>
      <c r="AF12" s="19">
        <f t="shared" si="1"/>
        <v>9908.7683705085765</v>
      </c>
      <c r="AG12" s="19">
        <f t="shared" si="2"/>
        <v>-16932.926619846476</v>
      </c>
      <c r="AH12" s="19">
        <f t="shared" si="3"/>
        <v>11686.137859356004</v>
      </c>
      <c r="AI12" s="19">
        <f t="shared" si="4"/>
        <v>-618.46659978068237</v>
      </c>
      <c r="AJ12" s="19">
        <f t="shared" si="5"/>
        <v>-12591.231629491424</v>
      </c>
      <c r="AK12">
        <v>8</v>
      </c>
      <c r="AL12">
        <v>4</v>
      </c>
      <c r="AN12" s="48">
        <f t="shared" si="16"/>
        <v>422.2580799762992</v>
      </c>
      <c r="AO12" s="48">
        <f t="shared" si="17"/>
        <v>-6304.6130457349136</v>
      </c>
      <c r="AP12" s="20"/>
      <c r="AQ12" s="50">
        <f t="shared" si="18"/>
        <v>-131.73597418995266</v>
      </c>
      <c r="AR12" s="50">
        <f t="shared" si="19"/>
        <v>-3287.0026767987456</v>
      </c>
      <c r="AS12" s="20"/>
      <c r="AT12" s="52">
        <f t="shared" si="20"/>
        <v>-566.40680704753868</v>
      </c>
      <c r="AU12" s="52">
        <f t="shared" si="21"/>
        <v>-989.94508802537234</v>
      </c>
      <c r="AV12" s="20"/>
      <c r="AW12" s="20"/>
      <c r="AX12" s="20">
        <f t="shared" si="6"/>
        <v>586.01836897302167</v>
      </c>
      <c r="AY12" s="20">
        <f t="shared" si="7"/>
        <v>413.21194519840094</v>
      </c>
      <c r="AZ12" s="20"/>
      <c r="BA12" s="20">
        <f t="shared" si="8"/>
        <v>-185.22979369488903</v>
      </c>
      <c r="BB12" s="20">
        <f t="shared" si="9"/>
        <v>147.88277079397184</v>
      </c>
      <c r="BC12" s="20"/>
      <c r="BD12" s="20">
        <f t="shared" si="10"/>
        <v>-967.19538232567129</v>
      </c>
      <c r="BE12" s="20">
        <f t="shared" si="11"/>
        <v>-1551.0398040177452</v>
      </c>
      <c r="BF12" s="20"/>
      <c r="BG12" s="54">
        <f t="shared" si="12"/>
        <v>23955.277498487216</v>
      </c>
      <c r="BH12" s="54">
        <f t="shared" si="13"/>
        <v>26132.528229321906</v>
      </c>
      <c r="BI12" s="54">
        <f t="shared" si="14"/>
        <v>10247.469783818429</v>
      </c>
      <c r="BJ12" s="20"/>
    </row>
    <row r="13" spans="1:64" x14ac:dyDescent="0.3">
      <c r="A13" s="46"/>
      <c r="B13" s="23" t="s">
        <v>65</v>
      </c>
      <c r="C13" s="23"/>
      <c r="D13" s="23"/>
      <c r="E13" s="23"/>
      <c r="F13" s="23"/>
      <c r="G13" s="21" t="s">
        <v>66</v>
      </c>
      <c r="H13" s="24">
        <v>2500</v>
      </c>
      <c r="I13" s="25"/>
      <c r="J13" s="22" t="s">
        <v>19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C13" s="19">
        <v>9</v>
      </c>
      <c r="AD13" s="19">
        <f t="shared" si="15"/>
        <v>0.56548667764616267</v>
      </c>
      <c r="AE13" s="19">
        <f t="shared" si="0"/>
        <v>24221.639627510078</v>
      </c>
      <c r="AF13" s="19">
        <f t="shared" si="1"/>
        <v>10179.133974894983</v>
      </c>
      <c r="AG13" s="19">
        <f t="shared" si="2"/>
        <v>-17044.852260742948</v>
      </c>
      <c r="AH13" s="19">
        <f t="shared" si="3"/>
        <v>11875.393782426489</v>
      </c>
      <c r="AI13" s="19">
        <f t="shared" si="4"/>
        <v>-778.36037248992398</v>
      </c>
      <c r="AJ13" s="19">
        <f t="shared" si="5"/>
        <v>-12320.866025105017</v>
      </c>
      <c r="AK13">
        <v>9</v>
      </c>
      <c r="AL13">
        <v>4.5</v>
      </c>
      <c r="AN13" s="48">
        <f t="shared" si="16"/>
        <v>285.58924200038052</v>
      </c>
      <c r="AO13" s="48">
        <f t="shared" si="17"/>
        <v>-8071.8575201374579</v>
      </c>
      <c r="AP13" s="20"/>
      <c r="AQ13" s="50">
        <f>AQ12+(AT12*bt)</f>
        <v>-414.93937771372202</v>
      </c>
      <c r="AR13" s="50">
        <f t="shared" si="19"/>
        <v>-3781.9752208114319</v>
      </c>
      <c r="AS13" s="20"/>
      <c r="AT13" s="52">
        <f t="shared" si="20"/>
        <v>-828.77600778486442</v>
      </c>
      <c r="AU13" s="52">
        <f t="shared" si="21"/>
        <v>-995.06934178179347</v>
      </c>
      <c r="AV13" s="20"/>
      <c r="AW13" s="20"/>
      <c r="AX13" s="20">
        <f t="shared" si="6"/>
        <v>522.13276740854087</v>
      </c>
      <c r="AY13" s="20">
        <f t="shared" si="7"/>
        <v>412.41795965835206</v>
      </c>
      <c r="AZ13" s="20"/>
      <c r="BA13" s="20">
        <f t="shared" si="8"/>
        <v>-164.98248751021697</v>
      </c>
      <c r="BB13" s="20">
        <f t="shared" si="9"/>
        <v>146.97823031087296</v>
      </c>
      <c r="BC13" s="20"/>
      <c r="BD13" s="20">
        <f t="shared" si="10"/>
        <v>-1185.9262876831883</v>
      </c>
      <c r="BE13" s="20">
        <f t="shared" si="11"/>
        <v>-1554.4655317510185</v>
      </c>
      <c r="BF13" s="20"/>
      <c r="BG13" s="54">
        <f t="shared" si="12"/>
        <v>25122.514566869948</v>
      </c>
      <c r="BH13" s="54">
        <f t="shared" si="13"/>
        <v>27167.943704360667</v>
      </c>
      <c r="BI13" s="54">
        <f t="shared" si="14"/>
        <v>8714.1615693321892</v>
      </c>
      <c r="BJ13" s="20"/>
    </row>
    <row r="14" spans="1:64" x14ac:dyDescent="0.3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C14" s="19">
        <v>10</v>
      </c>
      <c r="AD14" s="19">
        <f t="shared" si="15"/>
        <v>0.62831853071795851</v>
      </c>
      <c r="AE14" s="19">
        <f t="shared" si="0"/>
        <v>24045.084971874738</v>
      </c>
      <c r="AF14" s="19">
        <f t="shared" si="1"/>
        <v>10438.926261462366</v>
      </c>
      <c r="AG14" s="19">
        <f t="shared" si="2"/>
        <v>-17168.440519687683</v>
      </c>
      <c r="AH14" s="19">
        <f t="shared" si="3"/>
        <v>12057.248383023656</v>
      </c>
      <c r="AI14" s="19">
        <f t="shared" si="4"/>
        <v>-954.91502812526278</v>
      </c>
      <c r="AJ14" s="19">
        <f t="shared" si="5"/>
        <v>-12061.073738537634</v>
      </c>
      <c r="AK14">
        <v>10</v>
      </c>
      <c r="AL14">
        <v>5</v>
      </c>
      <c r="AN14" s="48">
        <f t="shared" si="16"/>
        <v>-25.477447829588542</v>
      </c>
      <c r="AO14" s="48">
        <f t="shared" si="17"/>
        <v>-10087.228798265898</v>
      </c>
      <c r="AP14" s="20"/>
      <c r="AQ14" s="50">
        <f t="shared" si="18"/>
        <v>-829.32738160615418</v>
      </c>
      <c r="AR14" s="50">
        <f t="shared" si="19"/>
        <v>-4279.5098917023288</v>
      </c>
      <c r="AS14" s="20"/>
      <c r="AT14" s="52">
        <f t="shared" si="20"/>
        <v>-1123.6291357065463</v>
      </c>
      <c r="AU14" s="52">
        <f t="shared" si="21"/>
        <v>-871.60038634060777</v>
      </c>
      <c r="AV14" s="20"/>
      <c r="AW14" s="20"/>
      <c r="AX14" s="20">
        <f t="shared" si="6"/>
        <v>454.55698178624539</v>
      </c>
      <c r="AY14" s="20">
        <f t="shared" si="7"/>
        <v>399.21133772470108</v>
      </c>
      <c r="AZ14" s="20"/>
      <c r="BA14" s="20">
        <f t="shared" si="8"/>
        <v>-144.38057391759932</v>
      </c>
      <c r="BB14" s="20">
        <f t="shared" si="9"/>
        <v>145.19524132468567</v>
      </c>
      <c r="BC14" s="20"/>
      <c r="BD14" s="20">
        <f t="shared" si="10"/>
        <v>-1433.8055435751924</v>
      </c>
      <c r="BE14" s="20">
        <f t="shared" si="11"/>
        <v>-1416.0069653899945</v>
      </c>
      <c r="BF14" s="20"/>
      <c r="BG14" s="54">
        <f t="shared" si="12"/>
        <v>26652.02363454011</v>
      </c>
      <c r="BH14" s="54">
        <f t="shared" si="13"/>
        <v>28328.0481498646</v>
      </c>
      <c r="BI14" s="54">
        <f t="shared" si="14"/>
        <v>6991.5088144577176</v>
      </c>
      <c r="BJ14" s="20"/>
    </row>
    <row r="15" spans="1:64" ht="15" thickBot="1" x14ac:dyDescent="0.35">
      <c r="A15" s="46"/>
      <c r="B15" s="26" t="s">
        <v>14</v>
      </c>
      <c r="C15" s="26"/>
      <c r="D15" s="26"/>
      <c r="E15" s="26"/>
      <c r="F15" s="26"/>
      <c r="G15" s="2"/>
      <c r="H15" s="2"/>
      <c r="I15" s="2"/>
      <c r="J15" s="2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C15" s="19">
        <v>11</v>
      </c>
      <c r="AD15" s="19">
        <f t="shared" si="15"/>
        <v>0.69115038378975435</v>
      </c>
      <c r="AE15" s="19">
        <f t="shared" si="0"/>
        <v>23852.566213878948</v>
      </c>
      <c r="AF15" s="19">
        <f t="shared" si="1"/>
        <v>10687.119948743448</v>
      </c>
      <c r="AG15" s="19">
        <f t="shared" si="2"/>
        <v>-17303.203650284737</v>
      </c>
      <c r="AH15" s="19">
        <f t="shared" si="3"/>
        <v>12230.983964120414</v>
      </c>
      <c r="AI15" s="19">
        <f t="shared" si="4"/>
        <v>-1147.4337861210533</v>
      </c>
      <c r="AJ15" s="19">
        <f t="shared" si="5"/>
        <v>-11812.880051256552</v>
      </c>
      <c r="AK15">
        <v>11</v>
      </c>
      <c r="AL15">
        <v>5.5</v>
      </c>
      <c r="AN15" s="48">
        <f t="shared" si="16"/>
        <v>-580.59478059598393</v>
      </c>
      <c r="AO15" s="48">
        <f t="shared" si="17"/>
        <v>-12335.933792409638</v>
      </c>
      <c r="AP15" s="20"/>
      <c r="AQ15" s="50">
        <f t="shared" si="18"/>
        <v>-1391.1419494594275</v>
      </c>
      <c r="AR15" s="50">
        <f t="shared" si="19"/>
        <v>-4715.3100848726326</v>
      </c>
      <c r="AS15" s="20"/>
      <c r="AT15" s="52">
        <f t="shared" si="20"/>
        <v>-1359.8455053048287</v>
      </c>
      <c r="AU15" s="52">
        <f t="shared" si="21"/>
        <v>-462.32608673715208</v>
      </c>
      <c r="AV15" s="20"/>
      <c r="AW15" s="20"/>
      <c r="AX15" s="20">
        <f t="shared" si="6"/>
        <v>388.04730664497799</v>
      </c>
      <c r="AY15" s="20">
        <f t="shared" si="7"/>
        <v>374.00671676359411</v>
      </c>
      <c r="AZ15" s="20"/>
      <c r="BA15" s="20">
        <f t="shared" si="8"/>
        <v>-123.96839267233052</v>
      </c>
      <c r="BB15" s="20">
        <f t="shared" si="9"/>
        <v>142.58674659684527</v>
      </c>
      <c r="BC15" s="20"/>
      <c r="BD15" s="20">
        <f t="shared" si="10"/>
        <v>-1623.9244192774761</v>
      </c>
      <c r="BE15" s="20">
        <f t="shared" si="11"/>
        <v>-978.91955009759147</v>
      </c>
      <c r="BF15" s="20"/>
      <c r="BG15" s="54">
        <f t="shared" si="12"/>
        <v>28583.651812530064</v>
      </c>
      <c r="BH15" s="54">
        <f t="shared" si="13"/>
        <v>29597.419439105208</v>
      </c>
      <c r="BI15" s="54">
        <f t="shared" si="14"/>
        <v>5160.2704630397375</v>
      </c>
      <c r="BJ15" s="20"/>
    </row>
    <row r="16" spans="1:64" ht="15" thickTop="1" x14ac:dyDescent="0.3">
      <c r="A16" s="46"/>
      <c r="B16" s="36" t="s">
        <v>18</v>
      </c>
      <c r="C16" s="36"/>
      <c r="D16" s="36"/>
      <c r="E16" s="36"/>
      <c r="F16" s="36"/>
      <c r="G16" s="1"/>
      <c r="H16" s="1"/>
      <c r="I16" s="1"/>
      <c r="J16" s="8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C16" s="19">
        <v>12</v>
      </c>
      <c r="AD16" s="19">
        <f t="shared" si="15"/>
        <v>0.75398223686155019</v>
      </c>
      <c r="AE16" s="19">
        <f t="shared" si="0"/>
        <v>23644.843137107058</v>
      </c>
      <c r="AF16" s="19">
        <f t="shared" si="1"/>
        <v>10922.735529643443</v>
      </c>
      <c r="AG16" s="19">
        <f t="shared" si="2"/>
        <v>-17448.609804025058</v>
      </c>
      <c r="AH16" s="19">
        <f t="shared" si="3"/>
        <v>12395.91487075041</v>
      </c>
      <c r="AI16" s="19">
        <f t="shared" si="4"/>
        <v>-1355.1568628929417</v>
      </c>
      <c r="AJ16" s="19">
        <f t="shared" si="5"/>
        <v>-11577.264470356557</v>
      </c>
      <c r="AK16">
        <v>12</v>
      </c>
      <c r="AL16">
        <v>6</v>
      </c>
      <c r="AN16" s="48">
        <f t="shared" si="16"/>
        <v>-1446.1464434888014</v>
      </c>
      <c r="AO16" s="48">
        <f t="shared" si="17"/>
        <v>-14751.379595688099</v>
      </c>
      <c r="AP16" s="20"/>
      <c r="AQ16" s="50">
        <f t="shared" si="18"/>
        <v>-2071.0647021118421</v>
      </c>
      <c r="AR16" s="50">
        <f t="shared" si="19"/>
        <v>-4946.4731282412085</v>
      </c>
      <c r="AS16" s="20"/>
      <c r="AT16" s="52">
        <f t="shared" si="20"/>
        <v>-1332.2496091808098</v>
      </c>
      <c r="AU16" s="52">
        <f t="shared" si="21"/>
        <v>370.49150591336115</v>
      </c>
      <c r="AV16" s="20"/>
      <c r="AW16" s="20"/>
      <c r="AX16" s="20">
        <f t="shared" si="6"/>
        <v>327.66607473698099</v>
      </c>
      <c r="AY16" s="20">
        <f t="shared" si="7"/>
        <v>339.96887174177044</v>
      </c>
      <c r="AZ16" s="20"/>
      <c r="BA16" s="20">
        <f t="shared" si="8"/>
        <v>-104.45037905727231</v>
      </c>
      <c r="BB16" s="20">
        <f t="shared" si="9"/>
        <v>139.33983973118018</v>
      </c>
      <c r="BC16" s="20"/>
      <c r="BD16" s="20">
        <f t="shared" si="10"/>
        <v>-1555.4653048605185</v>
      </c>
      <c r="BE16" s="20">
        <f t="shared" si="11"/>
        <v>-108.81720555958944</v>
      </c>
      <c r="BF16" s="20"/>
      <c r="BG16" s="54">
        <f t="shared" si="12"/>
        <v>30904.062697111072</v>
      </c>
      <c r="BH16" s="54">
        <f t="shared" si="13"/>
        <v>30933.416780018153</v>
      </c>
      <c r="BI16" s="54">
        <f t="shared" si="14"/>
        <v>3562.5394322824709</v>
      </c>
      <c r="BJ16" s="20"/>
    </row>
    <row r="17" spans="1:62" ht="15.6" x14ac:dyDescent="0.35">
      <c r="A17" s="46"/>
      <c r="B17" s="33" t="s">
        <v>9</v>
      </c>
      <c r="C17" s="33"/>
      <c r="D17" s="33"/>
      <c r="E17" s="33"/>
      <c r="F17" s="33"/>
      <c r="G17" s="4" t="s">
        <v>35</v>
      </c>
      <c r="H17" s="3">
        <v>20000</v>
      </c>
      <c r="I17" s="3">
        <v>7500</v>
      </c>
      <c r="J17" s="7" t="s">
        <v>19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C17" s="19">
        <v>13</v>
      </c>
      <c r="AD17" s="19">
        <f t="shared" si="15"/>
        <v>0.81681408993334603</v>
      </c>
      <c r="AE17" s="19">
        <f t="shared" si="0"/>
        <v>23422.735529643443</v>
      </c>
      <c r="AF17" s="19">
        <f t="shared" si="1"/>
        <v>11144.843137107056</v>
      </c>
      <c r="AG17" s="19">
        <f t="shared" si="2"/>
        <v>-17604.08512924959</v>
      </c>
      <c r="AH17" s="19">
        <f t="shared" si="3"/>
        <v>12551.39019597494</v>
      </c>
      <c r="AI17" s="19">
        <f t="shared" si="4"/>
        <v>-1577.2644703565556</v>
      </c>
      <c r="AJ17" s="19">
        <f t="shared" si="5"/>
        <v>-11355.156862892944</v>
      </c>
      <c r="AK17">
        <v>13</v>
      </c>
      <c r="AL17">
        <v>6.5</v>
      </c>
      <c r="AN17" s="48">
        <f t="shared" si="16"/>
        <v>-2648.2099956923234</v>
      </c>
      <c r="AO17" s="48">
        <f t="shared" si="17"/>
        <v>-17178.304721569533</v>
      </c>
      <c r="AP17" s="20"/>
      <c r="AQ17" s="50">
        <f t="shared" si="18"/>
        <v>-2737.1895067022469</v>
      </c>
      <c r="AR17" s="50">
        <f t="shared" si="19"/>
        <v>-4761.2273752845276</v>
      </c>
      <c r="AS17" s="20"/>
      <c r="AT17" s="52">
        <f t="shared" si="20"/>
        <v>-872.47773551196622</v>
      </c>
      <c r="AU17" s="52">
        <f t="shared" si="21"/>
        <v>1423.2819869014561</v>
      </c>
      <c r="AV17" s="20"/>
      <c r="AW17" s="20"/>
      <c r="AX17" s="20">
        <f t="shared" si="6"/>
        <v>277.61756850883444</v>
      </c>
      <c r="AY17" s="20">
        <f t="shared" si="7"/>
        <v>302.50209411804741</v>
      </c>
      <c r="AZ17" s="20"/>
      <c r="BA17" s="20">
        <f t="shared" si="8"/>
        <v>-86.745678154182187</v>
      </c>
      <c r="BB17" s="20">
        <f t="shared" si="9"/>
        <v>135.87073573206416</v>
      </c>
      <c r="BC17" s="20"/>
      <c r="BD17" s="20">
        <f t="shared" si="10"/>
        <v>-1063.3496258666185</v>
      </c>
      <c r="BE17" s="20">
        <f t="shared" si="11"/>
        <v>984.90915705134455</v>
      </c>
      <c r="BF17" s="20"/>
      <c r="BG17" s="54">
        <f t="shared" si="12"/>
        <v>33495.673451053626</v>
      </c>
      <c r="BH17" s="54">
        <f t="shared" si="13"/>
        <v>32245.0750331284</v>
      </c>
      <c r="BI17" s="54">
        <f t="shared" si="14"/>
        <v>3205.6087852970495</v>
      </c>
      <c r="BJ17" s="20"/>
    </row>
    <row r="18" spans="1:62" ht="15.6" x14ac:dyDescent="0.35">
      <c r="A18" s="46"/>
      <c r="B18" s="33" t="s">
        <v>8</v>
      </c>
      <c r="C18" s="33"/>
      <c r="D18" s="33"/>
      <c r="E18" s="33"/>
      <c r="F18" s="33"/>
      <c r="G18" s="3" t="s">
        <v>34</v>
      </c>
      <c r="H18" s="27">
        <v>5000</v>
      </c>
      <c r="I18" s="27"/>
      <c r="J18" s="7" t="s">
        <v>19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C18" s="19">
        <v>14</v>
      </c>
      <c r="AD18" s="19">
        <f t="shared" si="15"/>
        <v>0.87964594300514187</v>
      </c>
      <c r="AE18" s="19">
        <f t="shared" si="0"/>
        <v>23187.11994874345</v>
      </c>
      <c r="AF18" s="19">
        <f t="shared" si="1"/>
        <v>11352.566213878945</v>
      </c>
      <c r="AG18" s="19">
        <f t="shared" si="2"/>
        <v>-17769.016035879584</v>
      </c>
      <c r="AH18" s="19">
        <f t="shared" si="3"/>
        <v>12696.796349715261</v>
      </c>
      <c r="AI18" s="19">
        <f t="shared" si="4"/>
        <v>-1812.8800512565508</v>
      </c>
      <c r="AJ18" s="19">
        <f t="shared" si="5"/>
        <v>-11147.433786121055</v>
      </c>
      <c r="AK18">
        <v>14</v>
      </c>
      <c r="AL18">
        <v>7</v>
      </c>
      <c r="AN18" s="48">
        <f t="shared" si="16"/>
        <v>-4125.8644659824431</v>
      </c>
      <c r="AO18" s="48">
        <f t="shared" si="17"/>
        <v>-19381.008160849116</v>
      </c>
      <c r="AP18" s="20"/>
      <c r="AQ18" s="50">
        <f t="shared" si="18"/>
        <v>-3173.4283744582299</v>
      </c>
      <c r="AR18" s="50">
        <f t="shared" si="19"/>
        <v>-4049.5863818337994</v>
      </c>
      <c r="AS18" s="20"/>
      <c r="AT18" s="52">
        <f t="shared" ref="AT18:AT81" si="22">AX18+BA18+BD18</f>
        <v>-180.17812858231974</v>
      </c>
      <c r="AU18" s="52">
        <f t="shared" ref="AU18:AU81" si="23">AY18+BB18+BE18</f>
        <v>2146.14213028827</v>
      </c>
      <c r="AV18" s="20"/>
      <c r="AW18" s="20"/>
      <c r="AX18" s="20">
        <f t="shared" si="6"/>
        <v>239.95577445043654</v>
      </c>
      <c r="AY18" s="20">
        <f t="shared" si="7"/>
        <v>267.35842524274869</v>
      </c>
      <c r="AZ18" s="20"/>
      <c r="BA18" s="20">
        <f t="shared" si="8"/>
        <v>-71.766807806764248</v>
      </c>
      <c r="BB18" s="20">
        <f t="shared" si="9"/>
        <v>132.83124371277012</v>
      </c>
      <c r="BC18" s="20"/>
      <c r="BD18" s="20">
        <f t="shared" si="10"/>
        <v>-348.36709522599205</v>
      </c>
      <c r="BE18" s="20">
        <f t="shared" si="11"/>
        <v>1745.9524613327512</v>
      </c>
      <c r="BF18" s="20"/>
      <c r="BG18" s="54">
        <f t="shared" si="12"/>
        <v>36119.882834452706</v>
      </c>
      <c r="BH18" s="54">
        <f t="shared" si="13"/>
        <v>33395.086756890472</v>
      </c>
      <c r="BI18" s="54">
        <f t="shared" si="14"/>
        <v>4467.3644844873261</v>
      </c>
      <c r="BJ18" s="20"/>
    </row>
    <row r="19" spans="1:62" ht="16.8" x14ac:dyDescent="0.35">
      <c r="A19" s="46"/>
      <c r="B19" s="33" t="s">
        <v>10</v>
      </c>
      <c r="C19" s="33"/>
      <c r="D19" s="33"/>
      <c r="E19" s="33"/>
      <c r="F19" s="33"/>
      <c r="G19" s="3" t="s">
        <v>36</v>
      </c>
      <c r="H19" s="27">
        <v>1</v>
      </c>
      <c r="I19" s="27"/>
      <c r="J19" s="7" t="s">
        <v>26</v>
      </c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C19" s="19">
        <v>15</v>
      </c>
      <c r="AD19" s="19">
        <f t="shared" si="15"/>
        <v>0.94247779607693771</v>
      </c>
      <c r="AE19" s="19">
        <f t="shared" si="0"/>
        <v>22938.926261462366</v>
      </c>
      <c r="AF19" s="19">
        <f t="shared" si="1"/>
        <v>11545.084971874736</v>
      </c>
      <c r="AG19" s="19">
        <f t="shared" si="2"/>
        <v>-17942.751616976344</v>
      </c>
      <c r="AH19" s="19">
        <f t="shared" si="3"/>
        <v>12831.559480312315</v>
      </c>
      <c r="AI19" s="19">
        <f t="shared" si="4"/>
        <v>-2061.0737385376333</v>
      </c>
      <c r="AJ19" s="19">
        <f t="shared" si="5"/>
        <v>-10954.915028125264</v>
      </c>
      <c r="AK19">
        <v>15</v>
      </c>
      <c r="AL19">
        <v>7.5</v>
      </c>
      <c r="AN19" s="48">
        <f t="shared" si="16"/>
        <v>-5735.1009192843476</v>
      </c>
      <c r="AO19" s="48">
        <f t="shared" si="17"/>
        <v>-21137.533585479981</v>
      </c>
      <c r="AP19" s="20"/>
      <c r="AQ19" s="50">
        <f t="shared" si="18"/>
        <v>-3263.5174387493898</v>
      </c>
      <c r="AR19" s="50">
        <f t="shared" si="19"/>
        <v>-2976.5153166896644</v>
      </c>
      <c r="AS19" s="20"/>
      <c r="AT19" s="52">
        <f t="shared" si="22"/>
        <v>390.98118215131149</v>
      </c>
      <c r="AU19" s="52">
        <f t="shared" si="23"/>
        <v>2346.9237498752982</v>
      </c>
      <c r="AV19" s="20"/>
      <c r="AW19" s="20"/>
      <c r="AX19" s="20">
        <f t="shared" si="6"/>
        <v>214.06641854686356</v>
      </c>
      <c r="AY19" s="20">
        <f t="shared" si="7"/>
        <v>238.20906200781644</v>
      </c>
      <c r="AZ19" s="20"/>
      <c r="BA19" s="20">
        <f t="shared" si="8"/>
        <v>-59.970388456142473</v>
      </c>
      <c r="BB19" s="20">
        <f t="shared" si="9"/>
        <v>130.90383423825355</v>
      </c>
      <c r="BC19" s="20"/>
      <c r="BD19" s="20">
        <f t="shared" si="10"/>
        <v>236.88515206059043</v>
      </c>
      <c r="BE19" s="20">
        <f t="shared" si="11"/>
        <v>1977.8108536292284</v>
      </c>
      <c r="BF19" s="20"/>
      <c r="BG19" s="54">
        <f t="shared" si="12"/>
        <v>38501.996690889217</v>
      </c>
      <c r="BH19" s="54">
        <f t="shared" si="13"/>
        <v>34249.574356039753</v>
      </c>
      <c r="BI19" s="54">
        <f t="shared" si="14"/>
        <v>6181.3988606485709</v>
      </c>
      <c r="BJ19" s="20"/>
    </row>
    <row r="20" spans="1:62" ht="16.8" x14ac:dyDescent="0.35">
      <c r="A20" s="46"/>
      <c r="B20" s="33" t="s">
        <v>11</v>
      </c>
      <c r="C20" s="33"/>
      <c r="D20" s="33"/>
      <c r="E20" s="33"/>
      <c r="F20" s="33"/>
      <c r="G20" s="3" t="s">
        <v>37</v>
      </c>
      <c r="H20" s="27">
        <f>4/3*PI()*(r_1)^3</f>
        <v>523598775598.29883</v>
      </c>
      <c r="I20" s="27"/>
      <c r="J20" s="7" t="s">
        <v>27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C20" s="19">
        <v>16</v>
      </c>
      <c r="AD20" s="19">
        <f t="shared" si="15"/>
        <v>1.0053096491487337</v>
      </c>
      <c r="AE20" s="19">
        <f t="shared" si="0"/>
        <v>22679.133974894983</v>
      </c>
      <c r="AF20" s="19">
        <f t="shared" si="1"/>
        <v>11721.639627510074</v>
      </c>
      <c r="AG20" s="19">
        <f t="shared" si="2"/>
        <v>-18124.60621757351</v>
      </c>
      <c r="AH20" s="19">
        <f t="shared" si="3"/>
        <v>12955.147739257052</v>
      </c>
      <c r="AI20" s="19">
        <f t="shared" si="4"/>
        <v>-2320.866025105016</v>
      </c>
      <c r="AJ20" s="19">
        <f t="shared" si="5"/>
        <v>-10778.360372489926</v>
      </c>
      <c r="AK20">
        <v>16</v>
      </c>
      <c r="AL20">
        <v>8</v>
      </c>
      <c r="AN20" s="48">
        <f t="shared" si="16"/>
        <v>-7317.9869908901283</v>
      </c>
      <c r="AO20" s="48">
        <f t="shared" si="17"/>
        <v>-22332.4257750904</v>
      </c>
      <c r="AP20" s="20"/>
      <c r="AQ20" s="50">
        <f t="shared" si="18"/>
        <v>-3068.0268476737342</v>
      </c>
      <c r="AR20" s="50">
        <f t="shared" si="19"/>
        <v>-1803.0534417520153</v>
      </c>
      <c r="AS20" s="20"/>
      <c r="AT20" s="52">
        <f t="shared" si="22"/>
        <v>751.07099628410424</v>
      </c>
      <c r="AU20" s="52">
        <f t="shared" si="23"/>
        <v>2258.9192906209232</v>
      </c>
      <c r="AV20" s="20"/>
      <c r="AW20" s="20"/>
      <c r="AX20" s="20">
        <f t="shared" si="6"/>
        <v>197.71080916798957</v>
      </c>
      <c r="AY20" s="20">
        <f t="shared" si="7"/>
        <v>215.90877253891412</v>
      </c>
      <c r="AZ20" s="20"/>
      <c r="BA20" s="20">
        <f t="shared" si="8"/>
        <v>-51.215518141821811</v>
      </c>
      <c r="BB20" s="20">
        <f t="shared" si="9"/>
        <v>130.5724838528198</v>
      </c>
      <c r="BC20" s="20"/>
      <c r="BD20" s="20">
        <f t="shared" si="10"/>
        <v>604.57570525793653</v>
      </c>
      <c r="BE20" s="20">
        <f t="shared" si="11"/>
        <v>1912.4380342291893</v>
      </c>
      <c r="BF20" s="20"/>
      <c r="BG20" s="54">
        <f t="shared" si="12"/>
        <v>40450.538202361662</v>
      </c>
      <c r="BH20" s="54">
        <f t="shared" si="13"/>
        <v>34730.666714950377</v>
      </c>
      <c r="BI20" s="54">
        <f t="shared" si="14"/>
        <v>7690.0930707726757</v>
      </c>
      <c r="BJ20" s="20"/>
    </row>
    <row r="21" spans="1:62" ht="15.6" x14ac:dyDescent="0.35">
      <c r="A21" s="46"/>
      <c r="B21" s="33" t="s">
        <v>12</v>
      </c>
      <c r="C21" s="33"/>
      <c r="D21" s="33"/>
      <c r="E21" s="33"/>
      <c r="F21" s="33"/>
      <c r="G21" s="3" t="s">
        <v>38</v>
      </c>
      <c r="H21" s="27">
        <f>ρ_1*Volume_1</f>
        <v>523598775598.29883</v>
      </c>
      <c r="I21" s="27"/>
      <c r="J21" s="7" t="s">
        <v>28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C21" s="19">
        <v>17</v>
      </c>
      <c r="AD21" s="19">
        <f t="shared" si="15"/>
        <v>1.0681415022205296</v>
      </c>
      <c r="AE21" s="19">
        <f t="shared" si="0"/>
        <v>22408.768370508576</v>
      </c>
      <c r="AF21" s="19">
        <f t="shared" si="1"/>
        <v>11881.533400219318</v>
      </c>
      <c r="AG21" s="19">
        <f t="shared" si="2"/>
        <v>-18313.862140643996</v>
      </c>
      <c r="AH21" s="19">
        <f t="shared" si="3"/>
        <v>13067.073380153523</v>
      </c>
      <c r="AI21" s="19">
        <f t="shared" si="4"/>
        <v>-2591.2316294914235</v>
      </c>
      <c r="AJ21" s="19">
        <f t="shared" si="5"/>
        <v>-10618.466599780682</v>
      </c>
      <c r="AK21">
        <v>17</v>
      </c>
      <c r="AL21">
        <v>8.5</v>
      </c>
      <c r="AN21" s="48">
        <f t="shared" si="16"/>
        <v>-8758.1165401914823</v>
      </c>
      <c r="AO21" s="48">
        <f t="shared" si="17"/>
        <v>-22951.587584638793</v>
      </c>
      <c r="AP21" s="20"/>
      <c r="AQ21" s="50">
        <f t="shared" si="18"/>
        <v>-2692.4913495316823</v>
      </c>
      <c r="AR21" s="50">
        <f t="shared" si="19"/>
        <v>-673.59379644155365</v>
      </c>
      <c r="AS21" s="20"/>
      <c r="AT21" s="52">
        <f t="shared" si="22"/>
        <v>976.63452112088953</v>
      </c>
      <c r="AU21" s="52">
        <f t="shared" si="23"/>
        <v>2094.5997909318075</v>
      </c>
      <c r="AV21" s="20"/>
      <c r="AW21" s="20"/>
      <c r="AX21" s="20">
        <f t="shared" si="6"/>
        <v>188.5728080296347</v>
      </c>
      <c r="AY21" s="20">
        <f t="shared" si="7"/>
        <v>199.67724144139879</v>
      </c>
      <c r="AZ21" s="20"/>
      <c r="BA21" s="20">
        <f t="shared" si="8"/>
        <v>-45.077783953265154</v>
      </c>
      <c r="BB21" s="20">
        <f t="shared" si="9"/>
        <v>132.12950938051642</v>
      </c>
      <c r="BC21" s="20"/>
      <c r="BD21" s="20">
        <f t="shared" si="10"/>
        <v>833.13949704452</v>
      </c>
      <c r="BE21" s="20">
        <f t="shared" si="11"/>
        <v>1762.7930401098924</v>
      </c>
      <c r="BF21" s="20"/>
      <c r="BG21" s="54">
        <f t="shared" si="12"/>
        <v>41884.704288847053</v>
      </c>
      <c r="BH21" s="54">
        <f t="shared" si="13"/>
        <v>34816.476962381443</v>
      </c>
      <c r="BI21" s="54">
        <f t="shared" si="14"/>
        <v>8794.9522480706273</v>
      </c>
      <c r="BJ21" s="20"/>
    </row>
    <row r="22" spans="1:62" ht="15.6" x14ac:dyDescent="0.35">
      <c r="A22" s="46"/>
      <c r="B22" s="33" t="s">
        <v>13</v>
      </c>
      <c r="C22" s="33"/>
      <c r="D22" s="33"/>
      <c r="E22" s="33"/>
      <c r="F22" s="33"/>
      <c r="G22" s="3" t="s">
        <v>39</v>
      </c>
      <c r="H22" s="27">
        <f>H18*H5</f>
        <v>10000</v>
      </c>
      <c r="I22" s="27"/>
      <c r="J22" s="7" t="s">
        <v>19</v>
      </c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C22" s="19">
        <v>18</v>
      </c>
      <c r="AD22" s="19">
        <f t="shared" si="15"/>
        <v>1.1309733552923256</v>
      </c>
      <c r="AE22" s="19">
        <f t="shared" si="0"/>
        <v>22128.896457825362</v>
      </c>
      <c r="AF22" s="19">
        <f t="shared" si="1"/>
        <v>12024.135262330099</v>
      </c>
      <c r="AG22" s="19">
        <f t="shared" si="2"/>
        <v>-18509.772479522246</v>
      </c>
      <c r="AH22" s="19">
        <f t="shared" si="3"/>
        <v>13166.894683631068</v>
      </c>
      <c r="AI22" s="19">
        <f t="shared" si="4"/>
        <v>-2871.1035421746369</v>
      </c>
      <c r="AJ22" s="19">
        <f t="shared" si="5"/>
        <v>-10475.864737669901</v>
      </c>
      <c r="AK22">
        <v>18</v>
      </c>
      <c r="AL22">
        <v>9</v>
      </c>
      <c r="AN22" s="48">
        <f t="shared" si="16"/>
        <v>-9982.2828998172135</v>
      </c>
      <c r="AO22" s="48">
        <f t="shared" si="17"/>
        <v>-23026.559508993098</v>
      </c>
      <c r="AP22" s="20"/>
      <c r="AQ22" s="50">
        <f t="shared" si="18"/>
        <v>-2204.1740889712373</v>
      </c>
      <c r="AR22" s="50">
        <f t="shared" si="19"/>
        <v>373.70609902435012</v>
      </c>
      <c r="AS22" s="20"/>
      <c r="AT22" s="52">
        <f t="shared" si="22"/>
        <v>1145.8598133399048</v>
      </c>
      <c r="AU22" s="52">
        <f t="shared" si="23"/>
        <v>1938.4933166347439</v>
      </c>
      <c r="AV22" s="20"/>
      <c r="AW22" s="20"/>
      <c r="AX22" s="20">
        <f t="shared" si="6"/>
        <v>185.03532360529618</v>
      </c>
      <c r="AY22" s="20">
        <f t="shared" si="7"/>
        <v>188.39432061183393</v>
      </c>
      <c r="AZ22" s="20"/>
      <c r="BA22" s="20">
        <f t="shared" si="8"/>
        <v>-41.19761644224095</v>
      </c>
      <c r="BB22" s="20">
        <f t="shared" si="9"/>
        <v>135.8209178250319</v>
      </c>
      <c r="BC22" s="20"/>
      <c r="BD22" s="20">
        <f t="shared" si="10"/>
        <v>1002.0221061768497</v>
      </c>
      <c r="BE22" s="20">
        <f t="shared" si="11"/>
        <v>1614.2780781978781</v>
      </c>
      <c r="BF22" s="20"/>
      <c r="BG22" s="54">
        <f t="shared" si="12"/>
        <v>42787.943668056403</v>
      </c>
      <c r="BH22" s="54">
        <f t="shared" si="13"/>
        <v>34512.436727944281</v>
      </c>
      <c r="BI22" s="54">
        <f t="shared" si="14"/>
        <v>9447.1583264608489</v>
      </c>
      <c r="BJ22" s="20"/>
    </row>
    <row r="23" spans="1:62" ht="15" thickBot="1" x14ac:dyDescent="0.35">
      <c r="A23" s="46"/>
      <c r="B23" s="46"/>
      <c r="C23" s="46"/>
      <c r="D23" s="46"/>
      <c r="E23" s="46"/>
      <c r="F23" s="46"/>
      <c r="G23" s="61"/>
      <c r="H23" s="62"/>
      <c r="I23" s="62"/>
      <c r="J23" s="63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C23" s="19">
        <v>19</v>
      </c>
      <c r="AD23" s="19">
        <f t="shared" si="15"/>
        <v>1.1938052083641215</v>
      </c>
      <c r="AE23" s="19">
        <f t="shared" si="0"/>
        <v>21840.622763423391</v>
      </c>
      <c r="AF23" s="19">
        <f t="shared" si="1"/>
        <v>12148.882429441257</v>
      </c>
      <c r="AG23" s="19">
        <f t="shared" si="2"/>
        <v>-18711.564065603627</v>
      </c>
      <c r="AH23" s="19">
        <f t="shared" si="3"/>
        <v>13254.21770060888</v>
      </c>
      <c r="AI23" s="19">
        <f t="shared" si="4"/>
        <v>-3159.3772365766108</v>
      </c>
      <c r="AJ23" s="19">
        <f t="shared" si="5"/>
        <v>-10351.117570558743</v>
      </c>
      <c r="AK23">
        <v>19</v>
      </c>
      <c r="AL23">
        <v>9.5</v>
      </c>
      <c r="AN23" s="48">
        <f t="shared" si="16"/>
        <v>-10941.137467635344</v>
      </c>
      <c r="AO23" s="48">
        <f t="shared" si="17"/>
        <v>-22597.394794901582</v>
      </c>
      <c r="AP23" s="20"/>
      <c r="AQ23" s="50">
        <f t="shared" si="18"/>
        <v>-1631.244182301285</v>
      </c>
      <c r="AR23" s="50">
        <f t="shared" si="19"/>
        <v>1342.9527573417222</v>
      </c>
      <c r="AS23" s="20"/>
      <c r="AT23" s="52">
        <f t="shared" si="22"/>
        <v>1306.8356790349021</v>
      </c>
      <c r="AU23" s="52">
        <f t="shared" si="23"/>
        <v>1806.5581552856934</v>
      </c>
      <c r="AV23" s="20"/>
      <c r="AW23" s="20"/>
      <c r="AX23" s="20">
        <f t="shared" si="6"/>
        <v>186.24546355077956</v>
      </c>
      <c r="AY23" s="20">
        <f t="shared" si="7"/>
        <v>181.16668306427528</v>
      </c>
      <c r="AZ23" s="20"/>
      <c r="BA23" s="20">
        <f t="shared" si="8"/>
        <v>-39.450198759995217</v>
      </c>
      <c r="BB23" s="20">
        <f t="shared" si="9"/>
        <v>141.95752492352045</v>
      </c>
      <c r="BC23" s="20"/>
      <c r="BD23" s="20">
        <f t="shared" si="10"/>
        <v>1160.0404142441178</v>
      </c>
      <c r="BE23" s="20">
        <f t="shared" si="11"/>
        <v>1483.4339472978977</v>
      </c>
      <c r="BF23" s="20"/>
      <c r="BG23" s="54">
        <f t="shared" si="12"/>
        <v>43164.883426591994</v>
      </c>
      <c r="BH23" s="54">
        <f t="shared" si="13"/>
        <v>33832.722884730356</v>
      </c>
      <c r="BI23" s="54">
        <f t="shared" si="14"/>
        <v>9644.5591956780554</v>
      </c>
      <c r="BJ23" s="20"/>
    </row>
    <row r="24" spans="1:62" ht="15" thickTop="1" x14ac:dyDescent="0.3">
      <c r="A24" s="46"/>
      <c r="B24" s="38" t="s">
        <v>29</v>
      </c>
      <c r="C24" s="38"/>
      <c r="D24" s="38"/>
      <c r="E24" s="38"/>
      <c r="F24" s="38"/>
      <c r="G24" s="11"/>
      <c r="H24" s="11"/>
      <c r="I24" s="11"/>
      <c r="J24" s="1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C24" s="19">
        <v>20</v>
      </c>
      <c r="AD24" s="19">
        <f t="shared" si="15"/>
        <v>1.2566370614359175</v>
      </c>
      <c r="AE24" s="19">
        <f t="shared" si="0"/>
        <v>21545.084971874738</v>
      </c>
      <c r="AF24" s="19">
        <f t="shared" si="1"/>
        <v>12255.282581475767</v>
      </c>
      <c r="AG24" s="19">
        <f t="shared" si="2"/>
        <v>-18918.440519687683</v>
      </c>
      <c r="AH24" s="19">
        <f t="shared" si="3"/>
        <v>13328.697807033037</v>
      </c>
      <c r="AI24" s="19">
        <f t="shared" si="4"/>
        <v>-3454.9150281252637</v>
      </c>
      <c r="AJ24" s="19">
        <f t="shared" si="5"/>
        <v>-10244.717418524233</v>
      </c>
      <c r="AK24">
        <v>20</v>
      </c>
      <c r="AL24">
        <v>10</v>
      </c>
      <c r="AN24" s="48">
        <f t="shared" si="16"/>
        <v>-11593.405098906624</v>
      </c>
      <c r="AO24" s="48">
        <f t="shared" si="17"/>
        <v>-21700.09864682001</v>
      </c>
      <c r="AP24" s="20"/>
      <c r="AQ24" s="50">
        <f t="shared" si="18"/>
        <v>-977.82634278383398</v>
      </c>
      <c r="AR24" s="50">
        <f t="shared" si="19"/>
        <v>2246.2318349845691</v>
      </c>
      <c r="AS24" s="20"/>
      <c r="AT24" s="52">
        <f t="shared" si="22"/>
        <v>1487.353052787591</v>
      </c>
      <c r="AU24" s="52">
        <f t="shared" si="23"/>
        <v>1685.4175391133945</v>
      </c>
      <c r="AV24" s="20"/>
      <c r="AW24" s="20"/>
      <c r="AX24" s="20">
        <f t="shared" si="6"/>
        <v>191.99044231157399</v>
      </c>
      <c r="AY24" s="20">
        <f t="shared" si="7"/>
        <v>177.44652205718029</v>
      </c>
      <c r="AZ24" s="20"/>
      <c r="BA24" s="20">
        <f t="shared" si="8"/>
        <v>-40.034536640023383</v>
      </c>
      <c r="BB24" s="20">
        <f t="shared" si="9"/>
        <v>150.96466235138917</v>
      </c>
      <c r="BC24" s="20"/>
      <c r="BD24" s="20">
        <f t="shared" si="10"/>
        <v>1335.3971471160403</v>
      </c>
      <c r="BE24" s="20">
        <f t="shared" si="11"/>
        <v>1357.0063547048251</v>
      </c>
      <c r="BF24" s="20"/>
      <c r="BG24" s="54">
        <f t="shared" si="12"/>
        <v>43020.797374382062</v>
      </c>
      <c r="BH24" s="54">
        <f t="shared" si="13"/>
        <v>32795.839553961858</v>
      </c>
      <c r="BI24" s="54">
        <f t="shared" si="14"/>
        <v>9400.2293948290007</v>
      </c>
      <c r="BJ24" s="20"/>
    </row>
    <row r="25" spans="1:62" ht="15.6" x14ac:dyDescent="0.35">
      <c r="A25" s="46"/>
      <c r="B25" s="33" t="s">
        <v>9</v>
      </c>
      <c r="C25" s="33"/>
      <c r="D25" s="33"/>
      <c r="E25" s="33"/>
      <c r="F25" s="33"/>
      <c r="G25" s="3" t="s">
        <v>21</v>
      </c>
      <c r="H25" s="3">
        <v>-20000</v>
      </c>
      <c r="I25" s="3">
        <v>10000</v>
      </c>
      <c r="J25" s="7" t="s">
        <v>19</v>
      </c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C25" s="19">
        <v>21</v>
      </c>
      <c r="AD25" s="19">
        <f t="shared" si="15"/>
        <v>1.3194689145077134</v>
      </c>
      <c r="AE25" s="19">
        <f t="shared" si="0"/>
        <v>21243.449435824274</v>
      </c>
      <c r="AF25" s="19">
        <f t="shared" si="1"/>
        <v>12342.915805643155</v>
      </c>
      <c r="AG25" s="19">
        <f t="shared" si="2"/>
        <v>-19129.585394923008</v>
      </c>
      <c r="AH25" s="19">
        <f t="shared" si="3"/>
        <v>13390.04106395021</v>
      </c>
      <c r="AI25" s="19">
        <f t="shared" si="4"/>
        <v>-3756.5505641757272</v>
      </c>
      <c r="AJ25" s="19">
        <f t="shared" si="5"/>
        <v>-10157.084194356845</v>
      </c>
      <c r="AK25">
        <v>21</v>
      </c>
      <c r="AL25">
        <v>10.5</v>
      </c>
      <c r="AN25" s="48">
        <f t="shared" si="16"/>
        <v>-11896.399138700093</v>
      </c>
      <c r="AO25" s="48">
        <f t="shared" si="17"/>
        <v>-20366.305536938551</v>
      </c>
      <c r="AP25" s="20"/>
      <c r="AQ25" s="50">
        <f t="shared" si="18"/>
        <v>-234.1498163900385</v>
      </c>
      <c r="AR25" s="50">
        <f t="shared" si="19"/>
        <v>3088.9406045412661</v>
      </c>
      <c r="AS25" s="20"/>
      <c r="AT25" s="52">
        <f t="shared" si="22"/>
        <v>1700.8398880258603</v>
      </c>
      <c r="AU25" s="52">
        <f t="shared" si="23"/>
        <v>1540.118143149296</v>
      </c>
      <c r="AV25" s="20"/>
      <c r="AW25" s="20"/>
      <c r="AX25" s="20">
        <f t="shared" si="6"/>
        <v>202.62864471487001</v>
      </c>
      <c r="AY25" s="20">
        <f t="shared" si="7"/>
        <v>177.02661982648033</v>
      </c>
      <c r="AZ25" s="20"/>
      <c r="BA25" s="20">
        <f t="shared" si="8"/>
        <v>-43.595366025625069</v>
      </c>
      <c r="BB25" s="20">
        <f t="shared" si="9"/>
        <v>163.36320450467551</v>
      </c>
      <c r="BC25" s="20"/>
      <c r="BD25" s="20">
        <f t="shared" si="10"/>
        <v>1541.8066093366153</v>
      </c>
      <c r="BE25" s="20">
        <f t="shared" si="11"/>
        <v>1199.7283188181402</v>
      </c>
      <c r="BF25" s="20"/>
      <c r="BG25" s="54">
        <f t="shared" si="12"/>
        <v>42354.589624895198</v>
      </c>
      <c r="BH25" s="54">
        <f t="shared" si="13"/>
        <v>31428.981193827545</v>
      </c>
      <c r="BI25" s="54">
        <f t="shared" si="14"/>
        <v>8738.2810778802923</v>
      </c>
      <c r="BJ25" s="20"/>
    </row>
    <row r="26" spans="1:62" ht="15.6" x14ac:dyDescent="0.35">
      <c r="A26" s="46"/>
      <c r="B26" s="33" t="s">
        <v>8</v>
      </c>
      <c r="C26" s="33"/>
      <c r="D26" s="33"/>
      <c r="E26" s="33"/>
      <c r="F26" s="33"/>
      <c r="G26" s="3" t="s">
        <v>20</v>
      </c>
      <c r="H26" s="27">
        <v>3500</v>
      </c>
      <c r="I26" s="27"/>
      <c r="J26" s="7" t="s">
        <v>19</v>
      </c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C26" s="19">
        <v>22</v>
      </c>
      <c r="AD26" s="19">
        <f t="shared" si="15"/>
        <v>1.3823007675795094</v>
      </c>
      <c r="AE26" s="19">
        <f t="shared" si="0"/>
        <v>20936.906572928623</v>
      </c>
      <c r="AF26" s="19">
        <f t="shared" si="1"/>
        <v>12411.436253643444</v>
      </c>
      <c r="AG26" s="19">
        <f t="shared" si="2"/>
        <v>-19344.165398949965</v>
      </c>
      <c r="AH26" s="19">
        <f t="shared" si="3"/>
        <v>13438.005377550411</v>
      </c>
      <c r="AI26" s="19">
        <f t="shared" si="4"/>
        <v>-4063.0934270713788</v>
      </c>
      <c r="AJ26" s="19">
        <f t="shared" si="5"/>
        <v>-10088.563746356556</v>
      </c>
      <c r="AK26">
        <v>22</v>
      </c>
      <c r="AL26">
        <v>11</v>
      </c>
      <c r="AN26" s="48">
        <f t="shared" si="16"/>
        <v>-11800.869060891881</v>
      </c>
      <c r="AO26" s="48">
        <f t="shared" si="17"/>
        <v>-18629.320466774254</v>
      </c>
      <c r="AP26" s="20"/>
      <c r="AQ26" s="50">
        <f t="shared" si="18"/>
        <v>616.27012762289166</v>
      </c>
      <c r="AR26" s="50">
        <f t="shared" si="19"/>
        <v>3858.9996761159141</v>
      </c>
      <c r="AS26" s="20"/>
      <c r="AT26" s="52">
        <f t="shared" si="22"/>
        <v>1936.7138635855035</v>
      </c>
      <c r="AU26" s="52">
        <f t="shared" si="23"/>
        <v>1303.6839737957985</v>
      </c>
      <c r="AV26" s="20"/>
      <c r="AW26" s="20"/>
      <c r="AX26" s="20">
        <f t="shared" si="6"/>
        <v>219.12434986171948</v>
      </c>
      <c r="AY26" s="20">
        <f t="shared" si="7"/>
        <v>180.0444619499921</v>
      </c>
      <c r="AZ26" s="20"/>
      <c r="BA26" s="20">
        <f t="shared" si="8"/>
        <v>-51.432973639756526</v>
      </c>
      <c r="BB26" s="20">
        <f t="shared" si="9"/>
        <v>179.59111713514309</v>
      </c>
      <c r="BC26" s="20"/>
      <c r="BD26" s="20">
        <f t="shared" si="10"/>
        <v>1769.0224873635407</v>
      </c>
      <c r="BE26" s="20">
        <f t="shared" si="11"/>
        <v>944.04839471066339</v>
      </c>
      <c r="BF26" s="20"/>
      <c r="BG26" s="54">
        <f t="shared" si="12"/>
        <v>41158.67661967982</v>
      </c>
      <c r="BH26" s="54">
        <f t="shared" si="13"/>
        <v>29780.257529878734</v>
      </c>
      <c r="BI26" s="54">
        <f t="shared" si="14"/>
        <v>7708.6825744703547</v>
      </c>
      <c r="BJ26" s="20"/>
    </row>
    <row r="27" spans="1:62" ht="16.8" x14ac:dyDescent="0.35">
      <c r="A27" s="46"/>
      <c r="B27" s="33" t="s">
        <v>10</v>
      </c>
      <c r="C27" s="33"/>
      <c r="D27" s="33"/>
      <c r="E27" s="33"/>
      <c r="F27" s="33"/>
      <c r="G27" s="3" t="s">
        <v>22</v>
      </c>
      <c r="H27" s="27">
        <v>1</v>
      </c>
      <c r="I27" s="27"/>
      <c r="J27" s="7" t="s">
        <v>26</v>
      </c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C27" s="19">
        <v>23</v>
      </c>
      <c r="AD27" s="19">
        <f t="shared" si="15"/>
        <v>1.4451326206513053</v>
      </c>
      <c r="AE27" s="19">
        <f t="shared" si="0"/>
        <v>20626.666167821521</v>
      </c>
      <c r="AF27" s="19">
        <f t="shared" si="1"/>
        <v>12460.573506572389</v>
      </c>
      <c r="AG27" s="19">
        <f t="shared" si="2"/>
        <v>-19561.333682524935</v>
      </c>
      <c r="AH27" s="19">
        <f t="shared" si="3"/>
        <v>13472.401454600673</v>
      </c>
      <c r="AI27" s="19">
        <f t="shared" si="4"/>
        <v>-4373.3338321784813</v>
      </c>
      <c r="AJ27" s="19">
        <f t="shared" si="5"/>
        <v>-10039.426493427611</v>
      </c>
      <c r="AK27">
        <v>23</v>
      </c>
      <c r="AL27">
        <v>11.5</v>
      </c>
      <c r="AN27" s="48">
        <f t="shared" si="16"/>
        <v>-11250.644764132247</v>
      </c>
      <c r="AO27" s="48">
        <f t="shared" si="17"/>
        <v>-16536.860131991823</v>
      </c>
      <c r="AP27" s="20"/>
      <c r="AQ27" s="50">
        <f t="shared" si="18"/>
        <v>1584.6270594156435</v>
      </c>
      <c r="AR27" s="50">
        <f t="shared" si="19"/>
        <v>4510.8416630138136</v>
      </c>
      <c r="AS27" s="20"/>
      <c r="AT27" s="52">
        <f t="shared" si="22"/>
        <v>2123.2328115318446</v>
      </c>
      <c r="AU27" s="52">
        <f t="shared" si="23"/>
        <v>864.85220399511627</v>
      </c>
      <c r="AV27" s="20"/>
      <c r="AW27" s="20"/>
      <c r="AX27" s="20">
        <f t="shared" si="6"/>
        <v>243.16847967313583</v>
      </c>
      <c r="AY27" s="20">
        <f t="shared" si="7"/>
        <v>187.03635648250165</v>
      </c>
      <c r="AZ27" s="20"/>
      <c r="BA27" s="20">
        <f t="shared" si="8"/>
        <v>-65.742022733859258</v>
      </c>
      <c r="BB27" s="20">
        <f t="shared" si="9"/>
        <v>199.39604862890488</v>
      </c>
      <c r="BC27" s="20"/>
      <c r="BD27" s="20">
        <f t="shared" si="10"/>
        <v>1945.8063545925679</v>
      </c>
      <c r="BE27" s="20">
        <f t="shared" si="11"/>
        <v>478.41979888370975</v>
      </c>
      <c r="BF27" s="20"/>
      <c r="BG27" s="54">
        <f t="shared" si="12"/>
        <v>39425.543029601053</v>
      </c>
      <c r="BH27" s="54">
        <f t="shared" si="13"/>
        <v>27942.014292250005</v>
      </c>
      <c r="BI27" s="54">
        <f t="shared" si="14"/>
        <v>6436.8081401172585</v>
      </c>
      <c r="BJ27" s="20"/>
    </row>
    <row r="28" spans="1:62" ht="16.8" x14ac:dyDescent="0.35">
      <c r="A28" s="46"/>
      <c r="B28" s="33" t="s">
        <v>11</v>
      </c>
      <c r="C28" s="33"/>
      <c r="D28" s="33"/>
      <c r="E28" s="33"/>
      <c r="F28" s="33"/>
      <c r="G28" s="3" t="s">
        <v>23</v>
      </c>
      <c r="H28" s="27">
        <f>4/3*PI()*(H26)^3</f>
        <v>179594380030.21649</v>
      </c>
      <c r="I28" s="27"/>
      <c r="J28" s="7" t="s">
        <v>27</v>
      </c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C28" s="19">
        <v>24</v>
      </c>
      <c r="AD28" s="19">
        <f t="shared" si="15"/>
        <v>1.5079644737231013</v>
      </c>
      <c r="AE28" s="19">
        <f t="shared" si="0"/>
        <v>20313.952597646563</v>
      </c>
      <c r="AF28" s="19">
        <f t="shared" si="1"/>
        <v>12490.133642141358</v>
      </c>
      <c r="AG28" s="19">
        <f t="shared" si="2"/>
        <v>-19780.233181647403</v>
      </c>
      <c r="AH28" s="19">
        <f t="shared" si="3"/>
        <v>13493.09354949895</v>
      </c>
      <c r="AI28" s="19">
        <f t="shared" si="4"/>
        <v>-4686.0474023534352</v>
      </c>
      <c r="AJ28" s="19">
        <f t="shared" si="5"/>
        <v>-10009.866357858642</v>
      </c>
      <c r="AK28">
        <v>24</v>
      </c>
      <c r="AL28">
        <v>12</v>
      </c>
      <c r="AN28" s="48">
        <f t="shared" si="16"/>
        <v>-10192.927132982944</v>
      </c>
      <c r="AO28" s="48">
        <f t="shared" si="17"/>
        <v>-14173.332774985527</v>
      </c>
      <c r="AP28" s="20"/>
      <c r="AQ28" s="50">
        <f t="shared" si="18"/>
        <v>2646.2434651815656</v>
      </c>
      <c r="AR28" s="50">
        <f t="shared" si="19"/>
        <v>4943.2677650113719</v>
      </c>
      <c r="AS28" s="20"/>
      <c r="AT28" s="52">
        <f t="shared" si="22"/>
        <v>2073.1936642192368</v>
      </c>
      <c r="AU28" s="52">
        <f t="shared" si="23"/>
        <v>119.24291736553374</v>
      </c>
      <c r="AV28" s="20"/>
      <c r="AW28" s="20"/>
      <c r="AX28" s="20">
        <f t="shared" si="6"/>
        <v>277.28028291677634</v>
      </c>
      <c r="AY28" s="20">
        <f t="shared" si="7"/>
        <v>199.03959020364465</v>
      </c>
      <c r="AZ28" s="20"/>
      <c r="BA28" s="20">
        <f t="shared" si="8"/>
        <v>-89.385809070763131</v>
      </c>
      <c r="BB28" s="20">
        <f t="shared" si="9"/>
        <v>220.32597670359687</v>
      </c>
      <c r="BC28" s="20"/>
      <c r="BD28" s="20">
        <f t="shared" si="10"/>
        <v>1885.2991903732236</v>
      </c>
      <c r="BE28" s="20">
        <f t="shared" si="11"/>
        <v>-300.12264954170774</v>
      </c>
      <c r="BF28" s="20"/>
      <c r="BG28" s="54">
        <f t="shared" si="12"/>
        <v>37166.466100947495</v>
      </c>
      <c r="BH28" s="54">
        <f t="shared" si="13"/>
        <v>26086.944927859444</v>
      </c>
      <c r="BI28" s="54">
        <f t="shared" si="14"/>
        <v>5258.314455163707</v>
      </c>
      <c r="BJ28" s="20"/>
    </row>
    <row r="29" spans="1:62" ht="15.6" x14ac:dyDescent="0.35">
      <c r="A29" s="46"/>
      <c r="B29" s="33" t="s">
        <v>12</v>
      </c>
      <c r="C29" s="33"/>
      <c r="D29" s="33"/>
      <c r="E29" s="33"/>
      <c r="F29" s="33"/>
      <c r="G29" s="3" t="s">
        <v>24</v>
      </c>
      <c r="H29" s="27">
        <f>H27*H28</f>
        <v>179594380030.21649</v>
      </c>
      <c r="I29" s="27"/>
      <c r="J29" s="7" t="s">
        <v>28</v>
      </c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C29" s="19">
        <v>25</v>
      </c>
      <c r="AD29" s="19">
        <f t="shared" si="15"/>
        <v>1.5707963267948972</v>
      </c>
      <c r="AE29" s="19">
        <f t="shared" si="0"/>
        <v>19999.999999999996</v>
      </c>
      <c r="AF29" s="19">
        <f t="shared" si="1"/>
        <v>12500</v>
      </c>
      <c r="AG29" s="19">
        <f t="shared" si="2"/>
        <v>-20000.000000000004</v>
      </c>
      <c r="AH29" s="19">
        <f t="shared" si="3"/>
        <v>13500</v>
      </c>
      <c r="AI29" s="19">
        <f t="shared" si="4"/>
        <v>-5000.0000000000027</v>
      </c>
      <c r="AJ29" s="19">
        <f t="shared" si="5"/>
        <v>-10000</v>
      </c>
      <c r="AK29">
        <v>25</v>
      </c>
      <c r="AL29">
        <v>12.5</v>
      </c>
      <c r="AN29" s="48">
        <f t="shared" si="16"/>
        <v>-8610.6561923647569</v>
      </c>
      <c r="AO29" s="48">
        <f t="shared" si="17"/>
        <v>-11686.793527809148</v>
      </c>
      <c r="AP29" s="20"/>
      <c r="AQ29" s="50">
        <f t="shared" si="18"/>
        <v>3682.840297291184</v>
      </c>
      <c r="AR29" s="50">
        <f t="shared" si="19"/>
        <v>5002.8892236941392</v>
      </c>
      <c r="AS29" s="20"/>
      <c r="AT29" s="52">
        <f t="shared" si="22"/>
        <v>1569.7837907732332</v>
      </c>
      <c r="AU29" s="52">
        <f t="shared" si="23"/>
        <v>-802.93150514278454</v>
      </c>
      <c r="AV29" s="20"/>
      <c r="AW29" s="20"/>
      <c r="AX29" s="20">
        <f t="shared" si="6"/>
        <v>324.57056064158644</v>
      </c>
      <c r="AY29" s="20">
        <f t="shared" si="7"/>
        <v>217.6625481906033</v>
      </c>
      <c r="AZ29" s="20"/>
      <c r="BA29" s="20">
        <f t="shared" si="8"/>
        <v>-123.70581268623702</v>
      </c>
      <c r="BB29" s="20">
        <f t="shared" si="9"/>
        <v>235.55197412846198</v>
      </c>
      <c r="BC29" s="20"/>
      <c r="BD29" s="20">
        <f t="shared" si="10"/>
        <v>1368.9190428178838</v>
      </c>
      <c r="BE29" s="20">
        <f t="shared" si="11"/>
        <v>-1256.1460274618498</v>
      </c>
      <c r="BF29" s="20"/>
      <c r="BG29" s="54">
        <f t="shared" si="12"/>
        <v>34448.55140113266</v>
      </c>
      <c r="BH29" s="54">
        <f t="shared" si="13"/>
        <v>24495.594826138513</v>
      </c>
      <c r="BI29" s="54">
        <f t="shared" si="14"/>
        <v>4900.4260291151531</v>
      </c>
      <c r="BJ29" s="20"/>
    </row>
    <row r="30" spans="1:62" ht="15.6" x14ac:dyDescent="0.35">
      <c r="A30" s="46"/>
      <c r="B30" s="33" t="s">
        <v>13</v>
      </c>
      <c r="C30" s="33"/>
      <c r="D30" s="33"/>
      <c r="E30" s="33"/>
      <c r="F30" s="33"/>
      <c r="G30" s="3" t="s">
        <v>25</v>
      </c>
      <c r="H30" s="27">
        <f>H26*H5</f>
        <v>7000</v>
      </c>
      <c r="I30" s="27"/>
      <c r="J30" s="7" t="s">
        <v>19</v>
      </c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C30" s="19">
        <v>26</v>
      </c>
      <c r="AD30" s="19">
        <f t="shared" si="15"/>
        <v>1.6336281798666932</v>
      </c>
      <c r="AE30" s="19">
        <f t="shared" si="0"/>
        <v>19686.04740235343</v>
      </c>
      <c r="AF30" s="19">
        <f t="shared" si="1"/>
        <v>12490.133642141358</v>
      </c>
      <c r="AG30" s="19">
        <f t="shared" si="2"/>
        <v>-20219.7668183526</v>
      </c>
      <c r="AH30" s="19">
        <f t="shared" si="3"/>
        <v>13493.09354949895</v>
      </c>
      <c r="AI30" s="19">
        <f t="shared" si="4"/>
        <v>-5313.9525976465702</v>
      </c>
      <c r="AJ30" s="19">
        <f t="shared" si="5"/>
        <v>-10009.866357858642</v>
      </c>
      <c r="AK30">
        <v>26</v>
      </c>
      <c r="AL30">
        <v>13</v>
      </c>
      <c r="AN30" s="48">
        <f t="shared" si="16"/>
        <v>-6573.0130698725106</v>
      </c>
      <c r="AO30" s="48">
        <f t="shared" si="17"/>
        <v>-9285.7153541049265</v>
      </c>
      <c r="AP30" s="20"/>
      <c r="AQ30" s="50">
        <f t="shared" si="18"/>
        <v>4467.7321926778004</v>
      </c>
      <c r="AR30" s="50">
        <f t="shared" si="19"/>
        <v>4601.4234711227473</v>
      </c>
      <c r="AS30" s="20"/>
      <c r="AT30" s="52">
        <f t="shared" si="22"/>
        <v>748.52943409549277</v>
      </c>
      <c r="AU30" s="52">
        <f t="shared" si="23"/>
        <v>-1424.8896959374397</v>
      </c>
      <c r="AV30" s="20"/>
      <c r="AW30" s="20"/>
      <c r="AX30" s="20">
        <f t="shared" si="6"/>
        <v>387.76158564583562</v>
      </c>
      <c r="AY30" s="20">
        <f t="shared" si="7"/>
        <v>244.94232493668068</v>
      </c>
      <c r="AZ30" s="20"/>
      <c r="BA30" s="20">
        <f t="shared" si="8"/>
        <v>-163.57546044041359</v>
      </c>
      <c r="BB30" s="20">
        <f t="shared" si="9"/>
        <v>234.94993965414656</v>
      </c>
      <c r="BC30" s="20"/>
      <c r="BD30" s="20">
        <f t="shared" si="10"/>
        <v>524.34330889007072</v>
      </c>
      <c r="BE30" s="20">
        <f t="shared" si="11"/>
        <v>-1904.7819605282671</v>
      </c>
      <c r="BF30" s="20"/>
      <c r="BG30" s="54">
        <f t="shared" si="12"/>
        <v>31430.642111809444</v>
      </c>
      <c r="BH30" s="54">
        <f t="shared" si="13"/>
        <v>23499.421157581157</v>
      </c>
      <c r="BI30" s="54">
        <f t="shared" si="14"/>
        <v>5926.8388819253323</v>
      </c>
      <c r="BJ30" s="20"/>
    </row>
    <row r="31" spans="1:62" ht="15" thickBot="1" x14ac:dyDescent="0.35">
      <c r="A31" s="46"/>
      <c r="G31" s="9"/>
      <c r="H31" s="10"/>
      <c r="I31" s="10"/>
      <c r="J31" s="18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C31" s="19">
        <v>27</v>
      </c>
      <c r="AD31" s="19">
        <f t="shared" si="15"/>
        <v>1.6964600329384891</v>
      </c>
      <c r="AE31" s="19">
        <f t="shared" si="0"/>
        <v>19373.333832178476</v>
      </c>
      <c r="AF31" s="19">
        <f t="shared" si="1"/>
        <v>12460.573506572389</v>
      </c>
      <c r="AG31" s="19">
        <f t="shared" si="2"/>
        <v>-20438.666317475068</v>
      </c>
      <c r="AH31" s="19">
        <f t="shared" si="3"/>
        <v>13472.401454600673</v>
      </c>
      <c r="AI31" s="19">
        <f t="shared" si="4"/>
        <v>-5626.6661678215251</v>
      </c>
      <c r="AJ31" s="19">
        <f t="shared" si="5"/>
        <v>-10039.426493427611</v>
      </c>
      <c r="AK31">
        <v>27</v>
      </c>
      <c r="AL31">
        <v>13.5</v>
      </c>
      <c r="AN31" s="48">
        <f t="shared" si="16"/>
        <v>-4245.5807942716738</v>
      </c>
      <c r="AO31" s="48">
        <f t="shared" si="17"/>
        <v>-7163.1148305357328</v>
      </c>
      <c r="AP31" s="20"/>
      <c r="AQ31" s="50">
        <f t="shared" si="18"/>
        <v>4841.9969097255471</v>
      </c>
      <c r="AR31" s="50">
        <f t="shared" si="19"/>
        <v>3888.9786231540274</v>
      </c>
      <c r="AS31" s="20"/>
      <c r="AT31" s="52">
        <f t="shared" si="22"/>
        <v>79.810464152282407</v>
      </c>
      <c r="AU31" s="52">
        <f t="shared" si="23"/>
        <v>-1493.2089989348358</v>
      </c>
      <c r="AV31" s="20"/>
      <c r="AW31" s="20"/>
      <c r="AX31" s="20">
        <f t="shared" si="6"/>
        <v>467.95502276291393</v>
      </c>
      <c r="AY31" s="20">
        <f t="shared" si="7"/>
        <v>283.00737740709138</v>
      </c>
      <c r="AZ31" s="20"/>
      <c r="BA31" s="20">
        <f t="shared" si="8"/>
        <v>-196.54457476120621</v>
      </c>
      <c r="BB31" s="20">
        <f t="shared" si="9"/>
        <v>214.11878545918441</v>
      </c>
      <c r="BC31" s="20"/>
      <c r="BD31" s="20">
        <f t="shared" si="10"/>
        <v>-191.59998384942531</v>
      </c>
      <c r="BE31" s="20">
        <f t="shared" si="11"/>
        <v>-1990.3351618011116</v>
      </c>
      <c r="BF31" s="20"/>
      <c r="BG31" s="54">
        <f t="shared" si="12"/>
        <v>28334.698244114625</v>
      </c>
      <c r="BH31" s="54">
        <f t="shared" si="13"/>
        <v>23297.515644290856</v>
      </c>
      <c r="BI31" s="54">
        <f t="shared" si="14"/>
        <v>7873.1135834141714</v>
      </c>
      <c r="BJ31" s="20"/>
    </row>
    <row r="32" spans="1:62" ht="15" thickTop="1" x14ac:dyDescent="0.3">
      <c r="A32" s="46"/>
      <c r="B32" s="37" t="s">
        <v>49</v>
      </c>
      <c r="C32" s="37"/>
      <c r="D32" s="37"/>
      <c r="E32" s="37"/>
      <c r="F32" s="37"/>
      <c r="G32" s="14"/>
      <c r="H32" s="15"/>
      <c r="I32" s="14"/>
      <c r="J32" s="13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C32" s="19">
        <v>28</v>
      </c>
      <c r="AD32" s="19">
        <f t="shared" si="15"/>
        <v>1.7592918860102851</v>
      </c>
      <c r="AE32" s="19">
        <f t="shared" si="0"/>
        <v>19063.093427071373</v>
      </c>
      <c r="AF32" s="19">
        <f t="shared" si="1"/>
        <v>12411.436253643442</v>
      </c>
      <c r="AG32" s="19">
        <f t="shared" si="2"/>
        <v>-20655.834601050039</v>
      </c>
      <c r="AH32" s="19">
        <f t="shared" si="3"/>
        <v>13438.005377550409</v>
      </c>
      <c r="AI32" s="19">
        <f t="shared" si="4"/>
        <v>-5936.9065729286276</v>
      </c>
      <c r="AJ32" s="19">
        <f t="shared" si="5"/>
        <v>-10088.563746356558</v>
      </c>
      <c r="AK32">
        <v>28</v>
      </c>
      <c r="AL32">
        <v>14</v>
      </c>
      <c r="AN32" s="48">
        <f t="shared" si="16"/>
        <v>-1814.6060313898649</v>
      </c>
      <c r="AO32" s="48">
        <f t="shared" si="17"/>
        <v>-5405.276643825574</v>
      </c>
      <c r="AP32" s="20"/>
      <c r="AQ32" s="50">
        <f t="shared" si="18"/>
        <v>4881.9021418016882</v>
      </c>
      <c r="AR32" s="50">
        <f t="shared" si="19"/>
        <v>3142.3741236866094</v>
      </c>
      <c r="AS32" s="20"/>
      <c r="AT32" s="52">
        <f t="shared" si="22"/>
        <v>-228.50923531087881</v>
      </c>
      <c r="AU32" s="52">
        <f t="shared" si="23"/>
        <v>-1232.6540634206776</v>
      </c>
      <c r="AV32" s="20"/>
      <c r="AW32" s="20"/>
      <c r="AX32" s="20">
        <f t="shared" si="6"/>
        <v>564.63616719073752</v>
      </c>
      <c r="AY32" s="20">
        <f t="shared" si="7"/>
        <v>334.03243360070695</v>
      </c>
      <c r="AZ32" s="20"/>
      <c r="BA32" s="20">
        <f t="shared" si="8"/>
        <v>-213.08597829159862</v>
      </c>
      <c r="BB32" s="20">
        <f t="shared" si="9"/>
        <v>180.51016382534672</v>
      </c>
      <c r="BC32" s="20"/>
      <c r="BD32" s="20">
        <f t="shared" si="10"/>
        <v>-580.05942421001771</v>
      </c>
      <c r="BE32" s="20">
        <f t="shared" si="11"/>
        <v>-1747.1966608467312</v>
      </c>
      <c r="BF32" s="20"/>
      <c r="BG32" s="54">
        <f t="shared" si="12"/>
        <v>25346.068759443166</v>
      </c>
      <c r="BH32" s="54">
        <f t="shared" si="13"/>
        <v>23833.403077746989</v>
      </c>
      <c r="BI32" s="54">
        <f t="shared" si="14"/>
        <v>10109.671162643068</v>
      </c>
      <c r="BJ32" s="20"/>
    </row>
    <row r="33" spans="1:62" ht="15.6" x14ac:dyDescent="0.35">
      <c r="A33" s="46"/>
      <c r="B33" s="33" t="s">
        <v>9</v>
      </c>
      <c r="C33" s="33"/>
      <c r="D33" s="33"/>
      <c r="E33" s="33"/>
      <c r="F33" s="33"/>
      <c r="G33" s="3" t="s">
        <v>40</v>
      </c>
      <c r="H33" s="3">
        <v>-5000</v>
      </c>
      <c r="I33" s="3">
        <v>-15000</v>
      </c>
      <c r="J33" s="7" t="s">
        <v>19</v>
      </c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C33" s="19">
        <v>29</v>
      </c>
      <c r="AD33" s="19">
        <f t="shared" si="15"/>
        <v>1.822123739082081</v>
      </c>
      <c r="AE33" s="19">
        <f t="shared" si="0"/>
        <v>18756.550564175723</v>
      </c>
      <c r="AF33" s="19">
        <f t="shared" si="1"/>
        <v>12342.915805643155</v>
      </c>
      <c r="AG33" s="19">
        <f t="shared" si="2"/>
        <v>-20870.414605076996</v>
      </c>
      <c r="AH33" s="19">
        <f t="shared" si="3"/>
        <v>13390.041063950208</v>
      </c>
      <c r="AI33" s="19">
        <f t="shared" si="4"/>
        <v>-6243.4494358242782</v>
      </c>
      <c r="AJ33" s="19">
        <f t="shared" si="5"/>
        <v>-10157.084194356845</v>
      </c>
      <c r="AK33">
        <v>29</v>
      </c>
      <c r="AL33">
        <v>14.5</v>
      </c>
      <c r="AN33" s="48">
        <f t="shared" si="16"/>
        <v>597.78138509711937</v>
      </c>
      <c r="AO33" s="48">
        <f t="shared" si="17"/>
        <v>-3988.1713399098535</v>
      </c>
      <c r="AP33" s="20"/>
      <c r="AQ33" s="50">
        <f t="shared" si="18"/>
        <v>4767.6475241462485</v>
      </c>
      <c r="AR33" s="50">
        <f t="shared" si="19"/>
        <v>2526.0470919762706</v>
      </c>
      <c r="AS33" s="20"/>
      <c r="AT33" s="52">
        <f t="shared" si="22"/>
        <v>-266.97815697482838</v>
      </c>
      <c r="AU33" s="52">
        <f t="shared" si="23"/>
        <v>-890.20130821415648</v>
      </c>
      <c r="AV33" s="20"/>
      <c r="AW33" s="20"/>
      <c r="AX33" s="20">
        <f t="shared" si="6"/>
        <v>676.92465261180155</v>
      </c>
      <c r="AY33" s="20">
        <f t="shared" si="7"/>
        <v>400.81119318179884</v>
      </c>
      <c r="AZ33" s="20"/>
      <c r="BA33" s="20">
        <f t="shared" si="8"/>
        <v>-213.81335989715151</v>
      </c>
      <c r="BB33" s="20">
        <f t="shared" si="9"/>
        <v>145.20291564833809</v>
      </c>
      <c r="BC33" s="20"/>
      <c r="BD33" s="20">
        <f t="shared" si="10"/>
        <v>-730.08944968947844</v>
      </c>
      <c r="BE33" s="20">
        <f t="shared" si="11"/>
        <v>-1436.2154170442934</v>
      </c>
      <c r="BF33" s="20"/>
      <c r="BG33" s="54">
        <f t="shared" si="12"/>
        <v>22548.263079794197</v>
      </c>
      <c r="BH33" s="54">
        <f t="shared" si="13"/>
        <v>24898.544845491047</v>
      </c>
      <c r="BI33" s="54">
        <f t="shared" si="14"/>
        <v>12352.956199813978</v>
      </c>
      <c r="BJ33" s="20"/>
    </row>
    <row r="34" spans="1:62" ht="15.6" x14ac:dyDescent="0.35">
      <c r="A34" s="46"/>
      <c r="B34" s="33" t="s">
        <v>8</v>
      </c>
      <c r="C34" s="33"/>
      <c r="D34" s="33"/>
      <c r="E34" s="33"/>
      <c r="F34" s="33"/>
      <c r="G34" s="3" t="s">
        <v>43</v>
      </c>
      <c r="H34" s="27">
        <v>5000</v>
      </c>
      <c r="I34" s="27"/>
      <c r="J34" s="7" t="s">
        <v>19</v>
      </c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C34" s="19">
        <v>30</v>
      </c>
      <c r="AD34" s="19">
        <f t="shared" si="15"/>
        <v>1.884955592153877</v>
      </c>
      <c r="AE34" s="19">
        <f t="shared" si="0"/>
        <v>18454.915028125259</v>
      </c>
      <c r="AF34" s="19">
        <f t="shared" si="1"/>
        <v>12255.282581475767</v>
      </c>
      <c r="AG34" s="19">
        <f t="shared" si="2"/>
        <v>-21081.55948031232</v>
      </c>
      <c r="AH34" s="19">
        <f t="shared" si="3"/>
        <v>13328.697807033037</v>
      </c>
      <c r="AI34" s="19">
        <f t="shared" si="4"/>
        <v>-6545.0849718747422</v>
      </c>
      <c r="AJ34" s="19">
        <f t="shared" si="5"/>
        <v>-10244.717418524233</v>
      </c>
      <c r="AK34">
        <v>30</v>
      </c>
      <c r="AL34">
        <v>15</v>
      </c>
      <c r="AN34" s="48">
        <f t="shared" si="16"/>
        <v>2948.2328775483902</v>
      </c>
      <c r="AO34" s="48">
        <f t="shared" si="17"/>
        <v>-2836.422957448488</v>
      </c>
      <c r="AP34" s="20"/>
      <c r="AQ34" s="50">
        <f t="shared" si="18"/>
        <v>4634.1584456588344</v>
      </c>
      <c r="AR34" s="50">
        <f t="shared" si="19"/>
        <v>2080.9464378691923</v>
      </c>
      <c r="AS34" s="20"/>
      <c r="AT34" s="52">
        <f t="shared" si="22"/>
        <v>-158.56612339967489</v>
      </c>
      <c r="AU34" s="52">
        <f t="shared" si="23"/>
        <v>-558.51525269642536</v>
      </c>
      <c r="AV34" s="20"/>
      <c r="AW34" s="20"/>
      <c r="AX34" s="20">
        <f t="shared" si="6"/>
        <v>804.34375684142651</v>
      </c>
      <c r="AY34" s="20">
        <f t="shared" si="7"/>
        <v>487.57628544839872</v>
      </c>
      <c r="AZ34" s="20"/>
      <c r="BA34" s="20">
        <f t="shared" si="8"/>
        <v>-204.57221429083279</v>
      </c>
      <c r="BB34" s="20">
        <f t="shared" si="9"/>
        <v>114.43040002213262</v>
      </c>
      <c r="BC34" s="20"/>
      <c r="BD34" s="20">
        <f t="shared" si="10"/>
        <v>-758.33766595026862</v>
      </c>
      <c r="BE34" s="20">
        <f t="shared" si="11"/>
        <v>-1160.5219381669567</v>
      </c>
      <c r="BF34" s="20"/>
      <c r="BG34" s="54">
        <f t="shared" si="12"/>
        <v>19940.020099127025</v>
      </c>
      <c r="BH34" s="54">
        <f t="shared" si="13"/>
        <v>26294.393823488372</v>
      </c>
      <c r="BI34" s="54">
        <f t="shared" si="14"/>
        <v>14530.210333846764</v>
      </c>
      <c r="BJ34" s="20"/>
    </row>
    <row r="35" spans="1:62" ht="16.8" x14ac:dyDescent="0.35">
      <c r="A35" s="46"/>
      <c r="B35" s="33" t="s">
        <v>10</v>
      </c>
      <c r="C35" s="33"/>
      <c r="D35" s="33"/>
      <c r="E35" s="33"/>
      <c r="F35" s="33"/>
      <c r="G35" s="3" t="s">
        <v>41</v>
      </c>
      <c r="H35" s="27">
        <v>1</v>
      </c>
      <c r="I35" s="27"/>
      <c r="J35" s="7" t="s">
        <v>26</v>
      </c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C35" s="19">
        <v>31</v>
      </c>
      <c r="AD35" s="19">
        <f t="shared" si="15"/>
        <v>1.9477874452256729</v>
      </c>
      <c r="AE35" s="19">
        <f t="shared" si="0"/>
        <v>18159.377236576605</v>
      </c>
      <c r="AF35" s="19">
        <f t="shared" si="1"/>
        <v>12148.882429441255</v>
      </c>
      <c r="AG35" s="19">
        <f t="shared" si="2"/>
        <v>-21288.435934396377</v>
      </c>
      <c r="AH35" s="19">
        <f t="shared" si="3"/>
        <v>13254.217700608879</v>
      </c>
      <c r="AI35" s="19">
        <f t="shared" si="4"/>
        <v>-6840.6227634233946</v>
      </c>
      <c r="AJ35" s="19">
        <f t="shared" si="5"/>
        <v>-10351.117570558745</v>
      </c>
      <c r="AK35">
        <v>31</v>
      </c>
      <c r="AL35">
        <v>15.5</v>
      </c>
      <c r="AN35" s="48">
        <f t="shared" si="16"/>
        <v>5245.4913349528479</v>
      </c>
      <c r="AO35" s="48">
        <f t="shared" si="17"/>
        <v>-1865.7641451009449</v>
      </c>
      <c r="AP35" s="20"/>
      <c r="AQ35" s="50">
        <f t="shared" si="18"/>
        <v>4554.8753839589972</v>
      </c>
      <c r="AR35" s="50">
        <f t="shared" si="19"/>
        <v>1801.6888115209797</v>
      </c>
      <c r="AS35" s="20"/>
      <c r="AT35" s="52">
        <f t="shared" si="22"/>
        <v>24.342955029085147</v>
      </c>
      <c r="AU35" s="52">
        <f t="shared" si="23"/>
        <v>-247.36824862864501</v>
      </c>
      <c r="AV35" s="20"/>
      <c r="AW35" s="20"/>
      <c r="AX35" s="20">
        <f t="shared" si="6"/>
        <v>946.40443165068643</v>
      </c>
      <c r="AY35" s="20">
        <f t="shared" si="7"/>
        <v>600.75200699272546</v>
      </c>
      <c r="AZ35" s="20"/>
      <c r="BA35" s="20">
        <f t="shared" si="8"/>
        <v>-190.59652225736752</v>
      </c>
      <c r="BB35" s="20">
        <f t="shared" si="9"/>
        <v>89.583258649088577</v>
      </c>
      <c r="BC35" s="20"/>
      <c r="BD35" s="20">
        <f t="shared" si="10"/>
        <v>-731.46495436423379</v>
      </c>
      <c r="BE35" s="20">
        <f t="shared" si="11"/>
        <v>-937.70351427045898</v>
      </c>
      <c r="BF35" s="20"/>
      <c r="BG35" s="54">
        <f t="shared" si="12"/>
        <v>17476.07118229409</v>
      </c>
      <c r="BH35" s="54">
        <f t="shared" si="13"/>
        <v>27895.002984232542</v>
      </c>
      <c r="BI35" s="54">
        <f t="shared" si="14"/>
        <v>16657.678235177609</v>
      </c>
      <c r="BJ35" s="20"/>
    </row>
    <row r="36" spans="1:62" ht="16.8" x14ac:dyDescent="0.35">
      <c r="A36" s="46"/>
      <c r="B36" s="33" t="s">
        <v>11</v>
      </c>
      <c r="C36" s="33"/>
      <c r="D36" s="33"/>
      <c r="E36" s="33"/>
      <c r="F36" s="33"/>
      <c r="G36" s="3" t="s">
        <v>42</v>
      </c>
      <c r="H36" s="27">
        <f>4/3*PI()*(H34)^3</f>
        <v>523598775598.29883</v>
      </c>
      <c r="I36" s="27"/>
      <c r="J36" s="7" t="s">
        <v>27</v>
      </c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C36" s="19">
        <v>32</v>
      </c>
      <c r="AD36" s="19">
        <f t="shared" si="15"/>
        <v>2.0106192982974687</v>
      </c>
      <c r="AE36" s="19">
        <f t="shared" ref="AE36:AE67" si="24">COS(AD36)*r_1+q_1x</f>
        <v>17871.103542174631</v>
      </c>
      <c r="AF36" s="19">
        <f t="shared" ref="AF36:AF67" si="25">SIN(AD36)*r_1+q_1y</f>
        <v>12024.135262330095</v>
      </c>
      <c r="AG36" s="19">
        <f t="shared" ref="AG36:AG67" si="26">COS(AD36)*r_2+q_2x</f>
        <v>-21490.227520477758</v>
      </c>
      <c r="AH36" s="19">
        <f t="shared" ref="AH36:AH67" si="27">SIN(AD36)*r_2+q_2y</f>
        <v>13166.894683631068</v>
      </c>
      <c r="AI36" s="19">
        <f t="shared" ref="AI36:AI67" si="28">COS(AD36)*r_3+q_3x</f>
        <v>-7128.8964578253672</v>
      </c>
      <c r="AJ36" s="19">
        <f t="shared" ref="AJ36:AJ67" si="29">SIN(AD36)*r_3+q_3y</f>
        <v>-10475.864737669905</v>
      </c>
      <c r="AK36">
        <v>32</v>
      </c>
      <c r="AL36">
        <v>16</v>
      </c>
      <c r="AN36" s="48">
        <f t="shared" si="16"/>
        <v>7525.9718963109817</v>
      </c>
      <c r="AO36" s="48">
        <f t="shared" si="17"/>
        <v>-995.84077041903572</v>
      </c>
      <c r="AP36" s="20"/>
      <c r="AQ36" s="50">
        <f t="shared" si="18"/>
        <v>4567.04686147354</v>
      </c>
      <c r="AR36" s="50">
        <f t="shared" si="19"/>
        <v>1678.0046872066573</v>
      </c>
      <c r="AS36" s="20"/>
      <c r="AT36" s="52">
        <f t="shared" si="22"/>
        <v>245.41226128463825</v>
      </c>
      <c r="AU36" s="52">
        <f t="shared" si="23"/>
        <v>59.027905486397231</v>
      </c>
      <c r="AV36" s="20"/>
      <c r="AW36" s="20"/>
      <c r="AX36" s="20">
        <f t="shared" si="6"/>
        <v>1100.6020001216418</v>
      </c>
      <c r="AY36" s="20">
        <f t="shared" si="7"/>
        <v>749.60063156125875</v>
      </c>
      <c r="AZ36" s="20"/>
      <c r="BA36" s="20">
        <f t="shared" si="8"/>
        <v>-174.98586661727859</v>
      </c>
      <c r="BB36" s="20">
        <f t="shared" si="9"/>
        <v>69.901863361825505</v>
      </c>
      <c r="BC36" s="20"/>
      <c r="BD36" s="20">
        <f t="shared" si="10"/>
        <v>-680.20387221972499</v>
      </c>
      <c r="BE36" s="20">
        <f t="shared" si="11"/>
        <v>-760.47458943668698</v>
      </c>
      <c r="BF36" s="20"/>
      <c r="BG36" s="54">
        <f t="shared" si="12"/>
        <v>15092.404961699702</v>
      </c>
      <c r="BH36" s="54">
        <f t="shared" si="13"/>
        <v>29640.979118188916</v>
      </c>
      <c r="BI36" s="54">
        <f t="shared" si="14"/>
        <v>18788.731933651889</v>
      </c>
      <c r="BJ36" s="20"/>
    </row>
    <row r="37" spans="1:62" ht="15.6" x14ac:dyDescent="0.35">
      <c r="A37" s="46"/>
      <c r="B37" s="33" t="s">
        <v>12</v>
      </c>
      <c r="C37" s="33"/>
      <c r="D37" s="33"/>
      <c r="E37" s="33"/>
      <c r="F37" s="33"/>
      <c r="G37" s="3" t="s">
        <v>44</v>
      </c>
      <c r="H37" s="27">
        <f>H35*H36</f>
        <v>523598775598.29883</v>
      </c>
      <c r="I37" s="27"/>
      <c r="J37" s="7" t="s">
        <v>28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C37" s="19">
        <v>33</v>
      </c>
      <c r="AD37" s="19">
        <f t="shared" ref="AD37:AD68" si="30">AD36+$AC$1</f>
        <v>2.0734511513692646</v>
      </c>
      <c r="AE37" s="19">
        <f t="shared" si="24"/>
        <v>17591.23162949142</v>
      </c>
      <c r="AF37" s="19">
        <f t="shared" si="25"/>
        <v>11881.533400219316</v>
      </c>
      <c r="AG37" s="19">
        <f t="shared" si="26"/>
        <v>-21686.137859356008</v>
      </c>
      <c r="AH37" s="19">
        <f t="shared" si="27"/>
        <v>13067.073380153521</v>
      </c>
      <c r="AI37" s="19">
        <f t="shared" si="28"/>
        <v>-7408.768370508581</v>
      </c>
      <c r="AJ37" s="19">
        <f t="shared" si="29"/>
        <v>-10618.466599780684</v>
      </c>
      <c r="AK37">
        <v>33</v>
      </c>
      <c r="AL37">
        <v>16.5</v>
      </c>
      <c r="AN37" s="48">
        <f t="shared" si="16"/>
        <v>9840.1718597083327</v>
      </c>
      <c r="AO37" s="48">
        <f t="shared" si="17"/>
        <v>-149.45993862990741</v>
      </c>
      <c r="AP37" s="20"/>
      <c r="AQ37" s="50">
        <f t="shared" si="18"/>
        <v>4689.7529921158593</v>
      </c>
      <c r="AR37" s="50">
        <f t="shared" si="19"/>
        <v>1707.5186399498559</v>
      </c>
      <c r="AS37" s="20"/>
      <c r="AT37" s="52">
        <f t="shared" si="22"/>
        <v>479.15964287297891</v>
      </c>
      <c r="AU37" s="52">
        <f t="shared" si="23"/>
        <v>381.69743479746739</v>
      </c>
      <c r="AV37" s="20"/>
      <c r="AW37" s="20"/>
      <c r="AX37" s="20">
        <f t="shared" si="6"/>
        <v>1256.2871954979166</v>
      </c>
      <c r="AY37" s="20">
        <f t="shared" si="7"/>
        <v>945.87412706955024</v>
      </c>
      <c r="AZ37" s="20"/>
      <c r="BA37" s="20">
        <f t="shared" si="8"/>
        <v>-159.22558040428984</v>
      </c>
      <c r="BB37" s="20">
        <f t="shared" si="9"/>
        <v>54.156981974373615</v>
      </c>
      <c r="BC37" s="20"/>
      <c r="BD37" s="20">
        <f t="shared" si="10"/>
        <v>-617.90197222064796</v>
      </c>
      <c r="BE37" s="20">
        <f t="shared" si="11"/>
        <v>-618.33367424645644</v>
      </c>
      <c r="BF37" s="20"/>
      <c r="BG37" s="54">
        <f t="shared" si="12"/>
        <v>12717.560504788893</v>
      </c>
      <c r="BH37" s="54">
        <f t="shared" si="13"/>
        <v>31519.000518144327</v>
      </c>
      <c r="BI37" s="54">
        <f t="shared" si="14"/>
        <v>20994.505017743028</v>
      </c>
      <c r="BJ37" s="20"/>
    </row>
    <row r="38" spans="1:62" ht="15.6" x14ac:dyDescent="0.35">
      <c r="A38" s="46"/>
      <c r="B38" s="33" t="s">
        <v>13</v>
      </c>
      <c r="C38" s="33"/>
      <c r="D38" s="33"/>
      <c r="E38" s="33"/>
      <c r="F38" s="33"/>
      <c r="G38" s="3" t="s">
        <v>45</v>
      </c>
      <c r="H38" s="27">
        <f>H34*H5</f>
        <v>10000</v>
      </c>
      <c r="I38" s="27"/>
      <c r="J38" s="7" t="s">
        <v>19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C38" s="19">
        <v>34</v>
      </c>
      <c r="AD38" s="19">
        <f t="shared" si="30"/>
        <v>2.1362830044410606</v>
      </c>
      <c r="AE38" s="19">
        <f t="shared" si="24"/>
        <v>17320.866025105013</v>
      </c>
      <c r="AF38" s="19">
        <f t="shared" si="25"/>
        <v>11721.639627510072</v>
      </c>
      <c r="AG38" s="19">
        <f t="shared" si="26"/>
        <v>-21875.39378242649</v>
      </c>
      <c r="AH38" s="19">
        <f t="shared" si="27"/>
        <v>12955.14773925705</v>
      </c>
      <c r="AI38" s="19">
        <f t="shared" si="28"/>
        <v>-7679.1339748949877</v>
      </c>
      <c r="AJ38" s="19">
        <f t="shared" si="29"/>
        <v>-10778.360372489928</v>
      </c>
      <c r="AK38">
        <v>34</v>
      </c>
      <c r="AL38">
        <v>17</v>
      </c>
      <c r="AN38" s="48">
        <f t="shared" si="16"/>
        <v>12244.943311125386</v>
      </c>
      <c r="AO38" s="48">
        <f t="shared" si="17"/>
        <v>752.01156069470392</v>
      </c>
      <c r="AP38" s="20"/>
      <c r="AQ38" s="50">
        <f t="shared" si="18"/>
        <v>4929.3328135523489</v>
      </c>
      <c r="AR38" s="50">
        <f t="shared" si="19"/>
        <v>1898.3673573485896</v>
      </c>
      <c r="AS38" s="20"/>
      <c r="AT38" s="52">
        <f t="shared" si="22"/>
        <v>682.12685643872692</v>
      </c>
      <c r="AU38" s="52">
        <f t="shared" si="23"/>
        <v>736.21606923396212</v>
      </c>
      <c r="AV38" s="20"/>
      <c r="AW38" s="20"/>
      <c r="AX38" s="20">
        <f t="shared" si="6"/>
        <v>1376.5987598174665</v>
      </c>
      <c r="AY38" s="20">
        <f t="shared" si="7"/>
        <v>1197.8342505396049</v>
      </c>
      <c r="AZ38" s="20"/>
      <c r="BA38" s="20">
        <f t="shared" si="8"/>
        <v>-143.91532361151002</v>
      </c>
      <c r="BB38" s="20">
        <f t="shared" si="9"/>
        <v>41.275533845919924</v>
      </c>
      <c r="BC38" s="20"/>
      <c r="BD38" s="20">
        <f t="shared" si="10"/>
        <v>-550.55657976722955</v>
      </c>
      <c r="BE38" s="20">
        <f t="shared" si="11"/>
        <v>-502.89371515156262</v>
      </c>
      <c r="BF38" s="20"/>
      <c r="BG38" s="54">
        <f t="shared" si="12"/>
        <v>10279.89553568794</v>
      </c>
      <c r="BH38" s="54">
        <f t="shared" si="13"/>
        <v>33544.92002242984</v>
      </c>
      <c r="BI38" s="54">
        <f t="shared" si="14"/>
        <v>23356.239808928745</v>
      </c>
      <c r="BJ38" s="20"/>
    </row>
    <row r="39" spans="1:62" x14ac:dyDescent="0.3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C39" s="19">
        <v>35</v>
      </c>
      <c r="AD39" s="19">
        <f t="shared" si="30"/>
        <v>2.1991148575128565</v>
      </c>
      <c r="AE39" s="19">
        <f t="shared" si="24"/>
        <v>17061.073738537631</v>
      </c>
      <c r="AF39" s="19">
        <f t="shared" si="25"/>
        <v>11545.084971874734</v>
      </c>
      <c r="AG39" s="19">
        <f t="shared" si="26"/>
        <v>-22057.24838302366</v>
      </c>
      <c r="AH39" s="19">
        <f t="shared" si="27"/>
        <v>12831.559480312313</v>
      </c>
      <c r="AI39" s="19">
        <f t="shared" si="28"/>
        <v>-7938.9262614623713</v>
      </c>
      <c r="AJ39" s="19">
        <f t="shared" si="29"/>
        <v>-10954.915028125266</v>
      </c>
      <c r="AK39">
        <v>35</v>
      </c>
      <c r="AL39">
        <v>17.5</v>
      </c>
      <c r="AN39" s="48">
        <f t="shared" si="16"/>
        <v>14794.875574956401</v>
      </c>
      <c r="AO39" s="48">
        <f t="shared" si="17"/>
        <v>1793.222248023244</v>
      </c>
      <c r="AP39" s="20"/>
      <c r="AQ39" s="50">
        <f t="shared" si="18"/>
        <v>5270.3962417717121</v>
      </c>
      <c r="AR39" s="50">
        <f t="shared" si="19"/>
        <v>2266.4753919655705</v>
      </c>
      <c r="AS39" s="20"/>
      <c r="AT39" s="52">
        <f t="shared" si="22"/>
        <v>740.19706682645642</v>
      </c>
      <c r="AU39" s="52">
        <f t="shared" si="23"/>
        <v>1103.1591436843355</v>
      </c>
      <c r="AV39" s="20"/>
      <c r="AW39" s="20"/>
      <c r="AX39" s="20">
        <f t="shared" si="6"/>
        <v>1350.930383187035</v>
      </c>
      <c r="AY39" s="20">
        <f t="shared" si="7"/>
        <v>1481.1287542231285</v>
      </c>
      <c r="AZ39" s="20"/>
      <c r="BA39" s="20">
        <f t="shared" si="8"/>
        <v>-129.26610902667738</v>
      </c>
      <c r="BB39" s="20">
        <f t="shared" si="9"/>
        <v>30.488921432105652</v>
      </c>
      <c r="BC39" s="20"/>
      <c r="BD39" s="20">
        <f t="shared" si="10"/>
        <v>-481.46720733390106</v>
      </c>
      <c r="BE39" s="20">
        <f t="shared" si="11"/>
        <v>-408.45853197089855</v>
      </c>
      <c r="BF39" s="20"/>
      <c r="BG39" s="54">
        <f t="shared" si="12"/>
        <v>7724.0295565619335</v>
      </c>
      <c r="BH39" s="54">
        <f t="shared" si="13"/>
        <v>35749.609331390435</v>
      </c>
      <c r="BI39" s="54">
        <f t="shared" si="14"/>
        <v>25958.609602586737</v>
      </c>
      <c r="BJ39" s="20"/>
    </row>
    <row r="40" spans="1:62" x14ac:dyDescent="0.3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C40" s="19">
        <v>36</v>
      </c>
      <c r="AD40" s="19">
        <f t="shared" si="30"/>
        <v>2.2619467105846525</v>
      </c>
      <c r="AE40" s="19">
        <f t="shared" si="24"/>
        <v>16812.880051256547</v>
      </c>
      <c r="AF40" s="19">
        <f t="shared" si="25"/>
        <v>11352.566213878941</v>
      </c>
      <c r="AG40" s="19">
        <f t="shared" si="26"/>
        <v>-22230.983964120416</v>
      </c>
      <c r="AH40" s="19">
        <f t="shared" si="27"/>
        <v>12696.79634971526</v>
      </c>
      <c r="AI40" s="19">
        <f t="shared" si="28"/>
        <v>-8187.1199487434533</v>
      </c>
      <c r="AJ40" s="19">
        <f t="shared" si="29"/>
        <v>-11147.433786121059</v>
      </c>
      <c r="AK40">
        <v>36</v>
      </c>
      <c r="AL40">
        <v>18</v>
      </c>
      <c r="AN40" s="48">
        <f t="shared" si="16"/>
        <v>17522.598329195564</v>
      </c>
      <c r="AO40" s="48">
        <f t="shared" si="17"/>
        <v>3064.3548369665714</v>
      </c>
      <c r="AP40" s="20"/>
      <c r="AQ40" s="50">
        <f t="shared" si="18"/>
        <v>5640.4947751849404</v>
      </c>
      <c r="AR40" s="50">
        <f t="shared" si="19"/>
        <v>2818.0549638077382</v>
      </c>
      <c r="AS40" s="20"/>
      <c r="AT40" s="52">
        <f t="shared" si="22"/>
        <v>390.37174960738781</v>
      </c>
      <c r="AU40" s="52">
        <f t="shared" si="23"/>
        <v>1335.5262674229382</v>
      </c>
      <c r="AV40" s="20"/>
      <c r="AW40" s="20"/>
      <c r="AX40" s="20">
        <f t="shared" si="6"/>
        <v>919.19897357016714</v>
      </c>
      <c r="AY40" s="20">
        <f t="shared" si="7"/>
        <v>1645.772879315886</v>
      </c>
      <c r="AZ40" s="20"/>
      <c r="BA40" s="20">
        <f t="shared" si="8"/>
        <v>-115.41436812639621</v>
      </c>
      <c r="BB40" s="20">
        <f t="shared" si="9"/>
        <v>21.333093647130717</v>
      </c>
      <c r="BC40" s="20"/>
      <c r="BD40" s="20">
        <f t="shared" si="10"/>
        <v>-413.41285583638313</v>
      </c>
      <c r="BE40" s="20">
        <f t="shared" si="11"/>
        <v>-331.57970554007858</v>
      </c>
      <c r="BF40" s="20"/>
      <c r="BG40" s="54">
        <f t="shared" si="12"/>
        <v>5080.5971155806546</v>
      </c>
      <c r="BH40" s="54">
        <f t="shared" si="13"/>
        <v>38158.204349807376</v>
      </c>
      <c r="BI40" s="54">
        <f t="shared" si="14"/>
        <v>28871.930160176689</v>
      </c>
      <c r="BJ40" s="20"/>
    </row>
    <row r="41" spans="1:62" x14ac:dyDescent="0.3">
      <c r="A41" s="46"/>
      <c r="B41" s="60"/>
      <c r="C41" s="60"/>
      <c r="D41" s="60"/>
      <c r="E41" s="60"/>
      <c r="F41" s="60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C41" s="19">
        <v>37</v>
      </c>
      <c r="AD41" s="19">
        <f t="shared" si="30"/>
        <v>2.3247785636564484</v>
      </c>
      <c r="AE41" s="19">
        <f t="shared" si="24"/>
        <v>16577.264470356553</v>
      </c>
      <c r="AF41" s="19">
        <f t="shared" si="25"/>
        <v>11144.843137107053</v>
      </c>
      <c r="AG41" s="19">
        <f t="shared" si="26"/>
        <v>-22395.914870750414</v>
      </c>
      <c r="AH41" s="19">
        <f t="shared" si="27"/>
        <v>12551.390195974936</v>
      </c>
      <c r="AI41" s="19">
        <f t="shared" si="28"/>
        <v>-8422.7355296434489</v>
      </c>
      <c r="AJ41" s="19">
        <f t="shared" si="29"/>
        <v>-11355.156862892947</v>
      </c>
      <c r="AK41">
        <v>37</v>
      </c>
      <c r="AL41">
        <v>18.5</v>
      </c>
      <c r="AN41" s="48">
        <f t="shared" si="16"/>
        <v>20391.642185488956</v>
      </c>
      <c r="AO41" s="48">
        <f t="shared" si="17"/>
        <v>4640.3231022983082</v>
      </c>
      <c r="AP41" s="20"/>
      <c r="AQ41" s="50">
        <f t="shared" si="18"/>
        <v>5835.6806499886343</v>
      </c>
      <c r="AR41" s="50">
        <f t="shared" si="19"/>
        <v>3485.8180975192072</v>
      </c>
      <c r="AS41" s="20"/>
      <c r="AT41" s="52">
        <f t="shared" si="22"/>
        <v>-634.30741702950922</v>
      </c>
      <c r="AU41" s="52">
        <f t="shared" si="23"/>
        <v>1071.0297485877834</v>
      </c>
      <c r="AV41" s="20"/>
      <c r="AW41" s="20"/>
      <c r="AX41" s="20">
        <f t="shared" si="6"/>
        <v>-181.86877616465694</v>
      </c>
      <c r="AY41" s="20">
        <f t="shared" si="7"/>
        <v>1327.9619940891575</v>
      </c>
      <c r="AZ41" s="20"/>
      <c r="BA41" s="20">
        <f t="shared" si="8"/>
        <v>-102.65752136464454</v>
      </c>
      <c r="BB41" s="20">
        <f t="shared" si="9"/>
        <v>13.621905816720451</v>
      </c>
      <c r="BC41" s="20"/>
      <c r="BD41" s="20">
        <f t="shared" si="10"/>
        <v>-349.78111950020781</v>
      </c>
      <c r="BE41" s="20">
        <f t="shared" si="11"/>
        <v>-270.55415131809474</v>
      </c>
      <c r="BF41" s="20"/>
      <c r="BG41" s="54">
        <f t="shared" si="12"/>
        <v>2886.370655460476</v>
      </c>
      <c r="BH41" s="54">
        <f t="shared" si="13"/>
        <v>40745.685598457268</v>
      </c>
      <c r="BI41" s="54">
        <f t="shared" si="14"/>
        <v>32101.055815012922</v>
      </c>
      <c r="BJ41" s="20"/>
    </row>
    <row r="42" spans="1:62" x14ac:dyDescent="0.3">
      <c r="A42" s="46"/>
      <c r="B42" s="60"/>
      <c r="C42" s="60"/>
      <c r="D42" s="60"/>
      <c r="E42" s="60"/>
      <c r="F42" s="60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C42" s="19">
        <v>38</v>
      </c>
      <c r="AD42" s="19">
        <f t="shared" si="30"/>
        <v>2.3876104167282444</v>
      </c>
      <c r="AE42" s="19">
        <f t="shared" si="24"/>
        <v>16355.156862892938</v>
      </c>
      <c r="AF42" s="19">
        <f t="shared" si="25"/>
        <v>10922.735529643438</v>
      </c>
      <c r="AG42" s="19">
        <f t="shared" si="26"/>
        <v>-22551.390195974942</v>
      </c>
      <c r="AH42" s="19">
        <f t="shared" si="27"/>
        <v>12395.914870750406</v>
      </c>
      <c r="AI42" s="19">
        <f t="shared" si="28"/>
        <v>-8644.8431371070619</v>
      </c>
      <c r="AJ42" s="19">
        <f t="shared" si="29"/>
        <v>-11577.264470356562</v>
      </c>
      <c r="AK42">
        <v>38</v>
      </c>
      <c r="AL42">
        <v>19</v>
      </c>
      <c r="AN42" s="48">
        <f t="shared" si="16"/>
        <v>23230.194083354585</v>
      </c>
      <c r="AO42" s="48">
        <f t="shared" si="17"/>
        <v>6517.110869631384</v>
      </c>
      <c r="AP42" s="20"/>
      <c r="AQ42" s="50">
        <f t="shared" si="18"/>
        <v>5518.5269414738796</v>
      </c>
      <c r="AR42" s="50">
        <f t="shared" si="19"/>
        <v>4021.332971813099</v>
      </c>
      <c r="AS42" s="20"/>
      <c r="AT42" s="52">
        <f t="shared" si="22"/>
        <v>-1824.769673795543</v>
      </c>
      <c r="AU42" s="52">
        <f t="shared" si="23"/>
        <v>220.4241776798219</v>
      </c>
      <c r="AV42" s="20"/>
      <c r="AW42" s="20"/>
      <c r="AX42" s="20">
        <f t="shared" si="6"/>
        <v>-1438.4611549708354</v>
      </c>
      <c r="AY42" s="20">
        <f t="shared" si="7"/>
        <v>437.69748726987507</v>
      </c>
      <c r="AZ42" s="20"/>
      <c r="BA42" s="20">
        <f t="shared" si="8"/>
        <v>-91.569458996502973</v>
      </c>
      <c r="BB42" s="20">
        <f t="shared" si="9"/>
        <v>7.377396289216632</v>
      </c>
      <c r="BC42" s="20"/>
      <c r="BD42" s="20">
        <f t="shared" si="10"/>
        <v>-294.73905982820452</v>
      </c>
      <c r="BE42" s="20">
        <f t="shared" si="11"/>
        <v>-224.65070587926979</v>
      </c>
      <c r="BF42" s="20"/>
      <c r="BG42" s="54">
        <f t="shared" si="12"/>
        <v>3376.4219017675714</v>
      </c>
      <c r="BH42" s="54">
        <f t="shared" si="13"/>
        <v>43370.268585506194</v>
      </c>
      <c r="BI42" s="54">
        <f t="shared" si="14"/>
        <v>35495.491518781331</v>
      </c>
      <c r="BJ42" s="20"/>
    </row>
    <row r="43" spans="1:62" x14ac:dyDescent="0.3">
      <c r="A43" s="46"/>
      <c r="B43" s="60"/>
      <c r="C43" s="60"/>
      <c r="D43" s="60"/>
      <c r="E43" s="60"/>
      <c r="F43" s="60"/>
      <c r="G43" s="46"/>
      <c r="H43" s="60"/>
      <c r="I43" s="60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C43" s="19">
        <v>39</v>
      </c>
      <c r="AD43" s="19">
        <f t="shared" si="30"/>
        <v>2.4504422698000403</v>
      </c>
      <c r="AE43" s="19">
        <f t="shared" si="24"/>
        <v>16147.433786121048</v>
      </c>
      <c r="AF43" s="19">
        <f t="shared" si="25"/>
        <v>10687.119948743442</v>
      </c>
      <c r="AG43" s="19">
        <f t="shared" si="26"/>
        <v>-22696.796349715267</v>
      </c>
      <c r="AH43" s="19">
        <f t="shared" si="27"/>
        <v>12230.983964120409</v>
      </c>
      <c r="AI43" s="19">
        <f t="shared" si="28"/>
        <v>-8852.5662138789521</v>
      </c>
      <c r="AJ43" s="19">
        <f t="shared" si="29"/>
        <v>-11812.880051256558</v>
      </c>
      <c r="AK43">
        <v>39</v>
      </c>
      <c r="AL43">
        <v>19.5</v>
      </c>
      <c r="AN43" s="48">
        <f t="shared" si="16"/>
        <v>25761.36134486708</v>
      </c>
      <c r="AO43" s="48">
        <f t="shared" si="17"/>
        <v>8555.3303777479105</v>
      </c>
      <c r="AP43" s="20"/>
      <c r="AQ43" s="50">
        <f t="shared" si="18"/>
        <v>4606.1421045761081</v>
      </c>
      <c r="AR43" s="50">
        <f t="shared" si="19"/>
        <v>4131.5450606530103</v>
      </c>
      <c r="AS43" s="20"/>
      <c r="AT43" s="52">
        <f t="shared" si="22"/>
        <v>-2272.2176742244569</v>
      </c>
      <c r="AU43" s="52">
        <f t="shared" si="23"/>
        <v>-544.90775074931901</v>
      </c>
      <c r="AV43" s="20"/>
      <c r="AW43" s="20"/>
      <c r="AX43" s="20">
        <f t="shared" si="6"/>
        <v>-1938.0979909964697</v>
      </c>
      <c r="AY43" s="20">
        <f t="shared" si="7"/>
        <v>-355.0087492382338</v>
      </c>
      <c r="AZ43" s="20"/>
      <c r="BA43" s="20">
        <f t="shared" si="8"/>
        <v>-82.716710765593078</v>
      </c>
      <c r="BB43" s="20">
        <f t="shared" si="9"/>
        <v>2.611336633871109</v>
      </c>
      <c r="BC43" s="20"/>
      <c r="BD43" s="20">
        <f t="shared" si="10"/>
        <v>-251.40297246239408</v>
      </c>
      <c r="BE43" s="20">
        <f t="shared" si="11"/>
        <v>-192.51033814495636</v>
      </c>
      <c r="BF43" s="20"/>
      <c r="BG43" s="54">
        <f t="shared" si="12"/>
        <v>5857.2183459664675</v>
      </c>
      <c r="BH43" s="54">
        <f t="shared" si="13"/>
        <v>45784.159514541192</v>
      </c>
      <c r="BI43" s="54">
        <f t="shared" si="14"/>
        <v>38744.224614700142</v>
      </c>
      <c r="BJ43" s="20"/>
    </row>
    <row r="44" spans="1:62" x14ac:dyDescent="0.3">
      <c r="A44" s="46"/>
      <c r="B44" s="60"/>
      <c r="C44" s="60"/>
      <c r="D44" s="60"/>
      <c r="E44" s="60"/>
      <c r="F44" s="60"/>
      <c r="G44" s="46"/>
      <c r="H44" s="60"/>
      <c r="I44" s="60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C44" s="19">
        <v>40</v>
      </c>
      <c r="AD44" s="19">
        <f t="shared" si="30"/>
        <v>2.5132741228718363</v>
      </c>
      <c r="AE44" s="19">
        <f t="shared" si="24"/>
        <v>15954.915028125259</v>
      </c>
      <c r="AF44" s="19">
        <f t="shared" si="25"/>
        <v>10438.926261462359</v>
      </c>
      <c r="AG44" s="19">
        <f t="shared" si="26"/>
        <v>-22831.55948031232</v>
      </c>
      <c r="AH44" s="19">
        <f t="shared" si="27"/>
        <v>12057.248383023652</v>
      </c>
      <c r="AI44" s="19">
        <f t="shared" si="28"/>
        <v>-9045.0849718747413</v>
      </c>
      <c r="AJ44" s="19">
        <f t="shared" si="29"/>
        <v>-12061.073738537641</v>
      </c>
      <c r="AK44">
        <v>40</v>
      </c>
      <c r="AL44">
        <v>20</v>
      </c>
      <c r="AN44" s="48">
        <f t="shared" si="16"/>
        <v>27780.405187877077</v>
      </c>
      <c r="AO44" s="48">
        <f t="shared" si="17"/>
        <v>10552.989439230751</v>
      </c>
      <c r="AP44" s="20"/>
      <c r="AQ44" s="50">
        <f t="shared" si="18"/>
        <v>3470.0332674638794</v>
      </c>
      <c r="AR44" s="50">
        <f t="shared" si="19"/>
        <v>3859.0911852783506</v>
      </c>
      <c r="AS44" s="20"/>
      <c r="AT44" s="52">
        <f t="shared" si="22"/>
        <v>-2136.152517375268</v>
      </c>
      <c r="AU44" s="52">
        <f t="shared" si="23"/>
        <v>-894.25186347611248</v>
      </c>
      <c r="AV44" s="20"/>
      <c r="AW44" s="20"/>
      <c r="AX44" s="20">
        <f t="shared" si="6"/>
        <v>-1840.2702697486072</v>
      </c>
      <c r="AY44" s="20">
        <f t="shared" si="7"/>
        <v>-722.11222464698028</v>
      </c>
      <c r="AZ44" s="20"/>
      <c r="BA44" s="20">
        <f t="shared" si="8"/>
        <v>-76.185709586549123</v>
      </c>
      <c r="BB44" s="20">
        <f t="shared" si="9"/>
        <v>-0.88173996549430456</v>
      </c>
      <c r="BC44" s="20"/>
      <c r="BD44" s="20">
        <f t="shared" si="10"/>
        <v>-219.69653804011145</v>
      </c>
      <c r="BE44" s="20">
        <f t="shared" si="11"/>
        <v>-171.25789886363796</v>
      </c>
      <c r="BF44" s="20"/>
      <c r="BG44" s="54">
        <f t="shared" si="12"/>
        <v>8357.9572506443837</v>
      </c>
      <c r="BH44" s="54">
        <f t="shared" si="13"/>
        <v>47783.605109259086</v>
      </c>
      <c r="BI44" s="54">
        <f t="shared" si="14"/>
        <v>41563.327989500991</v>
      </c>
      <c r="BJ44" s="20"/>
    </row>
    <row r="45" spans="1:62" x14ac:dyDescent="0.3">
      <c r="A45" s="46"/>
      <c r="B45" s="60"/>
      <c r="C45" s="60"/>
      <c r="D45" s="60"/>
      <c r="E45" s="60"/>
      <c r="F45" s="60"/>
      <c r="G45" s="46"/>
      <c r="H45" s="60"/>
      <c r="I45" s="60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C45" s="19">
        <v>41</v>
      </c>
      <c r="AD45" s="19">
        <f t="shared" si="30"/>
        <v>2.5761059759436322</v>
      </c>
      <c r="AE45" s="19">
        <f t="shared" si="24"/>
        <v>15778.360372489919</v>
      </c>
      <c r="AF45" s="19">
        <f t="shared" si="25"/>
        <v>10179.133974894976</v>
      </c>
      <c r="AG45" s="19">
        <f t="shared" si="26"/>
        <v>-22955.147739257056</v>
      </c>
      <c r="AH45" s="19">
        <f t="shared" si="27"/>
        <v>11875.393782426483</v>
      </c>
      <c r="AI45" s="19">
        <f t="shared" si="28"/>
        <v>-9221.6396275100815</v>
      </c>
      <c r="AJ45" s="19">
        <f t="shared" si="29"/>
        <v>-12320.866025105024</v>
      </c>
      <c r="AK45">
        <v>41</v>
      </c>
      <c r="AL45">
        <v>20.5</v>
      </c>
      <c r="AN45" s="48">
        <f t="shared" si="16"/>
        <v>29248.402756937106</v>
      </c>
      <c r="AO45" s="48">
        <f t="shared" si="17"/>
        <v>12370.753548935412</v>
      </c>
      <c r="AP45" s="20"/>
      <c r="AQ45" s="50">
        <f t="shared" si="18"/>
        <v>2401.9570087762454</v>
      </c>
      <c r="AR45" s="50">
        <f t="shared" si="19"/>
        <v>3411.9652535402943</v>
      </c>
      <c r="AS45" s="20"/>
      <c r="AT45" s="52">
        <f t="shared" si="22"/>
        <v>-1868.5484558918351</v>
      </c>
      <c r="AU45" s="52">
        <f t="shared" si="23"/>
        <v>-1003.5635532241394</v>
      </c>
      <c r="AV45" s="20"/>
      <c r="AW45" s="20"/>
      <c r="AX45" s="20">
        <f t="shared" si="6"/>
        <v>-1599.7228995425221</v>
      </c>
      <c r="AY45" s="20">
        <f t="shared" si="7"/>
        <v>-842.50828981419716</v>
      </c>
      <c r="AZ45" s="20"/>
      <c r="BA45" s="20">
        <f t="shared" si="8"/>
        <v>-71.614445604985363</v>
      </c>
      <c r="BB45" s="20">
        <f t="shared" si="9"/>
        <v>-3.4474255319711036</v>
      </c>
      <c r="BC45" s="20"/>
      <c r="BD45" s="20">
        <f t="shared" si="10"/>
        <v>-197.21111074432764</v>
      </c>
      <c r="BE45" s="20">
        <f t="shared" si="11"/>
        <v>-157.60783787797104</v>
      </c>
      <c r="BF45" s="20"/>
      <c r="BG45" s="54">
        <f t="shared" si="12"/>
        <v>10452.616595330988</v>
      </c>
      <c r="BH45" s="54">
        <f t="shared" si="13"/>
        <v>49305.43222099651</v>
      </c>
      <c r="BI45" s="54">
        <f t="shared" si="14"/>
        <v>43841.889115752507</v>
      </c>
      <c r="BJ45" s="20"/>
    </row>
    <row r="46" spans="1:62" x14ac:dyDescent="0.3">
      <c r="A46" s="46"/>
      <c r="B46" s="60"/>
      <c r="C46" s="60"/>
      <c r="D46" s="60"/>
      <c r="E46" s="60"/>
      <c r="F46" s="60"/>
      <c r="G46" s="46"/>
      <c r="H46" s="60"/>
      <c r="I46" s="60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C46" s="19">
        <v>42</v>
      </c>
      <c r="AD46" s="19">
        <f t="shared" si="30"/>
        <v>2.6389378290154282</v>
      </c>
      <c r="AE46" s="19">
        <f t="shared" si="24"/>
        <v>15618.466599780677</v>
      </c>
      <c r="AF46" s="19">
        <f t="shared" si="25"/>
        <v>9908.7683705085692</v>
      </c>
      <c r="AG46" s="19">
        <f t="shared" si="26"/>
        <v>-23067.073380153524</v>
      </c>
      <c r="AH46" s="19">
        <f t="shared" si="27"/>
        <v>11686.137859355998</v>
      </c>
      <c r="AI46" s="19">
        <f t="shared" si="28"/>
        <v>-9381.5334002193231</v>
      </c>
      <c r="AJ46" s="19">
        <f t="shared" si="29"/>
        <v>-12591.231629491431</v>
      </c>
      <c r="AK46">
        <v>42</v>
      </c>
      <c r="AL46">
        <v>21</v>
      </c>
      <c r="AN46" s="48">
        <f t="shared" si="16"/>
        <v>30215.81270433875</v>
      </c>
      <c r="AO46" s="48">
        <f t="shared" si="17"/>
        <v>13951.290731552541</v>
      </c>
      <c r="AP46" s="20"/>
      <c r="AQ46" s="50">
        <f t="shared" si="18"/>
        <v>1467.6827808303278</v>
      </c>
      <c r="AR46" s="50">
        <f t="shared" si="19"/>
        <v>2910.1834769282245</v>
      </c>
      <c r="AS46" s="20"/>
      <c r="AT46" s="52">
        <f t="shared" si="22"/>
        <v>-1636.42268118637</v>
      </c>
      <c r="AU46" s="52">
        <f t="shared" si="23"/>
        <v>-1030.0653862048114</v>
      </c>
      <c r="AV46" s="20"/>
      <c r="AW46" s="20"/>
      <c r="AX46" s="20">
        <f t="shared" si="6"/>
        <v>-1386.4895523431758</v>
      </c>
      <c r="AY46" s="20">
        <f t="shared" si="7"/>
        <v>-875.5688320937096</v>
      </c>
      <c r="AZ46" s="20"/>
      <c r="BA46" s="20">
        <f t="shared" si="8"/>
        <v>-68.569323456643275</v>
      </c>
      <c r="BB46" s="20">
        <f t="shared" si="9"/>
        <v>-5.3954584751677892</v>
      </c>
      <c r="BC46" s="20"/>
      <c r="BD46" s="20">
        <f t="shared" si="10"/>
        <v>-181.36380538655101</v>
      </c>
      <c r="BE46" s="20">
        <f t="shared" si="11"/>
        <v>-149.10109563593403</v>
      </c>
      <c r="BF46" s="20"/>
      <c r="BG46" s="54">
        <f t="shared" si="12"/>
        <v>12082.300332020584</v>
      </c>
      <c r="BH46" s="54">
        <f t="shared" si="13"/>
        <v>50371.028816200313</v>
      </c>
      <c r="BI46" s="54">
        <f t="shared" si="14"/>
        <v>45588.712412722809</v>
      </c>
      <c r="BJ46" s="20"/>
    </row>
    <row r="47" spans="1:62" x14ac:dyDescent="0.3">
      <c r="A47" s="46"/>
      <c r="B47" s="60"/>
      <c r="C47" s="60"/>
      <c r="D47" s="60"/>
      <c r="E47" s="60"/>
      <c r="F47" s="60"/>
      <c r="G47" s="46"/>
      <c r="H47" s="60"/>
      <c r="I47" s="60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C47" s="19">
        <v>43</v>
      </c>
      <c r="AD47" s="19">
        <f t="shared" si="30"/>
        <v>2.7017696820872241</v>
      </c>
      <c r="AE47" s="19">
        <f t="shared" si="24"/>
        <v>15475.864737669897</v>
      </c>
      <c r="AF47" s="19">
        <f t="shared" si="25"/>
        <v>9628.8964578253544</v>
      </c>
      <c r="AG47" s="19">
        <f t="shared" si="26"/>
        <v>-23166.894683631072</v>
      </c>
      <c r="AH47" s="19">
        <f t="shared" si="27"/>
        <v>11490.227520477749</v>
      </c>
      <c r="AI47" s="19">
        <f t="shared" si="28"/>
        <v>-9524.1352623301027</v>
      </c>
      <c r="AJ47" s="19">
        <f t="shared" si="29"/>
        <v>-12871.103542174646</v>
      </c>
      <c r="AK47">
        <v>43</v>
      </c>
      <c r="AL47">
        <v>21.5</v>
      </c>
      <c r="AN47" s="48">
        <f t="shared" si="16"/>
        <v>30745.101259605617</v>
      </c>
      <c r="AO47" s="48">
        <f t="shared" si="17"/>
        <v>15277.624296741053</v>
      </c>
      <c r="AP47" s="20"/>
      <c r="AQ47" s="50">
        <f t="shared" si="18"/>
        <v>649.47144023714282</v>
      </c>
      <c r="AR47" s="50">
        <f t="shared" si="19"/>
        <v>2395.150783825819</v>
      </c>
      <c r="AS47" s="20"/>
      <c r="AT47" s="52">
        <f t="shared" si="22"/>
        <v>-1464.372697520776</v>
      </c>
      <c r="AU47" s="52">
        <f t="shared" si="23"/>
        <v>-1039.5754306294641</v>
      </c>
      <c r="AV47" s="20"/>
      <c r="AW47" s="20"/>
      <c r="AX47" s="20">
        <f t="shared" si="6"/>
        <v>-1227.3452495501792</v>
      </c>
      <c r="AY47" s="20">
        <f t="shared" si="7"/>
        <v>-888.38904378473467</v>
      </c>
      <c r="AZ47" s="20"/>
      <c r="BA47" s="20">
        <f t="shared" si="8"/>
        <v>-66.733910848600345</v>
      </c>
      <c r="BB47" s="20">
        <f t="shared" si="9"/>
        <v>-6.9405026410200872</v>
      </c>
      <c r="BC47" s="20"/>
      <c r="BD47" s="20">
        <f t="shared" si="10"/>
        <v>-170.29353712199654</v>
      </c>
      <c r="BE47" s="20">
        <f t="shared" si="11"/>
        <v>-144.24588420370932</v>
      </c>
      <c r="BF47" s="20"/>
      <c r="BG47" s="54">
        <f t="shared" si="12"/>
        <v>13264.563346768524</v>
      </c>
      <c r="BH47" s="54">
        <f t="shared" si="13"/>
        <v>51018.806533132265</v>
      </c>
      <c r="BI47" s="54">
        <f t="shared" si="14"/>
        <v>46844.922853112519</v>
      </c>
      <c r="BJ47" s="20"/>
    </row>
    <row r="48" spans="1:62" x14ac:dyDescent="0.3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C48" s="19">
        <v>44</v>
      </c>
      <c r="AD48" s="19">
        <f t="shared" si="30"/>
        <v>2.7646015351590201</v>
      </c>
      <c r="AE48" s="19">
        <f t="shared" si="24"/>
        <v>15351.117570558739</v>
      </c>
      <c r="AF48" s="19">
        <f t="shared" si="25"/>
        <v>9340.6227634233801</v>
      </c>
      <c r="AG48" s="19">
        <f t="shared" si="26"/>
        <v>-23254.217700608882</v>
      </c>
      <c r="AH48" s="19">
        <f t="shared" si="27"/>
        <v>11288.435934396366</v>
      </c>
      <c r="AI48" s="19">
        <f t="shared" si="28"/>
        <v>-9648.8824294412607</v>
      </c>
      <c r="AJ48" s="19">
        <f t="shared" si="29"/>
        <v>-13159.37723657662</v>
      </c>
      <c r="AK48">
        <v>44</v>
      </c>
      <c r="AL48">
        <v>22</v>
      </c>
      <c r="AN48" s="48">
        <f t="shared" si="16"/>
        <v>30886.790392534094</v>
      </c>
      <c r="AO48" s="48">
        <f t="shared" si="17"/>
        <v>16345.25275982528</v>
      </c>
      <c r="AP48" s="20"/>
      <c r="AQ48" s="50">
        <f t="shared" si="18"/>
        <v>-82.714908523245185</v>
      </c>
      <c r="AR48" s="50">
        <f t="shared" si="19"/>
        <v>1875.363068511087</v>
      </c>
      <c r="AS48" s="20"/>
      <c r="AT48" s="52">
        <f t="shared" si="22"/>
        <v>-1343.772939080673</v>
      </c>
      <c r="AU48" s="52">
        <f t="shared" si="23"/>
        <v>-1056.3730161911585</v>
      </c>
      <c r="AV48" s="20"/>
      <c r="AW48" s="20"/>
      <c r="AX48" s="20">
        <f t="shared" si="6"/>
        <v>-1115.0360284066739</v>
      </c>
      <c r="AY48" s="20">
        <f t="shared" si="7"/>
        <v>-905.93968947288738</v>
      </c>
      <c r="AZ48" s="20"/>
      <c r="BA48" s="20">
        <f t="shared" si="8"/>
        <v>-65.918141783745909</v>
      </c>
      <c r="BB48" s="20">
        <f t="shared" si="9"/>
        <v>-8.2195647996151529</v>
      </c>
      <c r="BC48" s="20"/>
      <c r="BD48" s="20">
        <f t="shared" si="10"/>
        <v>-162.81876889025307</v>
      </c>
      <c r="BE48" s="20">
        <f t="shared" si="11"/>
        <v>-142.2137619186561</v>
      </c>
      <c r="BF48" s="20"/>
      <c r="BG48" s="54">
        <f t="shared" si="12"/>
        <v>14027.141598920622</v>
      </c>
      <c r="BH48" s="54">
        <f t="shared" si="13"/>
        <v>51280.870400567212</v>
      </c>
      <c r="BI48" s="54">
        <f t="shared" si="14"/>
        <v>47648.573905784542</v>
      </c>
      <c r="BJ48" s="20"/>
    </row>
    <row r="49" spans="1:62" x14ac:dyDescent="0.3">
      <c r="A49" s="46"/>
      <c r="B49" s="59"/>
      <c r="C49" s="46"/>
      <c r="D49" s="59"/>
      <c r="E49" s="59"/>
      <c r="F49" s="46"/>
      <c r="G49" s="46"/>
      <c r="H49" s="46"/>
      <c r="I49" s="46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46"/>
      <c r="AC49" s="19">
        <v>45</v>
      </c>
      <c r="AD49" s="19">
        <f t="shared" si="30"/>
        <v>2.827433388230816</v>
      </c>
      <c r="AE49" s="19">
        <f t="shared" si="24"/>
        <v>15244.717418524229</v>
      </c>
      <c r="AF49" s="19">
        <f t="shared" si="25"/>
        <v>9045.0849718747268</v>
      </c>
      <c r="AG49" s="19">
        <f t="shared" si="26"/>
        <v>-23328.697807033041</v>
      </c>
      <c r="AH49" s="19">
        <f t="shared" si="27"/>
        <v>11081.559480312309</v>
      </c>
      <c r="AI49" s="19">
        <f t="shared" si="28"/>
        <v>-9755.2825814757707</v>
      </c>
      <c r="AJ49" s="19">
        <f t="shared" si="29"/>
        <v>-13454.915028125273</v>
      </c>
      <c r="AK49">
        <v>45</v>
      </c>
      <c r="AL49">
        <v>22.5</v>
      </c>
      <c r="AN49" s="48">
        <f t="shared" si="16"/>
        <v>30677.461320887389</v>
      </c>
      <c r="AO49" s="48">
        <f t="shared" si="17"/>
        <v>17150.88766705693</v>
      </c>
      <c r="AP49" s="20"/>
      <c r="AQ49" s="50">
        <f t="shared" si="18"/>
        <v>-754.60137806358171</v>
      </c>
      <c r="AR49" s="50">
        <f t="shared" si="19"/>
        <v>1347.1765604155078</v>
      </c>
      <c r="AS49" s="20"/>
      <c r="AT49" s="52">
        <f t="shared" si="22"/>
        <v>-1262.8570001649875</v>
      </c>
      <c r="AU49" s="52">
        <f t="shared" si="23"/>
        <v>-1090.6484423916361</v>
      </c>
      <c r="AV49" s="20"/>
      <c r="AW49" s="20"/>
      <c r="AX49" s="20">
        <f t="shared" si="6"/>
        <v>-1038.5932318641521</v>
      </c>
      <c r="AY49" s="20">
        <f t="shared" si="7"/>
        <v>-938.73874240862324</v>
      </c>
      <c r="AZ49" s="20"/>
      <c r="BA49" s="20">
        <f t="shared" si="8"/>
        <v>-66.030680775163987</v>
      </c>
      <c r="BB49" s="20">
        <f t="shared" si="9"/>
        <v>-9.3173171760259201</v>
      </c>
      <c r="BC49" s="20"/>
      <c r="BD49" s="20">
        <f t="shared" si="10"/>
        <v>-158.23308752567141</v>
      </c>
      <c r="BE49" s="20">
        <f t="shared" si="11"/>
        <v>-142.59238280698705</v>
      </c>
      <c r="BF49" s="20"/>
      <c r="BG49" s="54">
        <f t="shared" si="12"/>
        <v>14392.63051082733</v>
      </c>
      <c r="BH49" s="54">
        <f t="shared" si="13"/>
        <v>51179.490817679158</v>
      </c>
      <c r="BI49" s="54">
        <f t="shared" si="14"/>
        <v>48026.667842805102</v>
      </c>
      <c r="BJ49" s="20"/>
    </row>
    <row r="50" spans="1:62" x14ac:dyDescent="0.3">
      <c r="A50" s="46"/>
      <c r="B50" s="59"/>
      <c r="C50" s="59"/>
      <c r="D50" s="46"/>
      <c r="E50" s="59"/>
      <c r="F50" s="59"/>
      <c r="G50" s="46"/>
      <c r="H50" s="5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C50" s="19">
        <v>46</v>
      </c>
      <c r="AD50" s="19">
        <f t="shared" si="30"/>
        <v>2.890265241302612</v>
      </c>
      <c r="AE50" s="19">
        <f t="shared" si="24"/>
        <v>15157.084194356841</v>
      </c>
      <c r="AF50" s="19">
        <f t="shared" si="25"/>
        <v>8743.4494358242628</v>
      </c>
      <c r="AG50" s="19">
        <f t="shared" si="26"/>
        <v>-23390.041063950212</v>
      </c>
      <c r="AH50" s="19">
        <f t="shared" si="27"/>
        <v>10870.414605076985</v>
      </c>
      <c r="AI50" s="19">
        <f t="shared" si="28"/>
        <v>-9842.9158056431588</v>
      </c>
      <c r="AJ50" s="19">
        <f t="shared" si="29"/>
        <v>-13756.550564175737</v>
      </c>
      <c r="AK50">
        <v>46</v>
      </c>
      <c r="AL50">
        <v>23</v>
      </c>
      <c r="AN50" s="48">
        <f t="shared" si="16"/>
        <v>30142.303506834975</v>
      </c>
      <c r="AO50" s="48">
        <f t="shared" si="17"/>
        <v>17688.14489196573</v>
      </c>
      <c r="AP50" s="20"/>
      <c r="AQ50" s="50">
        <f t="shared" si="18"/>
        <v>-1386.0298781460756</v>
      </c>
      <c r="AR50" s="50">
        <f t="shared" si="19"/>
        <v>801.85233921968972</v>
      </c>
      <c r="AS50" s="20"/>
      <c r="AT50" s="52">
        <f t="shared" si="22"/>
        <v>-1212.0882718131168</v>
      </c>
      <c r="AU50" s="52">
        <f t="shared" si="23"/>
        <v>-1148.8752004014277</v>
      </c>
      <c r="AV50" s="20"/>
      <c r="AW50" s="20"/>
      <c r="AX50" s="20">
        <f t="shared" si="6"/>
        <v>-988.87118153957829</v>
      </c>
      <c r="AY50" s="20">
        <f t="shared" si="7"/>
        <v>-993.3407011755379</v>
      </c>
      <c r="AZ50" s="20"/>
      <c r="BA50" s="20">
        <f t="shared" si="8"/>
        <v>-67.059299095090751</v>
      </c>
      <c r="BB50" s="20">
        <f t="shared" si="9"/>
        <v>-10.281968951156124</v>
      </c>
      <c r="BC50" s="20"/>
      <c r="BD50" s="20">
        <f t="shared" si="10"/>
        <v>-156.1577911784477</v>
      </c>
      <c r="BE50" s="20">
        <f t="shared" si="11"/>
        <v>-145.25253027473369</v>
      </c>
      <c r="BF50" s="20"/>
      <c r="BG50" s="54">
        <f t="shared" si="12"/>
        <v>14375.834471933947</v>
      </c>
      <c r="BH50" s="54">
        <f t="shared" si="13"/>
        <v>50728.277842357449</v>
      </c>
      <c r="BI50" s="54">
        <f t="shared" si="14"/>
        <v>47994.752965763357</v>
      </c>
      <c r="BJ50" s="20"/>
    </row>
    <row r="51" spans="1:62" x14ac:dyDescent="0.3">
      <c r="A51" s="46"/>
      <c r="B51" s="59"/>
      <c r="C51" s="46"/>
      <c r="D51" s="59"/>
      <c r="E51" s="59"/>
      <c r="F51" s="46"/>
      <c r="G51" s="46"/>
      <c r="H51" s="5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C51" s="19">
        <v>47</v>
      </c>
      <c r="AD51" s="19">
        <f t="shared" si="30"/>
        <v>2.9530970943744079</v>
      </c>
      <c r="AE51" s="19">
        <f t="shared" si="24"/>
        <v>15088.563746356554</v>
      </c>
      <c r="AF51" s="19">
        <f t="shared" si="25"/>
        <v>8436.9065729286121</v>
      </c>
      <c r="AG51" s="19">
        <f t="shared" si="26"/>
        <v>-23438.005377550413</v>
      </c>
      <c r="AH51" s="19">
        <f t="shared" si="27"/>
        <v>10655.834601050028</v>
      </c>
      <c r="AI51" s="19">
        <f t="shared" si="28"/>
        <v>-9911.4362536434455</v>
      </c>
      <c r="AJ51" s="19">
        <f t="shared" si="29"/>
        <v>-14063.093427071388</v>
      </c>
      <c r="AK51">
        <v>47</v>
      </c>
      <c r="AL51">
        <v>23.5</v>
      </c>
      <c r="AN51" s="48">
        <f t="shared" si="16"/>
        <v>29297.777533785298</v>
      </c>
      <c r="AO51" s="48">
        <f t="shared" si="17"/>
        <v>17945.461661525394</v>
      </c>
      <c r="AP51" s="20"/>
      <c r="AQ51" s="50">
        <f t="shared" si="18"/>
        <v>-1992.0740140526341</v>
      </c>
      <c r="AR51" s="50">
        <f t="shared" si="19"/>
        <v>227.41473901897587</v>
      </c>
      <c r="AS51" s="20"/>
      <c r="AT51" s="52">
        <f t="shared" si="22"/>
        <v>-1183.643377664933</v>
      </c>
      <c r="AU51" s="52">
        <f t="shared" si="23"/>
        <v>-1237.8073123258591</v>
      </c>
      <c r="AV51" s="20"/>
      <c r="AW51" s="20"/>
      <c r="AX51" s="20">
        <f t="shared" si="6"/>
        <v>-958.11438610475068</v>
      </c>
      <c r="AY51" s="20">
        <f t="shared" si="7"/>
        <v>-1076.3805706306991</v>
      </c>
      <c r="AZ51" s="20"/>
      <c r="BA51" s="20">
        <f t="shared" si="8"/>
        <v>-69.064353027683154</v>
      </c>
      <c r="BB51" s="20">
        <f t="shared" si="9"/>
        <v>-11.13129631013158</v>
      </c>
      <c r="BC51" s="20"/>
      <c r="BD51" s="20">
        <f t="shared" si="10"/>
        <v>-156.46463853249938</v>
      </c>
      <c r="BE51" s="20">
        <f t="shared" si="11"/>
        <v>-150.29544538502853</v>
      </c>
      <c r="BF51" s="20"/>
      <c r="BG51" s="54">
        <f t="shared" si="12"/>
        <v>13984.145894196023</v>
      </c>
      <c r="BH51" s="54">
        <f t="shared" si="13"/>
        <v>49933.968706536398</v>
      </c>
      <c r="BI51" s="54">
        <f t="shared" si="14"/>
        <v>47557.764748230831</v>
      </c>
      <c r="BJ51" s="20"/>
    </row>
    <row r="52" spans="1:62" x14ac:dyDescent="0.3">
      <c r="A52" s="46"/>
      <c r="B52" s="59"/>
      <c r="C52" s="46"/>
      <c r="D52" s="46"/>
      <c r="E52" s="59"/>
      <c r="F52" s="46"/>
      <c r="G52" s="46"/>
      <c r="H52" s="46"/>
      <c r="I52" s="46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46"/>
      <c r="AC52" s="19">
        <v>48</v>
      </c>
      <c r="AD52" s="19">
        <f t="shared" si="30"/>
        <v>3.0159289474462039</v>
      </c>
      <c r="AE52" s="19">
        <f t="shared" si="24"/>
        <v>15039.426493427611</v>
      </c>
      <c r="AF52" s="19">
        <f t="shared" si="25"/>
        <v>8126.6661678215096</v>
      </c>
      <c r="AG52" s="19">
        <f t="shared" si="26"/>
        <v>-23472.401454600673</v>
      </c>
      <c r="AH52" s="19">
        <f t="shared" si="27"/>
        <v>10438.666317475057</v>
      </c>
      <c r="AI52" s="19">
        <f t="shared" si="28"/>
        <v>-9960.5735065723893</v>
      </c>
      <c r="AJ52" s="19">
        <f t="shared" si="29"/>
        <v>-14373.33383217849</v>
      </c>
      <c r="AK52">
        <v>48</v>
      </c>
      <c r="AL52">
        <v>24</v>
      </c>
      <c r="AN52" s="48">
        <f t="shared" si="16"/>
        <v>28153.785104550865</v>
      </c>
      <c r="AO52" s="48">
        <f t="shared" si="17"/>
        <v>17904.443116994149</v>
      </c>
      <c r="AP52" s="20"/>
      <c r="AQ52" s="50">
        <f t="shared" si="18"/>
        <v>-2583.8957028851005</v>
      </c>
      <c r="AR52" s="50">
        <f t="shared" si="19"/>
        <v>-391.4889171439537</v>
      </c>
      <c r="AS52" s="20"/>
      <c r="AT52" s="52">
        <f t="shared" si="22"/>
        <v>-1168.9647208663869</v>
      </c>
      <c r="AU52" s="52">
        <f t="shared" si="23"/>
        <v>-1366.213344943176</v>
      </c>
      <c r="AV52" s="20"/>
      <c r="AW52" s="20"/>
      <c r="AX52" s="20">
        <f t="shared" si="6"/>
        <v>-937.52528735268402</v>
      </c>
      <c r="AY52" s="20">
        <f t="shared" si="7"/>
        <v>-1196.3067946885628</v>
      </c>
      <c r="AZ52" s="20"/>
      <c r="BA52" s="20">
        <f t="shared" si="8"/>
        <v>-72.184195978183666</v>
      </c>
      <c r="BB52" s="20">
        <f t="shared" si="9"/>
        <v>-11.849034708625371</v>
      </c>
      <c r="BC52" s="20"/>
      <c r="BD52" s="20">
        <f t="shared" si="10"/>
        <v>-159.25523753551923</v>
      </c>
      <c r="BE52" s="20">
        <f t="shared" si="11"/>
        <v>-158.05751554598774</v>
      </c>
      <c r="BF52" s="20"/>
      <c r="BG52" s="54">
        <f t="shared" si="12"/>
        <v>13218.799041742124</v>
      </c>
      <c r="BH52" s="54">
        <f t="shared" si="13"/>
        <v>48798.229894997836</v>
      </c>
      <c r="BI52" s="54">
        <f t="shared" si="14"/>
        <v>46710.553878093146</v>
      </c>
      <c r="BJ52" s="20"/>
    </row>
    <row r="53" spans="1:62" x14ac:dyDescent="0.3">
      <c r="A53" s="46"/>
      <c r="B53" s="59"/>
      <c r="C53" s="46"/>
      <c r="D53" s="59"/>
      <c r="E53" s="59"/>
      <c r="F53" s="46"/>
      <c r="G53" s="46"/>
      <c r="H53" s="46"/>
      <c r="I53" s="46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46"/>
      <c r="AC53" s="19">
        <v>49</v>
      </c>
      <c r="AD53" s="19">
        <f t="shared" si="30"/>
        <v>3.0787608005179998</v>
      </c>
      <c r="AE53" s="19">
        <f t="shared" si="24"/>
        <v>15009.866357858642</v>
      </c>
      <c r="AF53" s="19">
        <f t="shared" si="25"/>
        <v>7813.9525976465548</v>
      </c>
      <c r="AG53" s="19">
        <f t="shared" si="26"/>
        <v>-23493.09354949895</v>
      </c>
      <c r="AH53" s="19">
        <f t="shared" si="27"/>
        <v>10219.766818352588</v>
      </c>
      <c r="AI53" s="19">
        <f t="shared" si="28"/>
        <v>-9990.133642141358</v>
      </c>
      <c r="AJ53" s="19">
        <f t="shared" si="29"/>
        <v>-14686.047402353446</v>
      </c>
      <c r="AK53">
        <v>49</v>
      </c>
      <c r="AL53">
        <v>24.5</v>
      </c>
      <c r="AN53" s="48">
        <f t="shared" si="16"/>
        <v>26715.716663000017</v>
      </c>
      <c r="AO53" s="48">
        <f t="shared" si="17"/>
        <v>17537.921990304272</v>
      </c>
      <c r="AP53" s="20"/>
      <c r="AQ53" s="50">
        <f t="shared" si="18"/>
        <v>-3168.3780633182942</v>
      </c>
      <c r="AR53" s="50">
        <f t="shared" si="19"/>
        <v>-1074.5955896155417</v>
      </c>
      <c r="AS53" s="20"/>
      <c r="AT53" s="52">
        <f t="shared" si="22"/>
        <v>-1153.676942001041</v>
      </c>
      <c r="AU53" s="52">
        <f t="shared" si="23"/>
        <v>-1544.8915632891044</v>
      </c>
      <c r="AV53" s="20"/>
      <c r="AW53" s="20"/>
      <c r="AX53" s="20">
        <f t="shared" si="6"/>
        <v>-912.13105421294404</v>
      </c>
      <c r="AY53" s="20">
        <f t="shared" si="7"/>
        <v>-1363.3541774577254</v>
      </c>
      <c r="AZ53" s="20"/>
      <c r="BA53" s="20">
        <f t="shared" si="8"/>
        <v>-76.651546422650924</v>
      </c>
      <c r="BB53" s="20">
        <f t="shared" si="9"/>
        <v>-12.368286706125941</v>
      </c>
      <c r="BC53" s="20"/>
      <c r="BD53" s="20">
        <f t="shared" si="10"/>
        <v>-164.89434136544617</v>
      </c>
      <c r="BE53" s="20">
        <f t="shared" si="11"/>
        <v>-169.16909912525307</v>
      </c>
      <c r="BF53" s="20"/>
      <c r="BG53" s="54">
        <f t="shared" si="12"/>
        <v>12077.281489686749</v>
      </c>
      <c r="BH53" s="54">
        <f t="shared" si="13"/>
        <v>47319.958276287711</v>
      </c>
      <c r="BI53" s="54">
        <f t="shared" si="14"/>
        <v>45437.903240519619</v>
      </c>
      <c r="BJ53" s="20"/>
    </row>
    <row r="54" spans="1:62" x14ac:dyDescent="0.3">
      <c r="A54" s="46"/>
      <c r="B54" s="59"/>
      <c r="C54" s="46"/>
      <c r="D54" s="46"/>
      <c r="E54" s="59"/>
      <c r="F54" s="46"/>
      <c r="G54" s="46"/>
      <c r="H54" s="46"/>
      <c r="I54" s="46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46"/>
      <c r="AC54" s="19">
        <v>50</v>
      </c>
      <c r="AD54" s="19">
        <f t="shared" si="30"/>
        <v>3.1415926535897958</v>
      </c>
      <c r="AE54" s="19">
        <f t="shared" si="24"/>
        <v>15000</v>
      </c>
      <c r="AF54" s="19">
        <f t="shared" si="25"/>
        <v>7499.9999999999873</v>
      </c>
      <c r="AG54" s="19">
        <f t="shared" si="26"/>
        <v>-23500</v>
      </c>
      <c r="AH54" s="19">
        <f t="shared" si="27"/>
        <v>9999.9999999999909</v>
      </c>
      <c r="AI54" s="19">
        <f t="shared" si="28"/>
        <v>-10000</v>
      </c>
      <c r="AJ54" s="19">
        <f t="shared" si="29"/>
        <v>-15000.000000000013</v>
      </c>
      <c r="AK54">
        <v>50</v>
      </c>
      <c r="AL54">
        <v>25</v>
      </c>
      <c r="AN54" s="48">
        <f t="shared" si="16"/>
        <v>24987.318013590739</v>
      </c>
      <c r="AO54" s="48">
        <f t="shared" si="17"/>
        <v>16807.512750085363</v>
      </c>
      <c r="AP54" s="20"/>
      <c r="AQ54" s="50">
        <f t="shared" si="18"/>
        <v>-3745.2165343188144</v>
      </c>
      <c r="AR54" s="50">
        <f t="shared" si="19"/>
        <v>-1847.0413712600939</v>
      </c>
      <c r="AS54" s="20"/>
      <c r="AT54" s="52">
        <f t="shared" si="22"/>
        <v>-1105.8976526476977</v>
      </c>
      <c r="AU54" s="52">
        <f t="shared" si="23"/>
        <v>-1781.58548705165</v>
      </c>
      <c r="AV54" s="20"/>
      <c r="AW54" s="20"/>
      <c r="AX54" s="20">
        <f t="shared" si="6"/>
        <v>-848.96634021373586</v>
      </c>
      <c r="AY54" s="20">
        <f t="shared" si="7"/>
        <v>-1584.3716030138592</v>
      </c>
      <c r="AZ54" s="20"/>
      <c r="BA54" s="20">
        <f t="shared" si="8"/>
        <v>-82.817976699817308</v>
      </c>
      <c r="BB54" s="20">
        <f t="shared" si="9"/>
        <v>-12.532074753821927</v>
      </c>
      <c r="BC54" s="20"/>
      <c r="BD54" s="20">
        <f t="shared" si="10"/>
        <v>-174.11333573414441</v>
      </c>
      <c r="BE54" s="20">
        <f t="shared" si="11"/>
        <v>-184.68180928396893</v>
      </c>
      <c r="BF54" s="20"/>
      <c r="BG54" s="54">
        <f t="shared" si="12"/>
        <v>10559.504465726044</v>
      </c>
      <c r="BH54" s="54">
        <f t="shared" si="13"/>
        <v>45499.461666029863</v>
      </c>
      <c r="BI54" s="54">
        <f t="shared" si="14"/>
        <v>43714.495410505042</v>
      </c>
      <c r="BJ54" s="20"/>
    </row>
    <row r="55" spans="1:62" x14ac:dyDescent="0.3">
      <c r="A55" s="46"/>
      <c r="B55" s="59"/>
      <c r="C55" s="46"/>
      <c r="D55" s="59"/>
      <c r="E55" s="59"/>
      <c r="F55" s="46"/>
      <c r="G55" s="46"/>
      <c r="H55" s="46"/>
      <c r="I55" s="46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46"/>
      <c r="AC55" s="19">
        <v>51</v>
      </c>
      <c r="AD55" s="19">
        <f t="shared" si="30"/>
        <v>3.2044245066615917</v>
      </c>
      <c r="AE55" s="19">
        <f t="shared" si="24"/>
        <v>15009.866357858642</v>
      </c>
      <c r="AF55" s="19">
        <f t="shared" si="25"/>
        <v>7186.0474023534198</v>
      </c>
      <c r="AG55" s="19">
        <f t="shared" si="26"/>
        <v>-23493.09354949895</v>
      </c>
      <c r="AH55" s="19">
        <f t="shared" si="27"/>
        <v>9780.2331816473943</v>
      </c>
      <c r="AI55" s="19">
        <f t="shared" si="28"/>
        <v>-9990.133642141358</v>
      </c>
      <c r="AJ55" s="19">
        <f t="shared" si="29"/>
        <v>-15313.952597646579</v>
      </c>
      <c r="AK55">
        <v>51</v>
      </c>
      <c r="AL55">
        <v>25.5</v>
      </c>
      <c r="AN55" s="48">
        <f t="shared" si="16"/>
        <v>22976.472539850369</v>
      </c>
      <c r="AO55" s="48">
        <f t="shared" si="17"/>
        <v>15661.293878573861</v>
      </c>
      <c r="AP55" s="20"/>
      <c r="AQ55" s="50">
        <f t="shared" si="18"/>
        <v>-4298.1653606426635</v>
      </c>
      <c r="AR55" s="50">
        <f t="shared" si="19"/>
        <v>-2737.8341147859192</v>
      </c>
      <c r="AS55" s="20"/>
      <c r="AT55" s="52">
        <f t="shared" si="22"/>
        <v>-949.91648176384263</v>
      </c>
      <c r="AU55" s="52">
        <f t="shared" si="23"/>
        <v>-2056.8189113471567</v>
      </c>
      <c r="AV55" s="20"/>
      <c r="AW55" s="20"/>
      <c r="AX55" s="20">
        <f t="shared" si="6"/>
        <v>-670.51831226302647</v>
      </c>
      <c r="AY55" s="20">
        <f t="shared" si="7"/>
        <v>-1838.5175485674106</v>
      </c>
      <c r="AZ55" s="20"/>
      <c r="BA55" s="20">
        <f t="shared" si="8"/>
        <v>-91.170364814428453</v>
      </c>
      <c r="BB55" s="20">
        <f t="shared" si="9"/>
        <v>-12.009878841328158</v>
      </c>
      <c r="BC55" s="20"/>
      <c r="BD55" s="20">
        <f t="shared" si="10"/>
        <v>-188.22780468638766</v>
      </c>
      <c r="BE55" s="20">
        <f t="shared" si="11"/>
        <v>-206.291483938418</v>
      </c>
      <c r="BF55" s="20"/>
      <c r="BG55" s="54">
        <f t="shared" si="12"/>
        <v>8687.1230308388331</v>
      </c>
      <c r="BH55" s="54">
        <f t="shared" si="13"/>
        <v>43347.750118640419</v>
      </c>
      <c r="BI55" s="54">
        <f t="shared" si="14"/>
        <v>41506.601379554944</v>
      </c>
      <c r="BJ55" s="20"/>
    </row>
    <row r="56" spans="1:62" x14ac:dyDescent="0.3">
      <c r="A56" s="46"/>
      <c r="B56" s="59"/>
      <c r="C56" s="46"/>
      <c r="D56" s="46"/>
      <c r="E56" s="59"/>
      <c r="F56" s="46"/>
      <c r="G56" s="46"/>
      <c r="H56" s="46"/>
      <c r="I56" s="46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46"/>
      <c r="AC56" s="19">
        <v>52</v>
      </c>
      <c r="AD56" s="19">
        <f t="shared" si="30"/>
        <v>3.2672563597333877</v>
      </c>
      <c r="AE56" s="19">
        <f t="shared" si="24"/>
        <v>15039.426493427613</v>
      </c>
      <c r="AF56" s="19">
        <f t="shared" si="25"/>
        <v>6873.3338321784649</v>
      </c>
      <c r="AG56" s="19">
        <f t="shared" si="26"/>
        <v>-23472.401454600673</v>
      </c>
      <c r="AH56" s="19">
        <f t="shared" si="27"/>
        <v>9561.3336825249262</v>
      </c>
      <c r="AI56" s="19">
        <f t="shared" si="28"/>
        <v>-9960.5735065723875</v>
      </c>
      <c r="AJ56" s="19">
        <f t="shared" si="29"/>
        <v>-15626.666167821535</v>
      </c>
      <c r="AK56">
        <v>52</v>
      </c>
      <c r="AL56">
        <v>26</v>
      </c>
      <c r="AN56" s="48">
        <f t="shared" si="16"/>
        <v>20708.650299308556</v>
      </c>
      <c r="AO56" s="48">
        <f t="shared" si="17"/>
        <v>14035.274457262505</v>
      </c>
      <c r="AP56" s="20"/>
      <c r="AQ56" s="50">
        <f t="shared" si="18"/>
        <v>-4773.123601524585</v>
      </c>
      <c r="AR56" s="50">
        <f t="shared" si="19"/>
        <v>-3766.2435704594973</v>
      </c>
      <c r="AS56" s="20"/>
      <c r="AT56" s="52">
        <f t="shared" si="22"/>
        <v>-528.31766259611334</v>
      </c>
      <c r="AU56" s="52">
        <f t="shared" si="23"/>
        <v>-2243.4083858149479</v>
      </c>
      <c r="AV56" s="20"/>
      <c r="AW56" s="20"/>
      <c r="AX56" s="20">
        <f t="shared" si="6"/>
        <v>-216.50179126375133</v>
      </c>
      <c r="AY56" s="20">
        <f t="shared" si="7"/>
        <v>-1996.6104971353529</v>
      </c>
      <c r="AZ56" s="20"/>
      <c r="BA56" s="20">
        <f t="shared" si="8"/>
        <v>-102.27018770854065</v>
      </c>
      <c r="BB56" s="20">
        <f t="shared" si="9"/>
        <v>-10.137606458711932</v>
      </c>
      <c r="BC56" s="20"/>
      <c r="BD56" s="20">
        <f t="shared" si="10"/>
        <v>-209.5456836238213</v>
      </c>
      <c r="BE56" s="20">
        <f t="shared" si="11"/>
        <v>-236.66028222088289</v>
      </c>
      <c r="BF56" s="20"/>
      <c r="BG56" s="54">
        <f t="shared" si="12"/>
        <v>6573.5833058125791</v>
      </c>
      <c r="BH56" s="54">
        <f t="shared" si="13"/>
        <v>40908.161155652429</v>
      </c>
      <c r="BI56" s="54">
        <f t="shared" si="14"/>
        <v>38781.205022803231</v>
      </c>
      <c r="BJ56" s="20"/>
    </row>
    <row r="57" spans="1:62" x14ac:dyDescent="0.3">
      <c r="A57" s="46"/>
      <c r="B57" s="59"/>
      <c r="C57" s="46"/>
      <c r="D57" s="59"/>
      <c r="E57" s="59"/>
      <c r="F57" s="46"/>
      <c r="G57" s="46"/>
      <c r="H57" s="46"/>
      <c r="I57" s="46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46"/>
      <c r="AC57" s="19">
        <v>53</v>
      </c>
      <c r="AD57" s="19">
        <f t="shared" si="30"/>
        <v>3.3300882128051836</v>
      </c>
      <c r="AE57" s="19">
        <f t="shared" si="24"/>
        <v>15088.563746356558</v>
      </c>
      <c r="AF57" s="19">
        <f t="shared" si="25"/>
        <v>6563.0934270713633</v>
      </c>
      <c r="AG57" s="19">
        <f t="shared" si="26"/>
        <v>-23438.005377550409</v>
      </c>
      <c r="AH57" s="19">
        <f t="shared" si="27"/>
        <v>9344.1653989499537</v>
      </c>
      <c r="AI57" s="19">
        <f t="shared" si="28"/>
        <v>-9911.4362536434419</v>
      </c>
      <c r="AJ57" s="19">
        <f t="shared" si="29"/>
        <v>-15936.906572928638</v>
      </c>
      <c r="AK57">
        <v>53</v>
      </c>
      <c r="AL57">
        <v>26.5</v>
      </c>
      <c r="AN57" s="48">
        <f t="shared" si="16"/>
        <v>18256.048790721747</v>
      </c>
      <c r="AO57" s="48">
        <f t="shared" si="17"/>
        <v>11871.726623805887</v>
      </c>
      <c r="AP57" s="20"/>
      <c r="AQ57" s="50">
        <f t="shared" si="18"/>
        <v>-5037.2824328226416</v>
      </c>
      <c r="AR57" s="50">
        <f t="shared" si="19"/>
        <v>-4887.9477633669712</v>
      </c>
      <c r="AS57" s="20"/>
      <c r="AT57" s="52">
        <f t="shared" si="22"/>
        <v>317.95687831410532</v>
      </c>
      <c r="AU57" s="52">
        <f t="shared" si="23"/>
        <v>-1980.8069518318209</v>
      </c>
      <c r="AV57" s="20"/>
      <c r="AW57" s="20"/>
      <c r="AX57" s="20">
        <f t="shared" si="6"/>
        <v>676.35519391409957</v>
      </c>
      <c r="AY57" s="20">
        <f t="shared" si="7"/>
        <v>-1695.4832180238413</v>
      </c>
      <c r="AZ57" s="20"/>
      <c r="BA57" s="20">
        <f t="shared" si="8"/>
        <v>-116.39431016403509</v>
      </c>
      <c r="BB57" s="20">
        <f t="shared" si="9"/>
        <v>-5.69474203635954</v>
      </c>
      <c r="BC57" s="20"/>
      <c r="BD57" s="20">
        <f t="shared" si="10"/>
        <v>-242.0040054359591</v>
      </c>
      <c r="BE57" s="20">
        <f t="shared" si="11"/>
        <v>-279.62899177162012</v>
      </c>
      <c r="BF57" s="20"/>
      <c r="BG57" s="54">
        <f t="shared" si="12"/>
        <v>4706.7355453261134</v>
      </c>
      <c r="BH57" s="54">
        <f t="shared" si="13"/>
        <v>38301.809743566249</v>
      </c>
      <c r="BI57" s="54">
        <f t="shared" si="14"/>
        <v>35537.775635244652</v>
      </c>
      <c r="BJ57" s="20"/>
    </row>
    <row r="58" spans="1:62" x14ac:dyDescent="0.3">
      <c r="A58" s="46"/>
      <c r="B58" s="59"/>
      <c r="C58" s="46"/>
      <c r="D58" s="46"/>
      <c r="E58" s="59"/>
      <c r="F58" s="46"/>
      <c r="G58" s="46"/>
      <c r="H58" s="46"/>
      <c r="I58" s="46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46"/>
      <c r="AC58" s="19">
        <v>54</v>
      </c>
      <c r="AD58" s="19">
        <f t="shared" si="30"/>
        <v>3.3929200658769796</v>
      </c>
      <c r="AE58" s="19">
        <f t="shared" si="24"/>
        <v>15157.084194356848</v>
      </c>
      <c r="AF58" s="19">
        <f t="shared" si="25"/>
        <v>6256.5505641757118</v>
      </c>
      <c r="AG58" s="19">
        <f t="shared" si="26"/>
        <v>-23390.041063950208</v>
      </c>
      <c r="AH58" s="19">
        <f t="shared" si="27"/>
        <v>9129.5853949229986</v>
      </c>
      <c r="AI58" s="19">
        <f t="shared" si="28"/>
        <v>-9842.9158056431515</v>
      </c>
      <c r="AJ58" s="19">
        <f t="shared" si="29"/>
        <v>-16243.449435824288</v>
      </c>
      <c r="AK58">
        <v>54</v>
      </c>
      <c r="AL58">
        <v>27</v>
      </c>
      <c r="AN58" s="48">
        <f t="shared" si="16"/>
        <v>15777.152184099688</v>
      </c>
      <c r="AO58" s="48">
        <f t="shared" si="17"/>
        <v>9180.1518731434244</v>
      </c>
      <c r="AP58" s="20"/>
      <c r="AQ58" s="50">
        <f t="shared" si="18"/>
        <v>-4878.3039936655887</v>
      </c>
      <c r="AR58" s="50">
        <f t="shared" si="19"/>
        <v>-5878.3512392828816</v>
      </c>
      <c r="AS58" s="20"/>
      <c r="AT58" s="52">
        <f t="shared" si="22"/>
        <v>1244.1619772246952</v>
      </c>
      <c r="AU58" s="52">
        <f t="shared" si="23"/>
        <v>-1000.1743367203645</v>
      </c>
      <c r="AV58" s="20"/>
      <c r="AW58" s="20"/>
      <c r="AX58" s="20">
        <f t="shared" si="6"/>
        <v>1668.338436533302</v>
      </c>
      <c r="AY58" s="20">
        <f t="shared" si="7"/>
        <v>-663.78474228320874</v>
      </c>
      <c r="AZ58" s="20"/>
      <c r="BA58" s="20">
        <f t="shared" si="8"/>
        <v>-132.5193779759918</v>
      </c>
      <c r="BB58" s="20">
        <f t="shared" si="9"/>
        <v>3.0367359382533659</v>
      </c>
      <c r="BC58" s="20"/>
      <c r="BD58" s="20">
        <f t="shared" si="10"/>
        <v>-291.65708133261495</v>
      </c>
      <c r="BE58" s="20">
        <f t="shared" si="11"/>
        <v>-339.42633037540918</v>
      </c>
      <c r="BF58" s="20"/>
      <c r="BG58" s="54">
        <f t="shared" si="12"/>
        <v>4544.8161671382695</v>
      </c>
      <c r="BH58" s="54">
        <f t="shared" si="13"/>
        <v>35786.544529408522</v>
      </c>
      <c r="BI58" s="54">
        <f t="shared" si="14"/>
        <v>31880.555162818604</v>
      </c>
      <c r="BJ58" s="20"/>
    </row>
    <row r="59" spans="1:62" x14ac:dyDescent="0.3">
      <c r="A59" s="46"/>
      <c r="B59" s="59"/>
      <c r="C59" s="46"/>
      <c r="D59" s="59"/>
      <c r="E59" s="59"/>
      <c r="F59" s="46"/>
      <c r="G59" s="46"/>
      <c r="H59" s="46"/>
      <c r="I59" s="46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46"/>
      <c r="AC59" s="19">
        <v>55</v>
      </c>
      <c r="AD59" s="19">
        <f t="shared" si="30"/>
        <v>3.4557519189487755</v>
      </c>
      <c r="AE59" s="19">
        <f t="shared" si="24"/>
        <v>15244.717418524237</v>
      </c>
      <c r="AF59" s="19">
        <f t="shared" si="25"/>
        <v>5954.9150281252487</v>
      </c>
      <c r="AG59" s="19">
        <f t="shared" si="26"/>
        <v>-23328.697807033033</v>
      </c>
      <c r="AH59" s="19">
        <f t="shared" si="27"/>
        <v>8918.4405196876742</v>
      </c>
      <c r="AI59" s="19">
        <f t="shared" si="28"/>
        <v>-9755.2825814757634</v>
      </c>
      <c r="AJ59" s="19">
        <f t="shared" si="29"/>
        <v>-16545.084971874752</v>
      </c>
      <c r="AK59">
        <v>55</v>
      </c>
      <c r="AL59">
        <v>27.5</v>
      </c>
      <c r="AN59" s="48">
        <f t="shared" si="16"/>
        <v>13493.520434419981</v>
      </c>
      <c r="AO59" s="48">
        <f t="shared" si="17"/>
        <v>6115.9544614119377</v>
      </c>
      <c r="AP59" s="20"/>
      <c r="AQ59" s="50">
        <f t="shared" si="18"/>
        <v>-4256.2230050532407</v>
      </c>
      <c r="AR59" s="50">
        <f t="shared" si="19"/>
        <v>-6378.4384076430642</v>
      </c>
      <c r="AS59" s="20"/>
      <c r="AT59" s="52">
        <f t="shared" si="22"/>
        <v>1453.1100753541868</v>
      </c>
      <c r="AU59" s="52">
        <f t="shared" si="23"/>
        <v>17.473536062919266</v>
      </c>
      <c r="AV59" s="20"/>
      <c r="AW59" s="20"/>
      <c r="AX59" s="20">
        <f t="shared" si="6"/>
        <v>1966.3987943048057</v>
      </c>
      <c r="AY59" s="20">
        <f t="shared" si="7"/>
        <v>418.28848471913955</v>
      </c>
      <c r="AZ59" s="20"/>
      <c r="BA59" s="20">
        <f t="shared" si="8"/>
        <v>-147.29245172831295</v>
      </c>
      <c r="BB59" s="20">
        <f t="shared" si="9"/>
        <v>17.080634778992547</v>
      </c>
      <c r="BC59" s="20"/>
      <c r="BD59" s="20">
        <f t="shared" si="10"/>
        <v>-365.99626722230602</v>
      </c>
      <c r="BE59" s="20">
        <f t="shared" si="11"/>
        <v>-417.89558343521281</v>
      </c>
      <c r="BF59" s="20"/>
      <c r="BG59" s="54">
        <f t="shared" si="12"/>
        <v>6652.0567037718392</v>
      </c>
      <c r="BH59" s="54">
        <f t="shared" si="13"/>
        <v>33717.973261107116</v>
      </c>
      <c r="BI59" s="54">
        <f t="shared" si="14"/>
        <v>28069.446572291588</v>
      </c>
      <c r="BJ59" s="20"/>
    </row>
    <row r="60" spans="1:62" x14ac:dyDescent="0.3">
      <c r="A60" s="46"/>
      <c r="B60" s="59"/>
      <c r="C60" s="46"/>
      <c r="D60" s="46"/>
      <c r="E60" s="59"/>
      <c r="F60" s="46"/>
      <c r="G60" s="46"/>
      <c r="H60" s="46"/>
      <c r="I60" s="46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46"/>
      <c r="AC60" s="19">
        <v>56</v>
      </c>
      <c r="AD60" s="19">
        <f t="shared" si="30"/>
        <v>3.5185837720205715</v>
      </c>
      <c r="AE60" s="19">
        <f t="shared" si="24"/>
        <v>15351.117570558748</v>
      </c>
      <c r="AF60" s="19">
        <f t="shared" si="25"/>
        <v>5659.3772365765963</v>
      </c>
      <c r="AG60" s="19">
        <f t="shared" si="26"/>
        <v>-23254.217700608875</v>
      </c>
      <c r="AH60" s="19">
        <f t="shared" si="27"/>
        <v>8711.5640656036176</v>
      </c>
      <c r="AI60" s="19">
        <f t="shared" si="28"/>
        <v>-9648.8824294412516</v>
      </c>
      <c r="AJ60" s="19">
        <f t="shared" si="29"/>
        <v>-16840.622763423406</v>
      </c>
      <c r="AK60">
        <v>56</v>
      </c>
      <c r="AL60">
        <v>28</v>
      </c>
      <c r="AN60" s="48">
        <f t="shared" si="16"/>
        <v>11547.047691312633</v>
      </c>
      <c r="AO60" s="48">
        <f t="shared" si="17"/>
        <v>2928.9194495982706</v>
      </c>
      <c r="AP60" s="20"/>
      <c r="AQ60" s="50">
        <f t="shared" si="18"/>
        <v>-3529.6679673761473</v>
      </c>
      <c r="AR60" s="50">
        <f t="shared" si="19"/>
        <v>-6369.7016396116051</v>
      </c>
      <c r="AS60" s="20"/>
      <c r="AT60" s="52">
        <f t="shared" si="22"/>
        <v>1029.9780802799914</v>
      </c>
      <c r="AU60" s="52">
        <f t="shared" si="23"/>
        <v>420.20113474218999</v>
      </c>
      <c r="AV60" s="20"/>
      <c r="AW60" s="20"/>
      <c r="AX60" s="20">
        <f t="shared" si="6"/>
        <v>1659.1219358202375</v>
      </c>
      <c r="AY60" s="20">
        <f t="shared" si="7"/>
        <v>897.19895896945468</v>
      </c>
      <c r="AZ60" s="20"/>
      <c r="BA60" s="20">
        <f t="shared" si="8"/>
        <v>-156.52965797514756</v>
      </c>
      <c r="BB60" s="20">
        <f t="shared" si="9"/>
        <v>35.085179155255744</v>
      </c>
      <c r="BC60" s="20"/>
      <c r="BD60" s="20">
        <f t="shared" si="10"/>
        <v>-472.61419756509855</v>
      </c>
      <c r="BE60" s="20">
        <f t="shared" si="11"/>
        <v>-512.08300338252047</v>
      </c>
      <c r="BF60" s="20"/>
      <c r="BG60" s="54">
        <f t="shared" si="12"/>
        <v>9609.7440200665114</v>
      </c>
      <c r="BH60" s="54">
        <f t="shared" si="13"/>
        <v>32329.806652502939</v>
      </c>
      <c r="BI60" s="54">
        <f t="shared" si="14"/>
        <v>24397.765060118887</v>
      </c>
      <c r="BJ60" s="20"/>
    </row>
    <row r="61" spans="1:62" x14ac:dyDescent="0.3">
      <c r="A61" s="46"/>
      <c r="B61" s="59"/>
      <c r="C61" s="46"/>
      <c r="D61" s="59"/>
      <c r="E61" s="59"/>
      <c r="F61" s="46"/>
      <c r="G61" s="46"/>
      <c r="H61" s="46"/>
      <c r="I61" s="46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46"/>
      <c r="AC61" s="19">
        <v>57</v>
      </c>
      <c r="AD61" s="19">
        <f t="shared" si="30"/>
        <v>3.5814156250923674</v>
      </c>
      <c r="AE61" s="19">
        <f t="shared" si="24"/>
        <v>15475.864737669908</v>
      </c>
      <c r="AF61" s="19">
        <f t="shared" si="25"/>
        <v>5371.1035421746219</v>
      </c>
      <c r="AG61" s="19">
        <f t="shared" si="26"/>
        <v>-23166.894683631064</v>
      </c>
      <c r="AH61" s="19">
        <f t="shared" si="27"/>
        <v>8509.7724795222348</v>
      </c>
      <c r="AI61" s="19">
        <f t="shared" si="28"/>
        <v>-9524.1352623300918</v>
      </c>
      <c r="AJ61" s="19">
        <f t="shared" si="29"/>
        <v>-17128.896457825376</v>
      </c>
      <c r="AK61">
        <v>57</v>
      </c>
      <c r="AL61">
        <v>28.5</v>
      </c>
      <c r="AN61" s="48">
        <f t="shared" si="16"/>
        <v>9910.9609676595592</v>
      </c>
      <c r="AO61" s="48">
        <f t="shared" si="17"/>
        <v>-203.40622836475819</v>
      </c>
      <c r="AP61" s="20"/>
      <c r="AQ61" s="50">
        <f t="shared" si="18"/>
        <v>-3014.6789272361516</v>
      </c>
      <c r="AR61" s="50">
        <f t="shared" si="19"/>
        <v>-6159.6010722405099</v>
      </c>
      <c r="AS61" s="20"/>
      <c r="AT61" s="52">
        <f t="shared" si="22"/>
        <v>473.50780885046061</v>
      </c>
      <c r="AU61" s="52">
        <f t="shared" si="23"/>
        <v>394.6654055017849</v>
      </c>
      <c r="AV61" s="20"/>
      <c r="AW61" s="20"/>
      <c r="AX61" s="20">
        <f t="shared" si="6"/>
        <v>1251.8731861174419</v>
      </c>
      <c r="AY61" s="20">
        <f t="shared" si="7"/>
        <v>955.85790362660612</v>
      </c>
      <c r="AZ61" s="20"/>
      <c r="BA61" s="20">
        <f t="shared" si="8"/>
        <v>-158.38753792368931</v>
      </c>
      <c r="BB61" s="20">
        <f t="shared" si="9"/>
        <v>54.030105976644755</v>
      </c>
      <c r="BC61" s="20"/>
      <c r="BD61" s="20">
        <f t="shared" si="10"/>
        <v>-619.97783934329209</v>
      </c>
      <c r="BE61" s="20">
        <f t="shared" si="11"/>
        <v>-615.222604101466</v>
      </c>
      <c r="BF61" s="20"/>
      <c r="BG61" s="54">
        <f t="shared" si="12"/>
        <v>12693.745551069545</v>
      </c>
      <c r="BH61" s="54">
        <f t="shared" si="13"/>
        <v>31603.403055207305</v>
      </c>
      <c r="BI61" s="54">
        <f t="shared" si="14"/>
        <v>21006.569073074777</v>
      </c>
      <c r="BJ61" s="20"/>
    </row>
    <row r="62" spans="1:62" x14ac:dyDescent="0.3">
      <c r="A62" s="46"/>
      <c r="B62" s="59"/>
      <c r="C62" s="46"/>
      <c r="D62" s="46"/>
      <c r="E62" s="59"/>
      <c r="F62" s="46"/>
      <c r="G62" s="46"/>
      <c r="H62" s="46"/>
      <c r="I62" s="46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46"/>
      <c r="AC62" s="19">
        <v>58</v>
      </c>
      <c r="AD62" s="19">
        <f t="shared" si="30"/>
        <v>3.6442474781641634</v>
      </c>
      <c r="AE62" s="19">
        <f t="shared" si="24"/>
        <v>15618.46659978069</v>
      </c>
      <c r="AF62" s="19">
        <f t="shared" si="25"/>
        <v>5091.231629491409</v>
      </c>
      <c r="AG62" s="19">
        <f t="shared" si="26"/>
        <v>-23067.073380153517</v>
      </c>
      <c r="AH62" s="19">
        <f t="shared" si="27"/>
        <v>8313.862140643987</v>
      </c>
      <c r="AI62" s="19">
        <f t="shared" si="28"/>
        <v>-9381.5334002193104</v>
      </c>
      <c r="AJ62" s="19">
        <f t="shared" si="29"/>
        <v>-17408.768370508591</v>
      </c>
      <c r="AK62">
        <v>58</v>
      </c>
      <c r="AL62">
        <v>29</v>
      </c>
      <c r="AN62" s="48">
        <f t="shared" si="16"/>
        <v>8462.8099801477911</v>
      </c>
      <c r="AO62" s="48">
        <f t="shared" si="17"/>
        <v>-3233.8735887972898</v>
      </c>
      <c r="AP62" s="20"/>
      <c r="AQ62" s="50">
        <f t="shared" si="18"/>
        <v>-2777.9250228109213</v>
      </c>
      <c r="AR62" s="50">
        <f t="shared" si="19"/>
        <v>-5962.2683694896177</v>
      </c>
      <c r="AS62" s="20"/>
      <c r="AT62" s="52">
        <f t="shared" si="22"/>
        <v>-44.312123668616778</v>
      </c>
      <c r="AU62" s="52">
        <f t="shared" si="23"/>
        <v>219.44847950684004</v>
      </c>
      <c r="AV62" s="20"/>
      <c r="AW62" s="20"/>
      <c r="AX62" s="20">
        <f t="shared" si="6"/>
        <v>929.23556126694939</v>
      </c>
      <c r="AY62" s="20">
        <f t="shared" si="7"/>
        <v>864.5343477650639</v>
      </c>
      <c r="AZ62" s="20"/>
      <c r="BA62" s="20">
        <f t="shared" si="8"/>
        <v>-153.68148117982525</v>
      </c>
      <c r="BB62" s="20">
        <f t="shared" si="9"/>
        <v>71.454691096608897</v>
      </c>
      <c r="BC62" s="20"/>
      <c r="BD62" s="20">
        <f t="shared" si="10"/>
        <v>-819.86620375574091</v>
      </c>
      <c r="BE62" s="20">
        <f t="shared" si="11"/>
        <v>-716.54055935483279</v>
      </c>
      <c r="BF62" s="20"/>
      <c r="BG62" s="54">
        <f t="shared" si="12"/>
        <v>15758.261191338892</v>
      </c>
      <c r="BH62" s="54">
        <f t="shared" si="13"/>
        <v>31388.962425194419</v>
      </c>
      <c r="BI62" s="54">
        <f t="shared" si="14"/>
        <v>17879.848525252357</v>
      </c>
      <c r="BJ62" s="20"/>
    </row>
    <row r="63" spans="1:62" x14ac:dyDescent="0.3">
      <c r="A63" s="46"/>
      <c r="B63" s="59"/>
      <c r="C63" s="46"/>
      <c r="D63" s="59"/>
      <c r="E63" s="59"/>
      <c r="F63" s="46"/>
      <c r="G63" s="46"/>
      <c r="H63" s="46"/>
      <c r="I63" s="46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46"/>
      <c r="AC63" s="19">
        <v>59</v>
      </c>
      <c r="AD63" s="19">
        <f t="shared" si="30"/>
        <v>3.7070793312359593</v>
      </c>
      <c r="AE63" s="19">
        <f t="shared" si="24"/>
        <v>15778.360372489933</v>
      </c>
      <c r="AF63" s="19">
        <f t="shared" si="25"/>
        <v>4820.8660251050023</v>
      </c>
      <c r="AG63" s="19">
        <f t="shared" si="26"/>
        <v>-22955.147739257045</v>
      </c>
      <c r="AH63" s="19">
        <f t="shared" si="27"/>
        <v>8124.6062175735024</v>
      </c>
      <c r="AI63" s="19">
        <f t="shared" si="28"/>
        <v>-9221.6396275100669</v>
      </c>
      <c r="AJ63" s="19">
        <f t="shared" si="29"/>
        <v>-17679.133974894998</v>
      </c>
      <c r="AK63">
        <v>59</v>
      </c>
      <c r="AL63">
        <v>29.5</v>
      </c>
      <c r="AN63" s="48">
        <f t="shared" si="16"/>
        <v>7068.3084532837529</v>
      </c>
      <c r="AO63" s="48">
        <f t="shared" si="17"/>
        <v>-6187.576713603743</v>
      </c>
      <c r="AP63" s="20"/>
      <c r="AQ63" s="50">
        <f t="shared" si="18"/>
        <v>-2800.0810846452296</v>
      </c>
      <c r="AR63" s="50">
        <f t="shared" si="19"/>
        <v>-5852.5441297361976</v>
      </c>
      <c r="AS63" s="20"/>
      <c r="AT63" s="52">
        <f t="shared" si="22"/>
        <v>-532.55195242444131</v>
      </c>
      <c r="AU63" s="52">
        <f t="shared" si="23"/>
        <v>31.929694395013485</v>
      </c>
      <c r="AV63" s="20"/>
      <c r="AW63" s="20"/>
      <c r="AX63" s="20">
        <f t="shared" si="6"/>
        <v>698.61959422329721</v>
      </c>
      <c r="AY63" s="20">
        <f t="shared" si="7"/>
        <v>739.45541115124172</v>
      </c>
      <c r="AZ63" s="20"/>
      <c r="BA63" s="20">
        <f t="shared" si="8"/>
        <v>-144.16870870408277</v>
      </c>
      <c r="BB63" s="20">
        <f t="shared" si="9"/>
        <v>86.216766587991827</v>
      </c>
      <c r="BC63" s="20"/>
      <c r="BD63" s="20">
        <f t="shared" si="10"/>
        <v>-1087.0028379436558</v>
      </c>
      <c r="BE63" s="20">
        <f t="shared" si="11"/>
        <v>-793.74248334422009</v>
      </c>
      <c r="BF63" s="20"/>
      <c r="BG63" s="54">
        <f t="shared" si="12"/>
        <v>18830.252323062479</v>
      </c>
      <c r="BH63" s="54">
        <f t="shared" si="13"/>
        <v>31539.355769909424</v>
      </c>
      <c r="BI63" s="54">
        <f t="shared" si="14"/>
        <v>14943.322023640496</v>
      </c>
      <c r="BJ63" s="20"/>
    </row>
    <row r="64" spans="1:62" x14ac:dyDescent="0.3">
      <c r="A64" s="46"/>
      <c r="B64" s="59"/>
      <c r="C64" s="46"/>
      <c r="D64" s="46"/>
      <c r="E64" s="59"/>
      <c r="F64" s="46"/>
      <c r="G64" s="46"/>
      <c r="H64" s="46"/>
      <c r="I64" s="46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46"/>
      <c r="AC64" s="19">
        <v>60</v>
      </c>
      <c r="AD64" s="19">
        <f t="shared" si="30"/>
        <v>3.7699111843077553</v>
      </c>
      <c r="AE64" s="19">
        <f t="shared" si="24"/>
        <v>15954.915028125273</v>
      </c>
      <c r="AF64" s="19">
        <f t="shared" si="25"/>
        <v>4561.0737385376206</v>
      </c>
      <c r="AG64" s="19">
        <f t="shared" si="26"/>
        <v>-22831.559480312309</v>
      </c>
      <c r="AH64" s="19">
        <f t="shared" si="27"/>
        <v>7942.7516169763348</v>
      </c>
      <c r="AI64" s="19">
        <f t="shared" si="28"/>
        <v>-9045.0849718747268</v>
      </c>
      <c r="AJ64" s="19">
        <f t="shared" si="29"/>
        <v>-17938.92626146238</v>
      </c>
      <c r="AK64">
        <v>60</v>
      </c>
      <c r="AL64">
        <v>30</v>
      </c>
      <c r="AN64" s="48">
        <f t="shared" si="16"/>
        <v>5601.6989169080825</v>
      </c>
      <c r="AO64" s="48">
        <f t="shared" si="17"/>
        <v>-9109.8575666724646</v>
      </c>
      <c r="AP64" s="20"/>
      <c r="AQ64" s="50">
        <f t="shared" si="18"/>
        <v>-3066.3570608574501</v>
      </c>
      <c r="AR64" s="50">
        <f t="shared" si="19"/>
        <v>-5836.5792825386907</v>
      </c>
      <c r="AS64" s="20"/>
      <c r="AT64" s="52">
        <f t="shared" si="22"/>
        <v>-1025.3452898656583</v>
      </c>
      <c r="AU64" s="52">
        <f t="shared" si="23"/>
        <v>-78.428889021317218</v>
      </c>
      <c r="AV64" s="20"/>
      <c r="AW64" s="20"/>
      <c r="AX64" s="20">
        <f t="shared" si="6"/>
        <v>535.28532839769741</v>
      </c>
      <c r="AY64" s="20">
        <f t="shared" si="7"/>
        <v>617.5043160235108</v>
      </c>
      <c r="AZ64" s="20"/>
      <c r="BA64" s="20">
        <f t="shared" si="8"/>
        <v>-131.43436958483665</v>
      </c>
      <c r="BB64" s="20">
        <f t="shared" si="9"/>
        <v>98.106461226790842</v>
      </c>
      <c r="BC64" s="20"/>
      <c r="BD64" s="20">
        <f t="shared" si="10"/>
        <v>-1429.1962486785192</v>
      </c>
      <c r="BE64" s="20">
        <f t="shared" si="11"/>
        <v>-794.0396662716189</v>
      </c>
      <c r="BF64" s="20"/>
      <c r="BG64" s="54">
        <f t="shared" si="12"/>
        <v>21981.775234600875</v>
      </c>
      <c r="BH64" s="54">
        <f t="shared" si="13"/>
        <v>31947.357381331582</v>
      </c>
      <c r="BI64" s="54">
        <f t="shared" si="14"/>
        <v>12128.058286867508</v>
      </c>
      <c r="BJ64" s="20"/>
    </row>
    <row r="65" spans="1:62" x14ac:dyDescent="0.3">
      <c r="A65" s="46"/>
      <c r="B65" s="59"/>
      <c r="C65" s="46"/>
      <c r="D65" s="59"/>
      <c r="E65" s="59"/>
      <c r="F65" s="46"/>
      <c r="G65" s="46"/>
      <c r="H65" s="46"/>
      <c r="I65" s="46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46"/>
      <c r="AC65" s="19">
        <v>61</v>
      </c>
      <c r="AD65" s="19">
        <f t="shared" si="30"/>
        <v>3.8327430373795512</v>
      </c>
      <c r="AE65" s="19">
        <f t="shared" si="24"/>
        <v>16147.433786121064</v>
      </c>
      <c r="AF65" s="19">
        <f t="shared" si="25"/>
        <v>4312.8800512565376</v>
      </c>
      <c r="AG65" s="19">
        <f t="shared" si="26"/>
        <v>-22696.796349715256</v>
      </c>
      <c r="AH65" s="19">
        <f t="shared" si="27"/>
        <v>7769.0160358795765</v>
      </c>
      <c r="AI65" s="19">
        <f t="shared" si="28"/>
        <v>-8852.5662138789357</v>
      </c>
      <c r="AJ65" s="19">
        <f t="shared" si="29"/>
        <v>-18187.119948743461</v>
      </c>
      <c r="AK65">
        <v>61</v>
      </c>
      <c r="AL65">
        <v>30.5</v>
      </c>
      <c r="AN65" s="48">
        <f t="shared" si="16"/>
        <v>3940.3522252461503</v>
      </c>
      <c r="AO65" s="48">
        <f t="shared" si="17"/>
        <v>-12037.950819069474</v>
      </c>
      <c r="AP65" s="20"/>
      <c r="AQ65" s="50">
        <f t="shared" si="18"/>
        <v>-3579.029705790279</v>
      </c>
      <c r="AR65" s="50">
        <f t="shared" si="19"/>
        <v>-5875.7937270493494</v>
      </c>
      <c r="AS65" s="20"/>
      <c r="AT65" s="52">
        <f t="shared" si="22"/>
        <v>-1504.4383474840474</v>
      </c>
      <c r="AU65" s="52">
        <f t="shared" si="23"/>
        <v>17.600541706146146</v>
      </c>
      <c r="AV65" s="20"/>
      <c r="AW65" s="20"/>
      <c r="AX65" s="20">
        <f t="shared" si="6"/>
        <v>418.02350149936029</v>
      </c>
      <c r="AY65" s="20">
        <f t="shared" si="7"/>
        <v>508.56175229128894</v>
      </c>
      <c r="AZ65" s="20"/>
      <c r="BA65" s="20">
        <f t="shared" si="8"/>
        <v>-116.60692224682288</v>
      </c>
      <c r="BB65" s="20">
        <f t="shared" si="9"/>
        <v>107.34084417223393</v>
      </c>
      <c r="BC65" s="20"/>
      <c r="BD65" s="20">
        <f t="shared" si="10"/>
        <v>-1805.8549267365847</v>
      </c>
      <c r="BE65" s="20">
        <f t="shared" si="11"/>
        <v>-598.30205475737671</v>
      </c>
      <c r="BF65" s="20"/>
      <c r="BG65" s="54">
        <f t="shared" si="12"/>
        <v>25291.180455991649</v>
      </c>
      <c r="BH65" s="54">
        <f t="shared" si="13"/>
        <v>32539.387532228899</v>
      </c>
      <c r="BI65" s="54">
        <f t="shared" si="14"/>
        <v>9418.2606282537636</v>
      </c>
      <c r="BJ65" s="20"/>
    </row>
    <row r="66" spans="1:62" x14ac:dyDescent="0.3">
      <c r="A66" s="46"/>
      <c r="B66" s="59"/>
      <c r="C66" s="46"/>
      <c r="D66" s="46"/>
      <c r="E66" s="59"/>
      <c r="F66" s="46"/>
      <c r="G66" s="46"/>
      <c r="H66" s="46"/>
      <c r="I66" s="46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46"/>
      <c r="AC66" s="19">
        <v>62</v>
      </c>
      <c r="AD66" s="19">
        <f t="shared" si="30"/>
        <v>3.8955748904513472</v>
      </c>
      <c r="AE66" s="19">
        <f t="shared" si="24"/>
        <v>16355.156862892954</v>
      </c>
      <c r="AF66" s="19">
        <f t="shared" si="25"/>
        <v>4077.2644703565438</v>
      </c>
      <c r="AG66" s="19">
        <f t="shared" si="26"/>
        <v>-22551.390195974931</v>
      </c>
      <c r="AH66" s="19">
        <f t="shared" si="27"/>
        <v>7604.0851292495809</v>
      </c>
      <c r="AI66" s="19">
        <f t="shared" si="28"/>
        <v>-8644.8431371070455</v>
      </c>
      <c r="AJ66" s="19">
        <f t="shared" si="29"/>
        <v>-18422.735529643454</v>
      </c>
      <c r="AK66">
        <v>62</v>
      </c>
      <c r="AL66">
        <v>31</v>
      </c>
      <c r="AN66" s="48">
        <f t="shared" si="16"/>
        <v>1962.7825789155049</v>
      </c>
      <c r="AO66" s="48">
        <f t="shared" si="17"/>
        <v>-14973.64761488088</v>
      </c>
      <c r="AP66" s="20"/>
      <c r="AQ66" s="50">
        <f t="shared" si="18"/>
        <v>-4331.2488795323025</v>
      </c>
      <c r="AR66" s="50">
        <f t="shared" si="19"/>
        <v>-5866.9934561962764</v>
      </c>
      <c r="AS66" s="20"/>
      <c r="AT66" s="52">
        <f t="shared" si="22"/>
        <v>-1782.6982363465954</v>
      </c>
      <c r="AU66" s="52">
        <f t="shared" si="23"/>
        <v>521.2613115361014</v>
      </c>
      <c r="AV66" s="20"/>
      <c r="AW66" s="20"/>
      <c r="AX66" s="20">
        <f t="shared" si="6"/>
        <v>332.78165281799573</v>
      </c>
      <c r="AY66" s="20">
        <f t="shared" si="7"/>
        <v>414.63255797908982</v>
      </c>
      <c r="AZ66" s="20"/>
      <c r="BA66" s="20">
        <f t="shared" si="8"/>
        <v>-100.48024373159446</v>
      </c>
      <c r="BB66" s="20">
        <f t="shared" si="9"/>
        <v>114.25502165737383</v>
      </c>
      <c r="BC66" s="20"/>
      <c r="BD66" s="20">
        <f t="shared" si="10"/>
        <v>-2014.9996454329967</v>
      </c>
      <c r="BE66" s="20">
        <f t="shared" si="11"/>
        <v>-7.6262681003622301</v>
      </c>
      <c r="BF66" s="20"/>
      <c r="BG66" s="54">
        <f t="shared" si="12"/>
        <v>28816.766810544777</v>
      </c>
      <c r="BH66" s="54">
        <f t="shared" si="13"/>
        <v>33257.283319612259</v>
      </c>
      <c r="BI66" s="54">
        <f t="shared" si="14"/>
        <v>6962.8324473198918</v>
      </c>
      <c r="BJ66" s="20"/>
    </row>
    <row r="67" spans="1:62" x14ac:dyDescent="0.3">
      <c r="A67" s="46"/>
      <c r="B67" s="59"/>
      <c r="C67" s="46"/>
      <c r="D67" s="59"/>
      <c r="E67" s="59"/>
      <c r="F67" s="46"/>
      <c r="G67" s="46"/>
      <c r="H67" s="46"/>
      <c r="I67" s="46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46"/>
      <c r="AC67" s="19">
        <v>63</v>
      </c>
      <c r="AD67" s="19">
        <f t="shared" si="30"/>
        <v>3.9584067435231431</v>
      </c>
      <c r="AE67" s="19">
        <f t="shared" si="24"/>
        <v>16577.264470356571</v>
      </c>
      <c r="AF67" s="19">
        <f t="shared" si="25"/>
        <v>3855.1568628929299</v>
      </c>
      <c r="AG67" s="19">
        <f t="shared" si="26"/>
        <v>-22395.914870750399</v>
      </c>
      <c r="AH67" s="19">
        <f t="shared" si="27"/>
        <v>7448.6098040250508</v>
      </c>
      <c r="AI67" s="19">
        <f t="shared" si="28"/>
        <v>-8422.7355296434289</v>
      </c>
      <c r="AJ67" s="19">
        <f t="shared" si="29"/>
        <v>-18644.843137107069</v>
      </c>
      <c r="AK67">
        <v>63</v>
      </c>
      <c r="AL67">
        <v>31.5</v>
      </c>
      <c r="AN67" s="48">
        <f t="shared" si="16"/>
        <v>-425.67914039397073</v>
      </c>
      <c r="AO67" s="48">
        <f t="shared" si="17"/>
        <v>-17841.986679037003</v>
      </c>
      <c r="AP67" s="20"/>
      <c r="AQ67" s="50">
        <f t="shared" si="18"/>
        <v>-5222.5979977056004</v>
      </c>
      <c r="AR67" s="50">
        <f t="shared" si="19"/>
        <v>-5606.3628004282255</v>
      </c>
      <c r="AS67" s="20"/>
      <c r="AT67" s="52">
        <f t="shared" si="22"/>
        <v>-1447.5829892571755</v>
      </c>
      <c r="AU67" s="52">
        <f t="shared" si="23"/>
        <v>1470.915235464297</v>
      </c>
      <c r="AV67" s="20"/>
      <c r="AW67" s="20"/>
      <c r="AX67" s="20">
        <f t="shared" si="6"/>
        <v>270.9014499480723</v>
      </c>
      <c r="AY67" s="20">
        <f t="shared" si="7"/>
        <v>336.10539403506175</v>
      </c>
      <c r="AZ67" s="20"/>
      <c r="BA67" s="20">
        <f t="shared" si="8"/>
        <v>-83.799285755930526</v>
      </c>
      <c r="BB67" s="20">
        <f t="shared" si="9"/>
        <v>119.19384659439939</v>
      </c>
      <c r="BC67" s="20"/>
      <c r="BD67" s="20">
        <f t="shared" si="10"/>
        <v>-1634.6851534493173</v>
      </c>
      <c r="BE67" s="20">
        <f t="shared" si="11"/>
        <v>1015.6159948348359</v>
      </c>
      <c r="BF67" s="20"/>
      <c r="BG67" s="54">
        <f t="shared" si="12"/>
        <v>32548.804235898042</v>
      </c>
      <c r="BH67" s="54">
        <f t="shared" si="13"/>
        <v>34034.251267663894</v>
      </c>
      <c r="BI67" s="54">
        <f t="shared" si="14"/>
        <v>5385.2854715837129</v>
      </c>
      <c r="BJ67" s="20"/>
    </row>
    <row r="68" spans="1:62" x14ac:dyDescent="0.3">
      <c r="A68" s="46"/>
      <c r="B68" s="59"/>
      <c r="C68" s="46"/>
      <c r="D68" s="46"/>
      <c r="E68" s="59"/>
      <c r="F68" s="46"/>
      <c r="G68" s="46"/>
      <c r="H68" s="46"/>
      <c r="I68" s="46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46"/>
      <c r="AC68" s="19">
        <v>64</v>
      </c>
      <c r="AD68" s="19">
        <f t="shared" si="30"/>
        <v>4.0212385965949391</v>
      </c>
      <c r="AE68" s="19">
        <f t="shared" ref="AE68:AE99" si="31">COS(AD68)*r_1+q_1x</f>
        <v>16812.880051256565</v>
      </c>
      <c r="AF68" s="19">
        <f t="shared" ref="AF68:AF99" si="32">SIN(AD68)*r_1+q_1y</f>
        <v>3647.433786121042</v>
      </c>
      <c r="AG68" s="19">
        <f t="shared" ref="AG68:AG99" si="33">COS(AD68)*r_2+q_2x</f>
        <v>-22230.983964120405</v>
      </c>
      <c r="AH68" s="19">
        <f t="shared" ref="AH68:AH99" si="34">SIN(AD68)*r_2+q_2y</f>
        <v>7303.2036502847295</v>
      </c>
      <c r="AI68" s="19">
        <f t="shared" ref="AI68:AI99" si="35">COS(AD68)*r_3+q_3x</f>
        <v>-8187.1199487434342</v>
      </c>
      <c r="AJ68" s="19">
        <f t="shared" ref="AJ68:AJ99" si="36">SIN(AD68)*r_3+q_3y</f>
        <v>-18852.566213878959</v>
      </c>
      <c r="AK68">
        <v>64</v>
      </c>
      <c r="AL68">
        <v>32</v>
      </c>
      <c r="AN68" s="48">
        <f t="shared" si="16"/>
        <v>-3217.9260129039176</v>
      </c>
      <c r="AO68" s="48">
        <f t="shared" si="17"/>
        <v>-20461.303674818082</v>
      </c>
      <c r="AP68" s="20"/>
      <c r="AQ68" s="50">
        <f t="shared" si="18"/>
        <v>-5946.3894923341886</v>
      </c>
      <c r="AR68" s="50">
        <f t="shared" si="19"/>
        <v>-4870.9051826960767</v>
      </c>
      <c r="AS68" s="20"/>
      <c r="AT68" s="52">
        <f t="shared" si="22"/>
        <v>-448.8629842360059</v>
      </c>
      <c r="AU68" s="52">
        <f t="shared" si="23"/>
        <v>2260.1470438328251</v>
      </c>
      <c r="AV68" s="20"/>
      <c r="AW68" s="20"/>
      <c r="AX68" s="20">
        <f t="shared" ref="AX68:AX131" si="37">Masse_1*(q_1x-AN68)/($BG68^2+Aarseth_1^2)^(3/2)</f>
        <v>226.97276684530652</v>
      </c>
      <c r="AY68" s="20">
        <f t="shared" ref="AY68:AY131" si="38">Masse_1*(q_1y-AO68)/($BG68^2+Aarseth_1^2)^(3/2)</f>
        <v>273.34286689293879</v>
      </c>
      <c r="AZ68" s="20"/>
      <c r="BA68" s="20">
        <f t="shared" ref="BA68:BA131" si="39">Masse_2*(q_2x-AN68)/($BH68^2+Aarseth_2^2)^(3/2)</f>
        <v>-67.506177626500318</v>
      </c>
      <c r="BB68" s="20">
        <f t="shared" ref="BB68:BB131" si="40">Masse_2*(q_2y-AO68)/($BH68^2+Aarseth_2^2)^(3/2)</f>
        <v>122.53111136252693</v>
      </c>
      <c r="BC68" s="20"/>
      <c r="BD68" s="20">
        <f t="shared" ref="BD68:BD131" si="41">Masse_3*(q_3x-AN68)/($BI68^2+Aarseth_3^2)^(3/2)</f>
        <v>-608.32957345481213</v>
      </c>
      <c r="BE68" s="20">
        <f t="shared" ref="BE68:BE131" si="42">Masse_3*(q_3y-AO68)/($BI68^2+Aarseth_3^2)^(3/2)</f>
        <v>1864.2730655773596</v>
      </c>
      <c r="BF68" s="20"/>
      <c r="BG68" s="54">
        <f t="shared" ref="BG68:BG131" si="43">SQRT((q_1x-AN68)^2+(q_1y-AO68)^2)</f>
        <v>36344.278663031349</v>
      </c>
      <c r="BH68" s="54">
        <f t="shared" ref="BH68:BH131" si="44">SQRT((q_2x-AN68)^2+(q_2y-AO68)^2)</f>
        <v>34778.283869073421</v>
      </c>
      <c r="BI68" s="54">
        <f t="shared" ref="BI68:BI131" si="45">SQRT((q_3x-AN68)^2+(q_3y-AO68)^2)</f>
        <v>5744.7041285053156</v>
      </c>
      <c r="BJ68" s="20"/>
    </row>
    <row r="69" spans="1:62" x14ac:dyDescent="0.3">
      <c r="A69" s="46"/>
      <c r="B69" s="59"/>
      <c r="C69" s="46"/>
      <c r="D69" s="59"/>
      <c r="E69" s="59"/>
      <c r="F69" s="46"/>
      <c r="G69" s="46"/>
      <c r="H69" s="46"/>
      <c r="I69" s="46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46"/>
      <c r="AC69" s="19">
        <v>65</v>
      </c>
      <c r="AD69" s="19">
        <f t="shared" ref="AD69:AD105" si="46">AD68+$AC$1</f>
        <v>4.0840704496667346</v>
      </c>
      <c r="AE69" s="19">
        <f t="shared" si="31"/>
        <v>17061.073738537649</v>
      </c>
      <c r="AF69" s="19">
        <f t="shared" si="32"/>
        <v>3454.9150281252528</v>
      </c>
      <c r="AG69" s="19">
        <f t="shared" si="33"/>
        <v>-22057.248383023645</v>
      </c>
      <c r="AH69" s="19">
        <f t="shared" si="34"/>
        <v>7168.4405196876769</v>
      </c>
      <c r="AI69" s="19">
        <f t="shared" si="35"/>
        <v>-7938.9262614623512</v>
      </c>
      <c r="AJ69" s="19">
        <f t="shared" si="36"/>
        <v>-19045.084971874749</v>
      </c>
      <c r="AK69">
        <v>65</v>
      </c>
      <c r="AL69">
        <v>32.5</v>
      </c>
      <c r="AN69" s="48">
        <f t="shared" ref="AN69:AN132" si="47">AN68+(AQ68*bt)+(0.5*AT68)*bt^2</f>
        <v>-6247.2286321005122</v>
      </c>
      <c r="AO69" s="48">
        <f t="shared" ref="AO69:AO132" si="48">AO68+(AR68*bt)+(0.5*AU68)*bt^2</f>
        <v>-22614.23788568702</v>
      </c>
      <c r="AP69" s="20"/>
      <c r="AQ69" s="50">
        <f t="shared" ref="AQ69:AQ132" si="49">AQ68+(AT68*bt)</f>
        <v>-6170.8209844521916</v>
      </c>
      <c r="AR69" s="50">
        <f t="shared" ref="AR69:AR132" si="50">AR68+(AU68*bt)</f>
        <v>-3740.8316607796642</v>
      </c>
      <c r="AS69" s="20"/>
      <c r="AT69" s="52">
        <f t="shared" si="22"/>
        <v>468.31144157514001</v>
      </c>
      <c r="AU69" s="52">
        <f t="shared" si="23"/>
        <v>2329.0712400284965</v>
      </c>
      <c r="AV69" s="20"/>
      <c r="AW69" s="20"/>
      <c r="AX69" s="20">
        <f t="shared" si="37"/>
        <v>196.80047766972183</v>
      </c>
      <c r="AY69" s="20">
        <f t="shared" si="38"/>
        <v>225.79512997858751</v>
      </c>
      <c r="AZ69" s="20"/>
      <c r="BA69" s="20">
        <f t="shared" si="39"/>
        <v>-52.583917381693823</v>
      </c>
      <c r="BB69" s="20">
        <f t="shared" si="40"/>
        <v>124.70100349743622</v>
      </c>
      <c r="BC69" s="20"/>
      <c r="BD69" s="20">
        <f t="shared" si="41"/>
        <v>324.094881287112</v>
      </c>
      <c r="BE69" s="20">
        <f t="shared" si="42"/>
        <v>1978.5751065524728</v>
      </c>
      <c r="BF69" s="20"/>
      <c r="BG69" s="54">
        <f t="shared" si="43"/>
        <v>39947.269422346057</v>
      </c>
      <c r="BH69" s="54">
        <f t="shared" si="44"/>
        <v>35395.299591356743</v>
      </c>
      <c r="BI69" s="54">
        <f t="shared" si="45"/>
        <v>7715.7111040112732</v>
      </c>
      <c r="BJ69" s="20"/>
    </row>
    <row r="70" spans="1:62" x14ac:dyDescent="0.3">
      <c r="A70" s="46"/>
      <c r="B70" s="59"/>
      <c r="C70" s="46"/>
      <c r="D70" s="46"/>
      <c r="E70" s="59"/>
      <c r="F70" s="46"/>
      <c r="G70" s="46"/>
      <c r="H70" s="46"/>
      <c r="I70" s="46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46"/>
      <c r="AC70" s="19">
        <v>66</v>
      </c>
      <c r="AD70" s="19">
        <f t="shared" si="46"/>
        <v>4.1469023027385301</v>
      </c>
      <c r="AE70" s="19">
        <f t="shared" si="31"/>
        <v>17320.866025105031</v>
      </c>
      <c r="AF70" s="19">
        <f t="shared" si="32"/>
        <v>3278.3603724899167</v>
      </c>
      <c r="AG70" s="19">
        <f t="shared" si="33"/>
        <v>-21875.393782426479</v>
      </c>
      <c r="AH70" s="19">
        <f t="shared" si="34"/>
        <v>7044.8522607429413</v>
      </c>
      <c r="AI70" s="19">
        <f t="shared" si="35"/>
        <v>-7679.1339748949704</v>
      </c>
      <c r="AJ70" s="19">
        <f t="shared" si="36"/>
        <v>-19221.639627510085</v>
      </c>
      <c r="AK70">
        <v>66</v>
      </c>
      <c r="AL70">
        <v>33</v>
      </c>
      <c r="AN70" s="48">
        <f t="shared" si="47"/>
        <v>-9274.1001941297163</v>
      </c>
      <c r="AO70" s="48">
        <f t="shared" si="48"/>
        <v>-24193.519811073293</v>
      </c>
      <c r="AP70" s="20"/>
      <c r="AQ70" s="50">
        <f t="shared" si="49"/>
        <v>-5936.6652636646213</v>
      </c>
      <c r="AR70" s="50">
        <f t="shared" si="50"/>
        <v>-2576.2960407654159</v>
      </c>
      <c r="AS70" s="20"/>
      <c r="AT70" s="52">
        <f t="shared" si="22"/>
        <v>911.83473911863052</v>
      </c>
      <c r="AU70" s="52">
        <f t="shared" si="23"/>
        <v>1984.0960643035505</v>
      </c>
      <c r="AV70" s="20"/>
      <c r="AW70" s="20"/>
      <c r="AX70" s="20">
        <f t="shared" si="37"/>
        <v>176.44753827845344</v>
      </c>
      <c r="AY70" s="20">
        <f t="shared" si="38"/>
        <v>191.03041640762984</v>
      </c>
      <c r="AZ70" s="20"/>
      <c r="BA70" s="20">
        <f t="shared" si="39"/>
        <v>-39.569734243219301</v>
      </c>
      <c r="BB70" s="20">
        <f t="shared" si="40"/>
        <v>126.14591934039063</v>
      </c>
      <c r="BC70" s="20"/>
      <c r="BD70" s="20">
        <f t="shared" si="41"/>
        <v>774.95693508339639</v>
      </c>
      <c r="BE70" s="20">
        <f t="shared" si="42"/>
        <v>1666.9197285555299</v>
      </c>
      <c r="BF70" s="20"/>
      <c r="BG70" s="54">
        <f t="shared" si="43"/>
        <v>43144.549368267144</v>
      </c>
      <c r="BH70" s="54">
        <f t="shared" si="44"/>
        <v>35836.318501149493</v>
      </c>
      <c r="BI70" s="54">
        <f t="shared" si="45"/>
        <v>10138.478139546231</v>
      </c>
      <c r="BJ70" s="20"/>
    </row>
    <row r="71" spans="1:62" x14ac:dyDescent="0.3">
      <c r="A71" s="46"/>
      <c r="B71" s="59"/>
      <c r="C71" s="46"/>
      <c r="D71" s="59"/>
      <c r="E71" s="59"/>
      <c r="F71" s="46"/>
      <c r="G71" s="46"/>
      <c r="H71" s="46"/>
      <c r="I71" s="46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46"/>
      <c r="AC71" s="19">
        <v>67</v>
      </c>
      <c r="AD71" s="19">
        <f t="shared" si="46"/>
        <v>4.2097341558103256</v>
      </c>
      <c r="AE71" s="19">
        <f t="shared" si="31"/>
        <v>17591.231629491434</v>
      </c>
      <c r="AF71" s="19">
        <f t="shared" si="32"/>
        <v>3118.4665997806751</v>
      </c>
      <c r="AG71" s="19">
        <f t="shared" si="33"/>
        <v>-21686.137859355997</v>
      </c>
      <c r="AH71" s="19">
        <f t="shared" si="34"/>
        <v>6932.9266198464729</v>
      </c>
      <c r="AI71" s="19">
        <f t="shared" si="35"/>
        <v>-7408.7683705085647</v>
      </c>
      <c r="AJ71" s="19">
        <f t="shared" si="36"/>
        <v>-19381.533400219327</v>
      </c>
      <c r="AK71">
        <v>67</v>
      </c>
      <c r="AL71">
        <v>33.5</v>
      </c>
      <c r="AN71" s="48">
        <f t="shared" si="47"/>
        <v>-12128.453483572199</v>
      </c>
      <c r="AO71" s="48">
        <f t="shared" si="48"/>
        <v>-25233.655823418056</v>
      </c>
      <c r="AP71" s="20"/>
      <c r="AQ71" s="50">
        <f t="shared" si="49"/>
        <v>-5480.7478941053059</v>
      </c>
      <c r="AR71" s="50">
        <f t="shared" si="50"/>
        <v>-1584.2480086136406</v>
      </c>
      <c r="AS71" s="20"/>
      <c r="AT71" s="52">
        <f t="shared" si="22"/>
        <v>1047.8762818831913</v>
      </c>
      <c r="AU71" s="52">
        <f t="shared" si="23"/>
        <v>1604.6095477424642</v>
      </c>
      <c r="AV71" s="20"/>
      <c r="AW71" s="20"/>
      <c r="AX71" s="20">
        <f t="shared" si="37"/>
        <v>162.61138261507404</v>
      </c>
      <c r="AY71" s="20">
        <f t="shared" si="38"/>
        <v>165.67448645524277</v>
      </c>
      <c r="AZ71" s="20"/>
      <c r="BA71" s="20">
        <f t="shared" si="39"/>
        <v>-28.425536793626343</v>
      </c>
      <c r="BB71" s="20">
        <f t="shared" si="40"/>
        <v>127.23491856299739</v>
      </c>
      <c r="BC71" s="20"/>
      <c r="BD71" s="20">
        <f t="shared" si="41"/>
        <v>913.69043606174353</v>
      </c>
      <c r="BE71" s="20">
        <f t="shared" si="42"/>
        <v>1311.700142724224</v>
      </c>
      <c r="BF71" s="20"/>
      <c r="BG71" s="54">
        <f t="shared" si="43"/>
        <v>45866.433770373442</v>
      </c>
      <c r="BH71" s="54">
        <f t="shared" si="44"/>
        <v>36102.240197020568</v>
      </c>
      <c r="BI71" s="54">
        <f t="shared" si="45"/>
        <v>12471.670320355286</v>
      </c>
      <c r="BJ71" s="20"/>
    </row>
    <row r="72" spans="1:62" x14ac:dyDescent="0.3">
      <c r="A72" s="46"/>
      <c r="B72" s="59"/>
      <c r="C72" s="46"/>
      <c r="D72" s="46"/>
      <c r="E72" s="59"/>
      <c r="F72" s="46"/>
      <c r="G72" s="46"/>
      <c r="H72" s="46"/>
      <c r="I72" s="46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46"/>
      <c r="AC72" s="19">
        <v>68</v>
      </c>
      <c r="AD72" s="19">
        <f t="shared" si="46"/>
        <v>4.2725660088821211</v>
      </c>
      <c r="AE72" s="19">
        <f t="shared" si="31"/>
        <v>17871.103542174649</v>
      </c>
      <c r="AF72" s="19">
        <f t="shared" si="32"/>
        <v>2975.8647376698973</v>
      </c>
      <c r="AG72" s="19">
        <f t="shared" si="33"/>
        <v>-21490.227520477747</v>
      </c>
      <c r="AH72" s="19">
        <f t="shared" si="34"/>
        <v>6833.1053163689285</v>
      </c>
      <c r="AI72" s="19">
        <f t="shared" si="35"/>
        <v>-7128.8964578253526</v>
      </c>
      <c r="AJ72" s="19">
        <f t="shared" si="36"/>
        <v>-19524.135262330103</v>
      </c>
      <c r="AK72">
        <v>68</v>
      </c>
      <c r="AL72">
        <v>34</v>
      </c>
      <c r="AN72" s="48">
        <f t="shared" si="47"/>
        <v>-14737.842895389453</v>
      </c>
      <c r="AO72" s="48">
        <f t="shared" si="48"/>
        <v>-25825.203634257068</v>
      </c>
      <c r="AP72" s="20"/>
      <c r="AQ72" s="50">
        <f t="shared" si="49"/>
        <v>-4956.8097531637104</v>
      </c>
      <c r="AR72" s="50">
        <f t="shared" si="50"/>
        <v>-781.94323474240855</v>
      </c>
      <c r="AS72" s="20"/>
      <c r="AT72" s="52">
        <f t="shared" si="22"/>
        <v>1059.3410949880438</v>
      </c>
      <c r="AU72" s="52">
        <f t="shared" si="23"/>
        <v>1303.5269042653208</v>
      </c>
      <c r="AV72" s="20"/>
      <c r="AW72" s="20"/>
      <c r="AX72" s="20">
        <f t="shared" si="37"/>
        <v>153.04148256873899</v>
      </c>
      <c r="AY72" s="20">
        <f t="shared" si="38"/>
        <v>146.81794106935581</v>
      </c>
      <c r="AZ72" s="20"/>
      <c r="BA72" s="20">
        <f t="shared" si="39"/>
        <v>-18.840103411330588</v>
      </c>
      <c r="BB72" s="20">
        <f t="shared" si="40"/>
        <v>128.26499243247747</v>
      </c>
      <c r="BC72" s="20"/>
      <c r="BD72" s="20">
        <f t="shared" si="41"/>
        <v>925.1397158306354</v>
      </c>
      <c r="BE72" s="20">
        <f t="shared" si="42"/>
        <v>1028.4439707634876</v>
      </c>
      <c r="BF72" s="20"/>
      <c r="BG72" s="54">
        <f t="shared" si="43"/>
        <v>48138.206513012716</v>
      </c>
      <c r="BH72" s="54">
        <f t="shared" si="44"/>
        <v>36209.605256472889</v>
      </c>
      <c r="BI72" s="54">
        <f t="shared" si="45"/>
        <v>14560.584396871551</v>
      </c>
      <c r="BJ72" s="20"/>
    </row>
    <row r="73" spans="1:62" x14ac:dyDescent="0.3">
      <c r="A73" s="46"/>
      <c r="B73" s="59"/>
      <c r="C73" s="46"/>
      <c r="D73" s="59"/>
      <c r="E73" s="59"/>
      <c r="F73" s="46"/>
      <c r="G73" s="46"/>
      <c r="H73" s="46"/>
      <c r="I73" s="46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46"/>
      <c r="AC73" s="19">
        <v>69</v>
      </c>
      <c r="AD73" s="19">
        <f t="shared" si="46"/>
        <v>4.3353978619539166</v>
      </c>
      <c r="AE73" s="19">
        <f t="shared" si="31"/>
        <v>18159.37723657662</v>
      </c>
      <c r="AF73" s="19">
        <f t="shared" si="32"/>
        <v>2851.1175705587393</v>
      </c>
      <c r="AG73" s="19">
        <f t="shared" si="33"/>
        <v>-21288.435934396366</v>
      </c>
      <c r="AH73" s="19">
        <f t="shared" si="34"/>
        <v>6745.7822993911177</v>
      </c>
      <c r="AI73" s="19">
        <f t="shared" si="35"/>
        <v>-6840.622763423381</v>
      </c>
      <c r="AJ73" s="19">
        <f t="shared" si="36"/>
        <v>-19648.882429441263</v>
      </c>
      <c r="AK73">
        <v>69</v>
      </c>
      <c r="AL73">
        <v>34.5</v>
      </c>
      <c r="AN73" s="48">
        <f t="shared" si="47"/>
        <v>-17083.8301350978</v>
      </c>
      <c r="AO73" s="48">
        <f t="shared" si="48"/>
        <v>-26053.234388595109</v>
      </c>
      <c r="AP73" s="20"/>
      <c r="AQ73" s="50">
        <f t="shared" si="49"/>
        <v>-4427.1392056696886</v>
      </c>
      <c r="AR73" s="50">
        <f t="shared" si="50"/>
        <v>-130.17978260974814</v>
      </c>
      <c r="AS73" s="20"/>
      <c r="AT73" s="52">
        <f t="shared" si="22"/>
        <v>1031.4518037136295</v>
      </c>
      <c r="AU73" s="52">
        <f t="shared" si="23"/>
        <v>1081.0906081467306</v>
      </c>
      <c r="AV73" s="20"/>
      <c r="AW73" s="20"/>
      <c r="AX73" s="20">
        <f t="shared" si="37"/>
        <v>146.37441236190716</v>
      </c>
      <c r="AY73" s="20">
        <f t="shared" si="38"/>
        <v>132.43871920941729</v>
      </c>
      <c r="AZ73" s="20"/>
      <c r="BA73" s="20">
        <f t="shared" si="39"/>
        <v>-10.473038629230137</v>
      </c>
      <c r="BB73" s="20">
        <f t="shared" si="40"/>
        <v>129.48042602213371</v>
      </c>
      <c r="BC73" s="20"/>
      <c r="BD73" s="20">
        <f t="shared" si="41"/>
        <v>895.55042998095234</v>
      </c>
      <c r="BE73" s="20">
        <f t="shared" si="42"/>
        <v>819.17146291517963</v>
      </c>
      <c r="BF73" s="20"/>
      <c r="BG73" s="54">
        <f t="shared" si="43"/>
        <v>50010.298893575804</v>
      </c>
      <c r="BH73" s="54">
        <f t="shared" si="44"/>
        <v>36170.97948023997</v>
      </c>
      <c r="BI73" s="54">
        <f t="shared" si="45"/>
        <v>16376.597362795459</v>
      </c>
      <c r="BJ73" s="20"/>
    </row>
    <row r="74" spans="1:62" x14ac:dyDescent="0.3">
      <c r="A74" s="46"/>
      <c r="B74" s="59"/>
      <c r="C74" s="46"/>
      <c r="D74" s="46"/>
      <c r="E74" s="59"/>
      <c r="F74" s="46"/>
      <c r="G74" s="46"/>
      <c r="H74" s="46"/>
      <c r="I74" s="46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46"/>
      <c r="AC74" s="19">
        <v>70</v>
      </c>
      <c r="AD74" s="19">
        <f t="shared" si="46"/>
        <v>4.3982297150257121</v>
      </c>
      <c r="AE74" s="19">
        <f t="shared" si="31"/>
        <v>18454.91502812527</v>
      </c>
      <c r="AF74" s="19">
        <f t="shared" si="32"/>
        <v>2744.7174185242293</v>
      </c>
      <c r="AG74" s="19">
        <f t="shared" si="33"/>
        <v>-21081.559480312309</v>
      </c>
      <c r="AH74" s="19">
        <f t="shared" si="34"/>
        <v>6671.3021929669612</v>
      </c>
      <c r="AI74" s="19">
        <f t="shared" si="35"/>
        <v>-6545.0849718747295</v>
      </c>
      <c r="AJ74" s="19">
        <f t="shared" si="36"/>
        <v>-19755.282581475771</v>
      </c>
      <c r="AK74">
        <v>70</v>
      </c>
      <c r="AL74">
        <v>35</v>
      </c>
      <c r="AN74" s="48">
        <f t="shared" si="47"/>
        <v>-19168.468262468439</v>
      </c>
      <c r="AO74" s="48">
        <f t="shared" si="48"/>
        <v>-25983.187953881639</v>
      </c>
      <c r="AP74" s="20"/>
      <c r="AQ74" s="50">
        <f t="shared" si="49"/>
        <v>-3911.4133038128739</v>
      </c>
      <c r="AR74" s="50">
        <f t="shared" si="50"/>
        <v>410.36552146361714</v>
      </c>
      <c r="AS74" s="20"/>
      <c r="AT74" s="52">
        <f t="shared" si="22"/>
        <v>996.43669808537697</v>
      </c>
      <c r="AU74" s="52">
        <f t="shared" si="23"/>
        <v>917.15522905393868</v>
      </c>
      <c r="AV74" s="20"/>
      <c r="AW74" s="20"/>
      <c r="AX74" s="20">
        <f t="shared" si="37"/>
        <v>141.80239919341199</v>
      </c>
      <c r="AY74" s="20">
        <f t="shared" si="38"/>
        <v>121.21986370996129</v>
      </c>
      <c r="AZ74" s="20"/>
      <c r="BA74" s="20">
        <f t="shared" si="39"/>
        <v>-3.0292801719617626</v>
      </c>
      <c r="BB74" s="20">
        <f t="shared" si="40"/>
        <v>131.08718870580665</v>
      </c>
      <c r="BC74" s="20"/>
      <c r="BD74" s="20">
        <f t="shared" si="41"/>
        <v>857.6635790639267</v>
      </c>
      <c r="BE74" s="20">
        <f t="shared" si="42"/>
        <v>664.84817663817068</v>
      </c>
      <c r="BF74" s="20"/>
      <c r="BG74" s="54">
        <f t="shared" si="43"/>
        <v>51529.533100766224</v>
      </c>
      <c r="BH74" s="54">
        <f t="shared" si="44"/>
        <v>35992.794561618794</v>
      </c>
      <c r="BI74" s="54">
        <f t="shared" si="45"/>
        <v>17926.960437700145</v>
      </c>
      <c r="BJ74" s="20"/>
    </row>
    <row r="75" spans="1:62" x14ac:dyDescent="0.3">
      <c r="A75" s="46"/>
      <c r="B75" s="59"/>
      <c r="C75" s="46"/>
      <c r="D75" s="59"/>
      <c r="E75" s="59"/>
      <c r="F75" s="46"/>
      <c r="G75" s="46"/>
      <c r="H75" s="46"/>
      <c r="I75" s="46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46"/>
      <c r="AC75" s="19">
        <v>71</v>
      </c>
      <c r="AD75" s="19">
        <f t="shared" si="46"/>
        <v>4.4610615680975076</v>
      </c>
      <c r="AE75" s="19">
        <f t="shared" si="31"/>
        <v>18756.550564175734</v>
      </c>
      <c r="AF75" s="19">
        <f t="shared" si="32"/>
        <v>2657.084194356843</v>
      </c>
      <c r="AG75" s="19">
        <f t="shared" si="33"/>
        <v>-20870.414605076989</v>
      </c>
      <c r="AH75" s="19">
        <f t="shared" si="34"/>
        <v>6609.9589360497903</v>
      </c>
      <c r="AI75" s="19">
        <f t="shared" si="35"/>
        <v>-6243.4494358242682</v>
      </c>
      <c r="AJ75" s="19">
        <f t="shared" si="36"/>
        <v>-19842.915805643155</v>
      </c>
      <c r="AK75">
        <v>71</v>
      </c>
      <c r="AL75">
        <v>35.5</v>
      </c>
      <c r="AN75" s="48">
        <f t="shared" si="47"/>
        <v>-20999.620327114204</v>
      </c>
      <c r="AO75" s="48">
        <f t="shared" si="48"/>
        <v>-25663.36078951809</v>
      </c>
      <c r="AP75" s="20"/>
      <c r="AQ75" s="50">
        <f t="shared" si="49"/>
        <v>-3413.1949547701852</v>
      </c>
      <c r="AR75" s="50">
        <f t="shared" si="50"/>
        <v>868.94313599058648</v>
      </c>
      <c r="AS75" s="20"/>
      <c r="AT75" s="52">
        <f t="shared" si="22"/>
        <v>965.54566368215865</v>
      </c>
      <c r="AU75" s="52">
        <f t="shared" si="23"/>
        <v>794.06241656197676</v>
      </c>
      <c r="AV75" s="20"/>
      <c r="AW75" s="20"/>
      <c r="AX75" s="20">
        <f t="shared" si="37"/>
        <v>138.83977880632537</v>
      </c>
      <c r="AY75" s="20">
        <f t="shared" si="38"/>
        <v>112.30332475654758</v>
      </c>
      <c r="AZ75" s="20"/>
      <c r="BA75" s="20">
        <f t="shared" si="39"/>
        <v>3.7354459996392002</v>
      </c>
      <c r="BB75" s="20">
        <f t="shared" si="40"/>
        <v>133.26915708035119</v>
      </c>
      <c r="BC75" s="20"/>
      <c r="BD75" s="20">
        <f t="shared" si="41"/>
        <v>822.97043887619407</v>
      </c>
      <c r="BE75" s="20">
        <f t="shared" si="42"/>
        <v>548.489934725078</v>
      </c>
      <c r="BF75" s="20"/>
      <c r="BG75" s="54">
        <f t="shared" si="43"/>
        <v>52733.076582191396</v>
      </c>
      <c r="BH75" s="54">
        <f t="shared" si="44"/>
        <v>35677.367386085483</v>
      </c>
      <c r="BI75" s="54">
        <f t="shared" si="45"/>
        <v>19227.457292612507</v>
      </c>
      <c r="BJ75" s="20"/>
    </row>
    <row r="76" spans="1:62" x14ac:dyDescent="0.3">
      <c r="A76" s="46"/>
      <c r="B76" s="59"/>
      <c r="C76" s="46"/>
      <c r="D76" s="46"/>
      <c r="E76" s="59"/>
      <c r="F76" s="46"/>
      <c r="G76" s="46"/>
      <c r="H76" s="46"/>
      <c r="I76" s="46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46"/>
      <c r="AC76" s="19">
        <v>72</v>
      </c>
      <c r="AD76" s="19">
        <f t="shared" si="46"/>
        <v>4.5238934211693032</v>
      </c>
      <c r="AE76" s="19">
        <f t="shared" si="31"/>
        <v>19063.093427071381</v>
      </c>
      <c r="AF76" s="19">
        <f t="shared" si="32"/>
        <v>2588.5637463565563</v>
      </c>
      <c r="AG76" s="19">
        <f t="shared" si="33"/>
        <v>-20655.834601050032</v>
      </c>
      <c r="AH76" s="19">
        <f t="shared" si="34"/>
        <v>6561.9946224495889</v>
      </c>
      <c r="AI76" s="19">
        <f t="shared" si="35"/>
        <v>-5936.9065729286185</v>
      </c>
      <c r="AJ76" s="19">
        <f t="shared" si="36"/>
        <v>-19911.436253643442</v>
      </c>
      <c r="AK76">
        <v>72</v>
      </c>
      <c r="AL76">
        <v>36</v>
      </c>
      <c r="AN76" s="48">
        <f t="shared" si="47"/>
        <v>-22585.524596539028</v>
      </c>
      <c r="AO76" s="48">
        <f t="shared" si="48"/>
        <v>-25129.631419452551</v>
      </c>
      <c r="AP76" s="20"/>
      <c r="AQ76" s="50">
        <f t="shared" si="49"/>
        <v>-2930.4221229291061</v>
      </c>
      <c r="AR76" s="50">
        <f t="shared" si="50"/>
        <v>1265.9743442715749</v>
      </c>
      <c r="AS76" s="20"/>
      <c r="AT76" s="52">
        <f t="shared" si="22"/>
        <v>942.325284870102</v>
      </c>
      <c r="AU76" s="52">
        <f t="shared" si="23"/>
        <v>699.32310202262761</v>
      </c>
      <c r="AV76" s="20"/>
      <c r="AW76" s="20"/>
      <c r="AX76" s="20">
        <f t="shared" si="37"/>
        <v>137.19096612530186</v>
      </c>
      <c r="AY76" s="20">
        <f t="shared" si="38"/>
        <v>105.11765913788953</v>
      </c>
      <c r="AZ76" s="20"/>
      <c r="BA76" s="20">
        <f t="shared" si="39"/>
        <v>10.024668236540641</v>
      </c>
      <c r="BB76" s="20">
        <f t="shared" si="40"/>
        <v>136.20558888643711</v>
      </c>
      <c r="BC76" s="20"/>
      <c r="BD76" s="20">
        <f t="shared" si="41"/>
        <v>795.10965050825951</v>
      </c>
      <c r="BE76" s="20">
        <f t="shared" si="42"/>
        <v>457.99985399830092</v>
      </c>
      <c r="BF76" s="20"/>
      <c r="BG76" s="54">
        <f t="shared" si="43"/>
        <v>53649.042412066927</v>
      </c>
      <c r="BH76" s="54">
        <f t="shared" si="44"/>
        <v>35224.649623607271</v>
      </c>
      <c r="BI76" s="54">
        <f t="shared" si="45"/>
        <v>20294.336846259339</v>
      </c>
      <c r="BJ76" s="20"/>
    </row>
    <row r="77" spans="1:62" x14ac:dyDescent="0.3">
      <c r="A77" s="46"/>
      <c r="B77" s="59"/>
      <c r="C77" s="46"/>
      <c r="D77" s="59"/>
      <c r="E77" s="59"/>
      <c r="F77" s="46"/>
      <c r="G77" s="46"/>
      <c r="H77" s="46"/>
      <c r="I77" s="46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46"/>
      <c r="AC77" s="19">
        <v>73</v>
      </c>
      <c r="AD77" s="19">
        <f t="shared" si="46"/>
        <v>4.5867252742410987</v>
      </c>
      <c r="AE77" s="19">
        <f t="shared" si="31"/>
        <v>19373.333832178483</v>
      </c>
      <c r="AF77" s="19">
        <f t="shared" si="32"/>
        <v>2539.4264934276107</v>
      </c>
      <c r="AG77" s="19">
        <f t="shared" si="33"/>
        <v>-20438.666317475065</v>
      </c>
      <c r="AH77" s="19">
        <f t="shared" si="34"/>
        <v>6527.5985453993271</v>
      </c>
      <c r="AI77" s="19">
        <f t="shared" si="35"/>
        <v>-5626.6661678215187</v>
      </c>
      <c r="AJ77" s="19">
        <f t="shared" si="36"/>
        <v>-19960.573506572389</v>
      </c>
      <c r="AK77">
        <v>73</v>
      </c>
      <c r="AL77">
        <v>36.5</v>
      </c>
      <c r="AN77" s="48">
        <f t="shared" si="47"/>
        <v>-23932.944997394818</v>
      </c>
      <c r="AO77" s="48">
        <f t="shared" si="48"/>
        <v>-24409.228859563933</v>
      </c>
      <c r="AP77" s="20"/>
      <c r="AQ77" s="50">
        <f t="shared" si="49"/>
        <v>-2459.259480494055</v>
      </c>
      <c r="AR77" s="50">
        <f t="shared" si="50"/>
        <v>1615.6358952828887</v>
      </c>
      <c r="AS77" s="20"/>
      <c r="AT77" s="52">
        <f t="shared" si="22"/>
        <v>927.59474687262093</v>
      </c>
      <c r="AU77" s="52">
        <f t="shared" si="23"/>
        <v>624.47019291753247</v>
      </c>
      <c r="AV77" s="20"/>
      <c r="AW77" s="20"/>
      <c r="AX77" s="20">
        <f t="shared" si="37"/>
        <v>136.67901380487717</v>
      </c>
      <c r="AY77" s="20">
        <f t="shared" si="38"/>
        <v>99.272241641391119</v>
      </c>
      <c r="AZ77" s="20"/>
      <c r="BA77" s="20">
        <f t="shared" si="39"/>
        <v>16.012054359425512</v>
      </c>
      <c r="BB77" s="20">
        <f t="shared" si="40"/>
        <v>140.08902828038745</v>
      </c>
      <c r="BC77" s="20"/>
      <c r="BD77" s="20">
        <f t="shared" si="41"/>
        <v>774.90367870831824</v>
      </c>
      <c r="BE77" s="20">
        <f t="shared" si="42"/>
        <v>385.10892299575391</v>
      </c>
      <c r="BF77" s="20"/>
      <c r="BG77" s="54">
        <f t="shared" si="43"/>
        <v>54298.273845087802</v>
      </c>
      <c r="BH77" s="54">
        <f t="shared" si="44"/>
        <v>34633.265613603064</v>
      </c>
      <c r="BI77" s="54">
        <f t="shared" si="45"/>
        <v>21142.137876904224</v>
      </c>
      <c r="BJ77" s="20"/>
    </row>
    <row r="78" spans="1:62" x14ac:dyDescent="0.3">
      <c r="A78" s="46"/>
      <c r="B78" s="59"/>
      <c r="C78" s="46"/>
      <c r="D78" s="46"/>
      <c r="E78" s="59"/>
      <c r="F78" s="46"/>
      <c r="G78" s="46"/>
      <c r="H78" s="46"/>
      <c r="I78" s="46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46"/>
      <c r="AC78" s="19">
        <v>74</v>
      </c>
      <c r="AD78" s="19">
        <f t="shared" si="46"/>
        <v>4.6495571273128942</v>
      </c>
      <c r="AE78" s="19">
        <f t="shared" si="31"/>
        <v>19686.047402353433</v>
      </c>
      <c r="AF78" s="19">
        <f t="shared" si="32"/>
        <v>2509.866357858642</v>
      </c>
      <c r="AG78" s="19">
        <f t="shared" si="33"/>
        <v>-20219.766818352597</v>
      </c>
      <c r="AH78" s="19">
        <f t="shared" si="34"/>
        <v>6506.9064505010501</v>
      </c>
      <c r="AI78" s="19">
        <f t="shared" si="35"/>
        <v>-5313.9525976465657</v>
      </c>
      <c r="AJ78" s="19">
        <f t="shared" si="36"/>
        <v>-19990.133642141358</v>
      </c>
      <c r="AK78">
        <v>74</v>
      </c>
      <c r="AL78">
        <v>37</v>
      </c>
      <c r="AN78" s="48">
        <f t="shared" si="47"/>
        <v>-25046.625394282768</v>
      </c>
      <c r="AO78" s="48">
        <f t="shared" si="48"/>
        <v>-23523.352137807797</v>
      </c>
      <c r="AP78" s="20"/>
      <c r="AQ78" s="50">
        <f t="shared" si="49"/>
        <v>-1995.4621070577446</v>
      </c>
      <c r="AR78" s="50">
        <f t="shared" si="50"/>
        <v>1927.870991741655</v>
      </c>
      <c r="AS78" s="20"/>
      <c r="AT78" s="52">
        <f t="shared" si="22"/>
        <v>921.29080124160066</v>
      </c>
      <c r="AU78" s="52">
        <f t="shared" si="23"/>
        <v>563.72198508135875</v>
      </c>
      <c r="AV78" s="20"/>
      <c r="AW78" s="20"/>
      <c r="AX78" s="20">
        <f t="shared" si="37"/>
        <v>137.2069363325827</v>
      </c>
      <c r="AY78" s="20">
        <f t="shared" si="38"/>
        <v>94.493628864277355</v>
      </c>
      <c r="AZ78" s="20"/>
      <c r="BA78" s="20">
        <f t="shared" si="39"/>
        <v>21.850149161868334</v>
      </c>
      <c r="BB78" s="20">
        <f t="shared" si="40"/>
        <v>145.14456441462116</v>
      </c>
      <c r="BC78" s="20"/>
      <c r="BD78" s="20">
        <f t="shared" si="41"/>
        <v>762.23371574714963</v>
      </c>
      <c r="BE78" s="20">
        <f t="shared" si="42"/>
        <v>324.08379180246021</v>
      </c>
      <c r="BF78" s="20"/>
      <c r="BG78" s="54">
        <f t="shared" si="43"/>
        <v>54695.949002455971</v>
      </c>
      <c r="BH78" s="54">
        <f t="shared" si="44"/>
        <v>33901.085033162031</v>
      </c>
      <c r="BI78" s="54">
        <f t="shared" si="45"/>
        <v>21783.358817312252</v>
      </c>
      <c r="BJ78" s="20"/>
    </row>
    <row r="79" spans="1:62" x14ac:dyDescent="0.3">
      <c r="A79" s="46"/>
      <c r="B79" s="59"/>
      <c r="C79" s="46"/>
      <c r="D79" s="59"/>
      <c r="E79" s="59"/>
      <c r="F79" s="46"/>
      <c r="G79" s="46"/>
      <c r="H79" s="46"/>
      <c r="I79" s="46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46"/>
      <c r="AC79" s="19">
        <v>75</v>
      </c>
      <c r="AD79" s="19">
        <f t="shared" si="46"/>
        <v>4.7123889803846897</v>
      </c>
      <c r="AE79" s="19">
        <f t="shared" si="31"/>
        <v>20000</v>
      </c>
      <c r="AF79" s="19">
        <f t="shared" si="32"/>
        <v>2500</v>
      </c>
      <c r="AG79" s="19">
        <f t="shared" si="33"/>
        <v>-20000</v>
      </c>
      <c r="AH79" s="19">
        <f t="shared" si="34"/>
        <v>6500</v>
      </c>
      <c r="AI79" s="19">
        <f t="shared" si="35"/>
        <v>-5000.0000000000009</v>
      </c>
      <c r="AJ79" s="19">
        <f t="shared" si="36"/>
        <v>-20000</v>
      </c>
      <c r="AK79">
        <v>75</v>
      </c>
      <c r="AL79">
        <v>37.5</v>
      </c>
      <c r="AN79" s="48">
        <f t="shared" si="47"/>
        <v>-25929.19509765644</v>
      </c>
      <c r="AO79" s="48">
        <f t="shared" si="48"/>
        <v>-22488.951393801799</v>
      </c>
      <c r="AP79" s="20"/>
      <c r="AQ79" s="50">
        <f t="shared" si="49"/>
        <v>-1534.8167064369443</v>
      </c>
      <c r="AR79" s="50">
        <f t="shared" si="50"/>
        <v>2209.7319842823345</v>
      </c>
      <c r="AS79" s="20"/>
      <c r="AT79" s="52">
        <f t="shared" si="22"/>
        <v>923.15000166614436</v>
      </c>
      <c r="AU79" s="52">
        <f t="shared" si="23"/>
        <v>513.01727168422099</v>
      </c>
      <c r="AV79" s="20"/>
      <c r="AW79" s="20"/>
      <c r="AX79" s="20">
        <f t="shared" si="37"/>
        <v>138.73702562518571</v>
      </c>
      <c r="AY79" s="20">
        <f t="shared" si="38"/>
        <v>90.586780568393308</v>
      </c>
      <c r="AZ79" s="20"/>
      <c r="BA79" s="20">
        <f t="shared" si="39"/>
        <v>27.67641985079641</v>
      </c>
      <c r="BB79" s="20">
        <f t="shared" si="40"/>
        <v>151.65260115026115</v>
      </c>
      <c r="BC79" s="20"/>
      <c r="BD79" s="20">
        <f t="shared" si="41"/>
        <v>756.73655619016222</v>
      </c>
      <c r="BE79" s="20">
        <f t="shared" si="42"/>
        <v>270.77788996556649</v>
      </c>
      <c r="BF79" s="20"/>
      <c r="BG79" s="54">
        <f t="shared" si="43"/>
        <v>54852.786328666982</v>
      </c>
      <c r="BH79" s="54">
        <f t="shared" si="44"/>
        <v>33025.555516522189</v>
      </c>
      <c r="BI79" s="54">
        <f t="shared" si="45"/>
        <v>22228.711173041327</v>
      </c>
      <c r="BJ79" s="20"/>
    </row>
    <row r="80" spans="1:62" x14ac:dyDescent="0.3">
      <c r="A80" s="46"/>
      <c r="B80" s="59"/>
      <c r="C80" s="46"/>
      <c r="D80" s="46"/>
      <c r="E80" s="59"/>
      <c r="F80" s="46"/>
      <c r="G80" s="46"/>
      <c r="H80" s="46"/>
      <c r="I80" s="46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46"/>
      <c r="AC80" s="19">
        <v>76</v>
      </c>
      <c r="AD80" s="19">
        <f t="shared" si="46"/>
        <v>4.7752208334564852</v>
      </c>
      <c r="AE80" s="19">
        <f t="shared" si="31"/>
        <v>20313.952597646563</v>
      </c>
      <c r="AF80" s="19">
        <f t="shared" si="32"/>
        <v>2509.866357858642</v>
      </c>
      <c r="AG80" s="19">
        <f t="shared" si="33"/>
        <v>-19780.233181647403</v>
      </c>
      <c r="AH80" s="19">
        <f t="shared" si="34"/>
        <v>6506.9064505010501</v>
      </c>
      <c r="AI80" s="19">
        <f t="shared" si="35"/>
        <v>-4686.0474023534362</v>
      </c>
      <c r="AJ80" s="19">
        <f t="shared" si="36"/>
        <v>-19990.133642141358</v>
      </c>
      <c r="AK80">
        <v>76</v>
      </c>
      <c r="AL80">
        <v>38</v>
      </c>
      <c r="AN80" s="48">
        <f t="shared" si="47"/>
        <v>-26581.209700666644</v>
      </c>
      <c r="AO80" s="48">
        <f t="shared" si="48"/>
        <v>-21319.958242700104</v>
      </c>
      <c r="AP80" s="20"/>
      <c r="AQ80" s="50">
        <f t="shared" si="49"/>
        <v>-1073.2417056038721</v>
      </c>
      <c r="AR80" s="50">
        <f t="shared" si="50"/>
        <v>2466.2406201244448</v>
      </c>
      <c r="AS80" s="20"/>
      <c r="AT80" s="52">
        <f t="shared" si="22"/>
        <v>932.94748147331995</v>
      </c>
      <c r="AU80" s="52">
        <f t="shared" si="23"/>
        <v>469.38095830760739</v>
      </c>
      <c r="AV80" s="20"/>
      <c r="AW80" s="20"/>
      <c r="AX80" s="20">
        <f t="shared" si="37"/>
        <v>141.28074747942642</v>
      </c>
      <c r="AY80" s="20">
        <f t="shared" si="38"/>
        <v>87.410895273427286</v>
      </c>
      <c r="AZ80" s="20"/>
      <c r="BA80" s="20">
        <f t="shared" si="39"/>
        <v>33.615985508580913</v>
      </c>
      <c r="BB80" s="20">
        <f t="shared" si="40"/>
        <v>159.97837940178644</v>
      </c>
      <c r="BC80" s="20"/>
      <c r="BD80" s="20">
        <f t="shared" si="41"/>
        <v>758.05074848531262</v>
      </c>
      <c r="BE80" s="20">
        <f t="shared" si="42"/>
        <v>221.99168363239366</v>
      </c>
      <c r="BF80" s="20"/>
      <c r="BG80" s="54">
        <f t="shared" si="43"/>
        <v>54775.89880858604</v>
      </c>
      <c r="BH80" s="54">
        <f t="shared" si="44"/>
        <v>32003.938905213323</v>
      </c>
      <c r="BI80" s="54">
        <f t="shared" si="45"/>
        <v>22487.562881148795</v>
      </c>
      <c r="BJ80" s="20"/>
    </row>
    <row r="81" spans="1:62" x14ac:dyDescent="0.3">
      <c r="A81" s="46"/>
      <c r="B81" s="59"/>
      <c r="C81" s="46"/>
      <c r="D81" s="59"/>
      <c r="E81" s="59"/>
      <c r="F81" s="46"/>
      <c r="G81" s="46"/>
      <c r="H81" s="46"/>
      <c r="I81" s="46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46"/>
      <c r="AC81" s="19">
        <v>77</v>
      </c>
      <c r="AD81" s="19">
        <f t="shared" si="46"/>
        <v>4.8380526865282807</v>
      </c>
      <c r="AE81" s="19">
        <f t="shared" si="31"/>
        <v>20626.666167821517</v>
      </c>
      <c r="AF81" s="19">
        <f t="shared" si="32"/>
        <v>2539.4264934276098</v>
      </c>
      <c r="AG81" s="19">
        <f t="shared" si="33"/>
        <v>-19561.333682524939</v>
      </c>
      <c r="AH81" s="19">
        <f t="shared" si="34"/>
        <v>6527.5985453993271</v>
      </c>
      <c r="AI81" s="19">
        <f t="shared" si="35"/>
        <v>-4373.3338321784831</v>
      </c>
      <c r="AJ81" s="19">
        <f t="shared" si="36"/>
        <v>-19960.573506572389</v>
      </c>
      <c r="AK81">
        <v>77</v>
      </c>
      <c r="AL81">
        <v>38.5</v>
      </c>
      <c r="AN81" s="48">
        <f t="shared" si="47"/>
        <v>-27001.212118284413</v>
      </c>
      <c r="AO81" s="48">
        <f t="shared" si="48"/>
        <v>-20028.165312849429</v>
      </c>
      <c r="AP81" s="20"/>
      <c r="AQ81" s="50">
        <f t="shared" si="49"/>
        <v>-606.76796486721219</v>
      </c>
      <c r="AR81" s="50">
        <f t="shared" si="50"/>
        <v>2700.9310992782484</v>
      </c>
      <c r="AS81" s="20"/>
      <c r="AT81" s="52">
        <f t="shared" si="22"/>
        <v>950.55395946000897</v>
      </c>
      <c r="AU81" s="52">
        <f t="shared" si="23"/>
        <v>430.51125193857575</v>
      </c>
      <c r="AV81" s="20"/>
      <c r="AW81" s="20"/>
      <c r="AX81" s="20">
        <f t="shared" si="37"/>
        <v>144.89564096845675</v>
      </c>
      <c r="AY81" s="20">
        <f t="shared" si="38"/>
        <v>84.864006222921788</v>
      </c>
      <c r="AZ81" s="20"/>
      <c r="BA81" s="20">
        <f t="shared" si="39"/>
        <v>39.779235595580325</v>
      </c>
      <c r="BB81" s="20">
        <f t="shared" si="40"/>
        <v>170.61295134356988</v>
      </c>
      <c r="BC81" s="20"/>
      <c r="BD81" s="20">
        <f t="shared" si="41"/>
        <v>765.87908289597192</v>
      </c>
      <c r="BE81" s="20">
        <f t="shared" si="42"/>
        <v>175.0342943720841</v>
      </c>
      <c r="BF81" s="20"/>
      <c r="BG81" s="54">
        <f t="shared" si="43"/>
        <v>54469.384300536498</v>
      </c>
      <c r="BH81" s="54">
        <f t="shared" si="44"/>
        <v>30833.548014800799</v>
      </c>
      <c r="BI81" s="54">
        <f t="shared" si="45"/>
        <v>22568.468735983995</v>
      </c>
      <c r="BJ81" s="20"/>
    </row>
    <row r="82" spans="1:62" x14ac:dyDescent="0.3">
      <c r="A82" s="46"/>
      <c r="B82" s="59"/>
      <c r="C82" s="46"/>
      <c r="D82" s="46"/>
      <c r="E82" s="59"/>
      <c r="F82" s="46"/>
      <c r="G82" s="46"/>
      <c r="H82" s="46"/>
      <c r="I82" s="46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46"/>
      <c r="AC82" s="19">
        <v>78</v>
      </c>
      <c r="AD82" s="19">
        <f t="shared" si="46"/>
        <v>4.9008845396000762</v>
      </c>
      <c r="AE82" s="19">
        <f t="shared" si="31"/>
        <v>20936.906572928616</v>
      </c>
      <c r="AF82" s="19">
        <f t="shared" si="32"/>
        <v>2588.5637463565554</v>
      </c>
      <c r="AG82" s="19">
        <f t="shared" si="33"/>
        <v>-19344.165398949968</v>
      </c>
      <c r="AH82" s="19">
        <f t="shared" si="34"/>
        <v>6561.9946224495889</v>
      </c>
      <c r="AI82" s="19">
        <f t="shared" si="35"/>
        <v>-4063.0934270713828</v>
      </c>
      <c r="AJ82" s="19">
        <f t="shared" si="36"/>
        <v>-19911.436253643446</v>
      </c>
      <c r="AK82">
        <v>78</v>
      </c>
      <c r="AL82">
        <v>39</v>
      </c>
      <c r="AN82" s="48">
        <f t="shared" si="47"/>
        <v>-27185.77685578552</v>
      </c>
      <c r="AO82" s="48">
        <f t="shared" si="48"/>
        <v>-18623.885856717981</v>
      </c>
      <c r="AP82" s="20"/>
      <c r="AQ82" s="50">
        <f t="shared" si="49"/>
        <v>-131.4909851372077</v>
      </c>
      <c r="AR82" s="50">
        <f t="shared" si="50"/>
        <v>2916.1867252475363</v>
      </c>
      <c r="AS82" s="20"/>
      <c r="AT82" s="52">
        <f t="shared" ref="AT82:AT145" si="51">AX82+BA82+BD82</f>
        <v>975.89866403943267</v>
      </c>
      <c r="AU82" s="52">
        <f t="shared" ref="AU82:AU145" si="52">AY82+BB82+BE82</f>
        <v>394.50647324142284</v>
      </c>
      <c r="AV82" s="20"/>
      <c r="AW82" s="20"/>
      <c r="AX82" s="20">
        <f t="shared" si="37"/>
        <v>149.68773042009741</v>
      </c>
      <c r="AY82" s="20">
        <f t="shared" si="38"/>
        <v>82.872963935663861</v>
      </c>
      <c r="AZ82" s="20"/>
      <c r="BA82" s="20">
        <f t="shared" si="39"/>
        <v>46.24997184286574</v>
      </c>
      <c r="BB82" s="20">
        <f t="shared" si="40"/>
        <v>184.23253901082785</v>
      </c>
      <c r="BC82" s="20"/>
      <c r="BD82" s="20">
        <f t="shared" si="41"/>
        <v>779.9609617764695</v>
      </c>
      <c r="BE82" s="20">
        <f t="shared" si="42"/>
        <v>127.40097029493114</v>
      </c>
      <c r="BF82" s="20"/>
      <c r="BG82" s="54">
        <f t="shared" si="43"/>
        <v>53934.728605406126</v>
      </c>
      <c r="BH82" s="54">
        <f t="shared" si="44"/>
        <v>29512.069235476571</v>
      </c>
      <c r="BI82" s="54">
        <f t="shared" si="45"/>
        <v>22479.796337983782</v>
      </c>
      <c r="BJ82" s="20"/>
    </row>
    <row r="83" spans="1:62" x14ac:dyDescent="0.3">
      <c r="A83" s="46"/>
      <c r="B83" s="59"/>
      <c r="C83" s="46"/>
      <c r="D83" s="59"/>
      <c r="E83" s="59"/>
      <c r="F83" s="46"/>
      <c r="G83" s="46"/>
      <c r="H83" s="46"/>
      <c r="I83" s="46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46"/>
      <c r="AC83" s="19">
        <v>79</v>
      </c>
      <c r="AD83" s="19">
        <f t="shared" si="46"/>
        <v>4.9637163926718717</v>
      </c>
      <c r="AE83" s="19">
        <f t="shared" si="31"/>
        <v>21243.449435824266</v>
      </c>
      <c r="AF83" s="19">
        <f t="shared" si="32"/>
        <v>2657.0841943568421</v>
      </c>
      <c r="AG83" s="19">
        <f t="shared" si="33"/>
        <v>-19129.585394923015</v>
      </c>
      <c r="AH83" s="19">
        <f t="shared" si="34"/>
        <v>6609.9589360497903</v>
      </c>
      <c r="AI83" s="19">
        <f t="shared" si="35"/>
        <v>-3756.5505641757336</v>
      </c>
      <c r="AJ83" s="19">
        <f t="shared" si="36"/>
        <v>-19842.915805643159</v>
      </c>
      <c r="AK83">
        <v>79</v>
      </c>
      <c r="AL83">
        <v>39.5</v>
      </c>
      <c r="AN83" s="48">
        <f t="shared" si="47"/>
        <v>-27129.535015349193</v>
      </c>
      <c r="AO83" s="48">
        <f t="shared" si="48"/>
        <v>-17116.479184939035</v>
      </c>
      <c r="AP83" s="20"/>
      <c r="AQ83" s="50">
        <f t="shared" si="49"/>
        <v>356.45834688250864</v>
      </c>
      <c r="AR83" s="50">
        <f t="shared" si="50"/>
        <v>3113.4399618682478</v>
      </c>
      <c r="AS83" s="20"/>
      <c r="AT83" s="52">
        <f t="shared" si="51"/>
        <v>1008.8487196824117</v>
      </c>
      <c r="AU83" s="52">
        <f t="shared" si="52"/>
        <v>359.68326338299784</v>
      </c>
      <c r="AV83" s="20"/>
      <c r="AW83" s="20"/>
      <c r="AX83" s="20">
        <f t="shared" si="37"/>
        <v>155.81927095170428</v>
      </c>
      <c r="AY83" s="20">
        <f t="shared" si="38"/>
        <v>81.386795748054425</v>
      </c>
      <c r="AZ83" s="20"/>
      <c r="BA83" s="20">
        <f t="shared" si="39"/>
        <v>53.054218909061412</v>
      </c>
      <c r="BB83" s="20">
        <f t="shared" si="40"/>
        <v>201.78645867135842</v>
      </c>
      <c r="BC83" s="20"/>
      <c r="BD83" s="20">
        <f t="shared" si="41"/>
        <v>799.97522982164605</v>
      </c>
      <c r="BE83" s="20">
        <f t="shared" si="42"/>
        <v>76.510008963584994</v>
      </c>
      <c r="BF83" s="20"/>
      <c r="BG83" s="54">
        <f t="shared" si="43"/>
        <v>53171.083478010507</v>
      </c>
      <c r="BH83" s="54">
        <f t="shared" si="44"/>
        <v>28038.076127336593</v>
      </c>
      <c r="BI83" s="54">
        <f t="shared" si="45"/>
        <v>22230.515156780471</v>
      </c>
      <c r="BJ83" s="20"/>
    </row>
    <row r="84" spans="1:62" x14ac:dyDescent="0.3">
      <c r="A84" s="46"/>
      <c r="B84" s="59"/>
      <c r="C84" s="46"/>
      <c r="D84" s="46"/>
      <c r="E84" s="59"/>
      <c r="F84" s="46"/>
      <c r="G84" s="46"/>
      <c r="H84" s="46"/>
      <c r="I84" s="46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46"/>
      <c r="AC84" s="19">
        <v>80</v>
      </c>
      <c r="AD84" s="19">
        <f t="shared" si="46"/>
        <v>5.0265482457436672</v>
      </c>
      <c r="AE84" s="19">
        <f t="shared" si="31"/>
        <v>21545.084971874727</v>
      </c>
      <c r="AF84" s="19">
        <f t="shared" si="32"/>
        <v>2744.7174185242293</v>
      </c>
      <c r="AG84" s="19">
        <f t="shared" si="33"/>
        <v>-18918.440519687691</v>
      </c>
      <c r="AH84" s="19">
        <f t="shared" si="34"/>
        <v>6671.3021929669603</v>
      </c>
      <c r="AI84" s="19">
        <f t="shared" si="35"/>
        <v>-3454.9150281252723</v>
      </c>
      <c r="AJ84" s="19">
        <f t="shared" si="36"/>
        <v>-19755.282581475771</v>
      </c>
      <c r="AK84">
        <v>80</v>
      </c>
      <c r="AL84">
        <v>40</v>
      </c>
      <c r="AN84" s="48">
        <f t="shared" si="47"/>
        <v>-26825.199751947639</v>
      </c>
      <c r="AO84" s="48">
        <f t="shared" si="48"/>
        <v>-15514.798796082037</v>
      </c>
      <c r="AP84" s="20"/>
      <c r="AQ84" s="50">
        <f t="shared" si="49"/>
        <v>860.88270672371448</v>
      </c>
      <c r="AR84" s="50">
        <f t="shared" si="50"/>
        <v>3293.2815935597469</v>
      </c>
      <c r="AS84" s="20"/>
      <c r="AT84" s="52">
        <f t="shared" si="51"/>
        <v>1048.9639396332898</v>
      </c>
      <c r="AU84" s="52">
        <f t="shared" si="52"/>
        <v>324.46765522948613</v>
      </c>
      <c r="AV84" s="20"/>
      <c r="AW84" s="20"/>
      <c r="AX84" s="20">
        <f t="shared" si="37"/>
        <v>163.52269858384912</v>
      </c>
      <c r="AY84" s="20">
        <f t="shared" si="38"/>
        <v>80.372150603439138</v>
      </c>
      <c r="AZ84" s="20"/>
      <c r="BA84" s="20">
        <f t="shared" si="39"/>
        <v>60.087803821288801</v>
      </c>
      <c r="BB84" s="20">
        <f t="shared" si="40"/>
        <v>224.62759777267178</v>
      </c>
      <c r="BC84" s="20"/>
      <c r="BD84" s="20">
        <f t="shared" si="41"/>
        <v>825.35343722815185</v>
      </c>
      <c r="BE84" s="20">
        <f t="shared" si="42"/>
        <v>19.46790685337519</v>
      </c>
      <c r="BF84" s="20"/>
      <c r="BG84" s="54">
        <f t="shared" si="43"/>
        <v>52175.475996237321</v>
      </c>
      <c r="BH84" s="54">
        <f t="shared" si="44"/>
        <v>26411.897115855492</v>
      </c>
      <c r="BI84" s="54">
        <f t="shared" si="45"/>
        <v>21831.270279414864</v>
      </c>
      <c r="BJ84" s="20"/>
    </row>
    <row r="85" spans="1:62" x14ac:dyDescent="0.3">
      <c r="A85" s="46"/>
      <c r="B85" s="59"/>
      <c r="C85" s="46"/>
      <c r="D85" s="59"/>
      <c r="E85" s="59"/>
      <c r="F85" s="46"/>
      <c r="G85" s="46"/>
      <c r="H85" s="46"/>
      <c r="I85" s="46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46"/>
      <c r="AC85" s="19">
        <v>81</v>
      </c>
      <c r="AD85" s="19">
        <f t="shared" si="46"/>
        <v>5.0893800988154627</v>
      </c>
      <c r="AE85" s="19">
        <f t="shared" si="31"/>
        <v>21840.62276342338</v>
      </c>
      <c r="AF85" s="19">
        <f t="shared" si="32"/>
        <v>2851.1175705587384</v>
      </c>
      <c r="AG85" s="19">
        <f t="shared" si="33"/>
        <v>-18711.564065603634</v>
      </c>
      <c r="AH85" s="19">
        <f t="shared" si="34"/>
        <v>6745.7822993911177</v>
      </c>
      <c r="AI85" s="19">
        <f t="shared" si="35"/>
        <v>-3159.3772365766208</v>
      </c>
      <c r="AJ85" s="19">
        <f t="shared" si="36"/>
        <v>-19648.882429441263</v>
      </c>
      <c r="AK85">
        <v>81</v>
      </c>
      <c r="AL85">
        <v>40.5</v>
      </c>
      <c r="AN85" s="48">
        <f t="shared" si="47"/>
        <v>-26263.637906131622</v>
      </c>
      <c r="AO85" s="48">
        <f t="shared" si="48"/>
        <v>-13827.599542398479</v>
      </c>
      <c r="AP85" s="20"/>
      <c r="AQ85" s="50">
        <f t="shared" si="49"/>
        <v>1385.3646765403594</v>
      </c>
      <c r="AR85" s="50">
        <f t="shared" si="50"/>
        <v>3455.5154211744898</v>
      </c>
      <c r="AS85" s="20"/>
      <c r="AT85" s="52">
        <f t="shared" si="51"/>
        <v>1095.0251596258488</v>
      </c>
      <c r="AU85" s="52">
        <f t="shared" si="52"/>
        <v>287.37138396438547</v>
      </c>
      <c r="AV85" s="20"/>
      <c r="AW85" s="20"/>
      <c r="AX85" s="20">
        <f t="shared" si="37"/>
        <v>173.12275502535235</v>
      </c>
      <c r="AY85" s="20">
        <f t="shared" si="38"/>
        <v>79.80982382641605</v>
      </c>
      <c r="AZ85" s="20"/>
      <c r="BA85" s="20">
        <f t="shared" si="39"/>
        <v>66.953900349416244</v>
      </c>
      <c r="BB85" s="20">
        <f t="shared" si="40"/>
        <v>254.70034335251364</v>
      </c>
      <c r="BC85" s="20"/>
      <c r="BD85" s="20">
        <f t="shared" si="41"/>
        <v>854.94850425108029</v>
      </c>
      <c r="BE85" s="20">
        <f t="shared" si="42"/>
        <v>-47.138783214544191</v>
      </c>
      <c r="BF85" s="20"/>
      <c r="BG85" s="54">
        <f t="shared" si="43"/>
        <v>50943.014187919573</v>
      </c>
      <c r="BH85" s="54">
        <f t="shared" si="44"/>
        <v>24637.119551035932</v>
      </c>
      <c r="BI85" s="54">
        <f t="shared" si="45"/>
        <v>21295.934349919044</v>
      </c>
      <c r="BJ85" s="20"/>
    </row>
    <row r="86" spans="1:62" x14ac:dyDescent="0.3">
      <c r="A86" s="46"/>
      <c r="B86" s="59"/>
      <c r="C86" s="46"/>
      <c r="D86" s="46"/>
      <c r="E86" s="59"/>
      <c r="F86" s="46"/>
      <c r="G86" s="46"/>
      <c r="H86" s="46"/>
      <c r="I86" s="46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46"/>
      <c r="AC86" s="19">
        <v>82</v>
      </c>
      <c r="AD86" s="19">
        <f t="shared" si="46"/>
        <v>5.1522119518872582</v>
      </c>
      <c r="AE86" s="19">
        <f t="shared" si="31"/>
        <v>22128.896457825351</v>
      </c>
      <c r="AF86" s="19">
        <f t="shared" si="32"/>
        <v>2975.8647376698964</v>
      </c>
      <c r="AG86" s="19">
        <f t="shared" si="33"/>
        <v>-18509.772479522253</v>
      </c>
      <c r="AH86" s="19">
        <f t="shared" si="34"/>
        <v>6833.1053163689276</v>
      </c>
      <c r="AI86" s="19">
        <f t="shared" si="35"/>
        <v>-2871.1035421746487</v>
      </c>
      <c r="AJ86" s="19">
        <f t="shared" si="36"/>
        <v>-19524.135262330103</v>
      </c>
      <c r="AK86">
        <v>82</v>
      </c>
      <c r="AL86">
        <v>41</v>
      </c>
      <c r="AN86" s="48">
        <f t="shared" si="47"/>
        <v>-25434.077422908209</v>
      </c>
      <c r="AO86" s="48">
        <f t="shared" si="48"/>
        <v>-12063.920408815686</v>
      </c>
      <c r="AP86" s="20"/>
      <c r="AQ86" s="50">
        <f t="shared" si="49"/>
        <v>1932.8772563532839</v>
      </c>
      <c r="AR86" s="50">
        <f t="shared" si="50"/>
        <v>3599.2011131566824</v>
      </c>
      <c r="AS86" s="20"/>
      <c r="AT86" s="52">
        <f t="shared" si="51"/>
        <v>1144.1376472607503</v>
      </c>
      <c r="AU86" s="52">
        <f t="shared" si="52"/>
        <v>247.1031869503804</v>
      </c>
      <c r="AV86" s="20"/>
      <c r="AW86" s="20"/>
      <c r="AX86" s="20">
        <f t="shared" si="37"/>
        <v>185.07012218235124</v>
      </c>
      <c r="AY86" s="20">
        <f t="shared" si="38"/>
        <v>79.691221783227633</v>
      </c>
      <c r="AZ86" s="20"/>
      <c r="BA86" s="20">
        <f t="shared" si="39"/>
        <v>72.601790372878696</v>
      </c>
      <c r="BB86" s="20">
        <f t="shared" si="40"/>
        <v>294.78419235834554</v>
      </c>
      <c r="BC86" s="20"/>
      <c r="BD86" s="20">
        <f t="shared" si="41"/>
        <v>886.4657347055205</v>
      </c>
      <c r="BE86" s="20">
        <f t="shared" si="42"/>
        <v>-127.37222719119278</v>
      </c>
      <c r="BF86" s="20"/>
      <c r="BG86" s="54">
        <f t="shared" si="43"/>
        <v>49467.184810066683</v>
      </c>
      <c r="BH86" s="54">
        <f t="shared" si="44"/>
        <v>22723.243193802991</v>
      </c>
      <c r="BI86" s="54">
        <f t="shared" si="45"/>
        <v>20643.935755838225</v>
      </c>
      <c r="BJ86" s="20"/>
    </row>
    <row r="87" spans="1:62" x14ac:dyDescent="0.3">
      <c r="A87" s="46"/>
      <c r="B87" s="59"/>
      <c r="C87" s="46"/>
      <c r="D87" s="59"/>
      <c r="E87" s="59"/>
      <c r="F87" s="46"/>
      <c r="G87" s="46"/>
      <c r="H87" s="46"/>
      <c r="I87" s="46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46"/>
      <c r="AC87" s="19">
        <v>83</v>
      </c>
      <c r="AD87" s="19">
        <f t="shared" si="46"/>
        <v>5.2150438049590537</v>
      </c>
      <c r="AE87" s="19">
        <f t="shared" si="31"/>
        <v>22408.768370508562</v>
      </c>
      <c r="AF87" s="19">
        <f t="shared" si="32"/>
        <v>3118.4665997806751</v>
      </c>
      <c r="AG87" s="19">
        <f t="shared" si="33"/>
        <v>-18313.862140644007</v>
      </c>
      <c r="AH87" s="19">
        <f t="shared" si="34"/>
        <v>6932.926619846472</v>
      </c>
      <c r="AI87" s="19">
        <f t="shared" si="35"/>
        <v>-2591.2316294914372</v>
      </c>
      <c r="AJ87" s="19">
        <f t="shared" si="36"/>
        <v>-19381.533400219327</v>
      </c>
      <c r="AK87">
        <v>83</v>
      </c>
      <c r="AL87">
        <v>41.5</v>
      </c>
      <c r="AN87" s="48">
        <f t="shared" si="47"/>
        <v>-24324.621588823975</v>
      </c>
      <c r="AO87" s="48">
        <f t="shared" si="48"/>
        <v>-10233.431953868547</v>
      </c>
      <c r="AP87" s="20"/>
      <c r="AQ87" s="50">
        <f t="shared" si="49"/>
        <v>2504.9460799836588</v>
      </c>
      <c r="AR87" s="50">
        <f t="shared" si="50"/>
        <v>3722.7527066318726</v>
      </c>
      <c r="AS87" s="20"/>
      <c r="AT87" s="52">
        <f t="shared" si="51"/>
        <v>1190.0583313273023</v>
      </c>
      <c r="AU87" s="52">
        <f t="shared" si="52"/>
        <v>202.89214994116452</v>
      </c>
      <c r="AV87" s="20"/>
      <c r="AW87" s="20"/>
      <c r="AX87" s="20">
        <f t="shared" si="37"/>
        <v>199.99163436963667</v>
      </c>
      <c r="AY87" s="20">
        <f t="shared" si="38"/>
        <v>80.012821594649211</v>
      </c>
      <c r="AZ87" s="20"/>
      <c r="BA87" s="20">
        <f t="shared" si="39"/>
        <v>74.53062403558377</v>
      </c>
      <c r="BB87" s="20">
        <f t="shared" si="40"/>
        <v>348.70341345019915</v>
      </c>
      <c r="BC87" s="20"/>
      <c r="BD87" s="20">
        <f t="shared" si="41"/>
        <v>915.53607292208198</v>
      </c>
      <c r="BE87" s="20">
        <f t="shared" si="42"/>
        <v>-225.82408510368384</v>
      </c>
      <c r="BF87" s="20"/>
      <c r="BG87" s="54">
        <f t="shared" si="43"/>
        <v>47740.409380889549</v>
      </c>
      <c r="BH87" s="54">
        <f t="shared" si="44"/>
        <v>20690.435484018963</v>
      </c>
      <c r="BI87" s="54">
        <f t="shared" si="45"/>
        <v>19903.797891097143</v>
      </c>
      <c r="BJ87" s="20"/>
    </row>
    <row r="88" spans="1:62" x14ac:dyDescent="0.3">
      <c r="A88" s="46"/>
      <c r="B88" s="59"/>
      <c r="C88" s="46"/>
      <c r="D88" s="46"/>
      <c r="E88" s="59"/>
      <c r="F88" s="46"/>
      <c r="G88" s="46"/>
      <c r="H88" s="46"/>
      <c r="I88" s="46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46"/>
      <c r="AC88" s="19">
        <v>84</v>
      </c>
      <c r="AD88" s="19">
        <f t="shared" si="46"/>
        <v>5.2778756580308492</v>
      </c>
      <c r="AE88" s="19">
        <f t="shared" si="31"/>
        <v>22679.133974894969</v>
      </c>
      <c r="AF88" s="19">
        <f t="shared" si="32"/>
        <v>3278.3603724899158</v>
      </c>
      <c r="AG88" s="19">
        <f t="shared" si="33"/>
        <v>-18124.606217573521</v>
      </c>
      <c r="AH88" s="19">
        <f t="shared" si="34"/>
        <v>7044.8522607429404</v>
      </c>
      <c r="AI88" s="19">
        <f t="shared" si="35"/>
        <v>-2320.866025105031</v>
      </c>
      <c r="AJ88" s="19">
        <f t="shared" si="36"/>
        <v>-19221.639627510085</v>
      </c>
      <c r="AK88">
        <v>84</v>
      </c>
      <c r="AL88">
        <v>42</v>
      </c>
      <c r="AN88" s="48">
        <f t="shared" si="47"/>
        <v>-22923.391257416231</v>
      </c>
      <c r="AO88" s="48">
        <f t="shared" si="48"/>
        <v>-8346.6940818099647</v>
      </c>
      <c r="AP88" s="20"/>
      <c r="AQ88" s="50">
        <f t="shared" si="49"/>
        <v>3099.9752456473097</v>
      </c>
      <c r="AR88" s="50">
        <f t="shared" si="50"/>
        <v>3824.1987816024548</v>
      </c>
      <c r="AS88" s="20"/>
      <c r="AT88" s="52">
        <f t="shared" si="51"/>
        <v>1220.2295908728706</v>
      </c>
      <c r="AU88" s="52">
        <f t="shared" si="52"/>
        <v>154.99672722329859</v>
      </c>
      <c r="AV88" s="20"/>
      <c r="AW88" s="20"/>
      <c r="AX88" s="20">
        <f t="shared" si="37"/>
        <v>218.76393587895433</v>
      </c>
      <c r="AY88" s="20">
        <f t="shared" si="38"/>
        <v>80.764475183621755</v>
      </c>
      <c r="AZ88" s="20"/>
      <c r="BA88" s="20">
        <f t="shared" si="39"/>
        <v>67.095236305507342</v>
      </c>
      <c r="BB88" s="20">
        <f t="shared" si="40"/>
        <v>421.07801058824418</v>
      </c>
      <c r="BC88" s="20"/>
      <c r="BD88" s="20">
        <f t="shared" si="41"/>
        <v>934.3704186884089</v>
      </c>
      <c r="BE88" s="20">
        <f t="shared" si="42"/>
        <v>-346.84575854856735</v>
      </c>
      <c r="BF88" s="20"/>
      <c r="BG88" s="54">
        <f t="shared" si="43"/>
        <v>45755.166160333276</v>
      </c>
      <c r="BH88" s="54">
        <f t="shared" si="44"/>
        <v>18578.143076622549</v>
      </c>
      <c r="BI88" s="54">
        <f t="shared" si="45"/>
        <v>19118.431782116626</v>
      </c>
      <c r="BJ88" s="20"/>
    </row>
    <row r="89" spans="1:62" x14ac:dyDescent="0.3">
      <c r="A89" s="46"/>
      <c r="B89" s="59"/>
      <c r="C89" s="46"/>
      <c r="D89" s="59"/>
      <c r="E89" s="59"/>
      <c r="F89" s="46"/>
      <c r="G89" s="46"/>
      <c r="H89" s="46"/>
      <c r="I89" s="46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46"/>
      <c r="AC89" s="19">
        <v>85</v>
      </c>
      <c r="AD89" s="19">
        <f t="shared" si="46"/>
        <v>5.3407075111026447</v>
      </c>
      <c r="AE89" s="19">
        <f t="shared" si="31"/>
        <v>22938.926261462351</v>
      </c>
      <c r="AF89" s="19">
        <f t="shared" si="32"/>
        <v>3454.9150281252519</v>
      </c>
      <c r="AG89" s="19">
        <f t="shared" si="33"/>
        <v>-17942.751616976355</v>
      </c>
      <c r="AH89" s="19">
        <f t="shared" si="34"/>
        <v>7168.440519687676</v>
      </c>
      <c r="AI89" s="19">
        <f t="shared" si="35"/>
        <v>-2061.0737385376492</v>
      </c>
      <c r="AJ89" s="19">
        <f t="shared" si="36"/>
        <v>-19045.084971874749</v>
      </c>
      <c r="AK89">
        <v>85</v>
      </c>
      <c r="AL89">
        <v>42.5</v>
      </c>
      <c r="AN89" s="48">
        <f t="shared" si="47"/>
        <v>-21220.874935733467</v>
      </c>
      <c r="AO89" s="48">
        <f t="shared" si="48"/>
        <v>-6415.2201001058247</v>
      </c>
      <c r="AP89" s="20"/>
      <c r="AQ89" s="50">
        <f t="shared" si="49"/>
        <v>3710.0900410837448</v>
      </c>
      <c r="AR89" s="50">
        <f t="shared" si="50"/>
        <v>3901.6971452141042</v>
      </c>
      <c r="AS89" s="20"/>
      <c r="AT89" s="52">
        <f t="shared" si="51"/>
        <v>1211.2369963692365</v>
      </c>
      <c r="AU89" s="52">
        <f t="shared" si="52"/>
        <v>104.67333499051676</v>
      </c>
      <c r="AV89" s="20"/>
      <c r="AW89" s="20"/>
      <c r="AX89" s="20">
        <f t="shared" si="37"/>
        <v>242.61757441146068</v>
      </c>
      <c r="AY89" s="20">
        <f t="shared" si="38"/>
        <v>81.902117637067221</v>
      </c>
      <c r="AZ89" s="20"/>
      <c r="BA89" s="20">
        <f t="shared" si="39"/>
        <v>38.31252505359393</v>
      </c>
      <c r="BB89" s="20">
        <f t="shared" si="40"/>
        <v>515.1293657836726</v>
      </c>
      <c r="BC89" s="20"/>
      <c r="BD89" s="20">
        <f t="shared" si="41"/>
        <v>930.30689690418194</v>
      </c>
      <c r="BE89" s="20">
        <f t="shared" si="42"/>
        <v>-492.35814843022308</v>
      </c>
      <c r="BF89" s="20"/>
      <c r="BG89" s="54">
        <f t="shared" si="43"/>
        <v>43506.251055472116</v>
      </c>
      <c r="BH89" s="54">
        <f t="shared" si="44"/>
        <v>16460.558512505595</v>
      </c>
      <c r="BI89" s="54">
        <f t="shared" si="45"/>
        <v>18352.526518447896</v>
      </c>
      <c r="BJ89" s="20"/>
    </row>
    <row r="90" spans="1:62" x14ac:dyDescent="0.3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C90" s="19">
        <v>86</v>
      </c>
      <c r="AD90" s="19">
        <f t="shared" si="46"/>
        <v>5.4035393641744403</v>
      </c>
      <c r="AE90" s="19">
        <f t="shared" si="31"/>
        <v>23187.119948743431</v>
      </c>
      <c r="AF90" s="19">
        <f t="shared" si="32"/>
        <v>3647.4337861210411</v>
      </c>
      <c r="AG90" s="19">
        <f t="shared" si="33"/>
        <v>-17769.016035879598</v>
      </c>
      <c r="AH90" s="19">
        <f t="shared" si="34"/>
        <v>7303.2036502847286</v>
      </c>
      <c r="AI90" s="19">
        <f t="shared" si="35"/>
        <v>-1812.8800512565672</v>
      </c>
      <c r="AJ90" s="19">
        <f t="shared" si="36"/>
        <v>-18852.566213878959</v>
      </c>
      <c r="AK90">
        <v>86</v>
      </c>
      <c r="AL90">
        <v>43</v>
      </c>
      <c r="AN90" s="48">
        <f t="shared" si="47"/>
        <v>-19214.425290645442</v>
      </c>
      <c r="AO90" s="48">
        <f t="shared" si="48"/>
        <v>-4451.2873606249577</v>
      </c>
      <c r="AP90" s="20"/>
      <c r="AQ90" s="50">
        <f t="shared" si="49"/>
        <v>4315.708539268363</v>
      </c>
      <c r="AR90" s="50">
        <f t="shared" si="50"/>
        <v>3954.0338127093628</v>
      </c>
      <c r="AS90" s="20"/>
      <c r="AT90" s="52">
        <f t="shared" si="51"/>
        <v>1125.023250175997</v>
      </c>
      <c r="AU90" s="52">
        <f t="shared" si="52"/>
        <v>50.611235954688937</v>
      </c>
      <c r="AV90" s="20"/>
      <c r="AW90" s="20"/>
      <c r="AX90" s="20">
        <f t="shared" si="37"/>
        <v>273.27084900301583</v>
      </c>
      <c r="AY90" s="20">
        <f t="shared" si="38"/>
        <v>83.284108322660543</v>
      </c>
      <c r="AZ90" s="20"/>
      <c r="BA90" s="20">
        <f t="shared" si="39"/>
        <v>-33.954567709114947</v>
      </c>
      <c r="BB90" s="20">
        <f t="shared" si="40"/>
        <v>624.62196061960094</v>
      </c>
      <c r="BC90" s="20"/>
      <c r="BD90" s="20">
        <f t="shared" si="41"/>
        <v>885.70696888209602</v>
      </c>
      <c r="BE90" s="20">
        <f t="shared" si="42"/>
        <v>-657.29483298757259</v>
      </c>
      <c r="BF90" s="20"/>
      <c r="BG90" s="54">
        <f t="shared" si="43"/>
        <v>40995.175575326502</v>
      </c>
      <c r="BH90" s="54">
        <f t="shared" si="44"/>
        <v>14472.623604700571</v>
      </c>
      <c r="BI90" s="54">
        <f t="shared" si="45"/>
        <v>17700.995019813196</v>
      </c>
      <c r="BJ90" s="20"/>
    </row>
    <row r="91" spans="1:62" x14ac:dyDescent="0.3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C91" s="19">
        <v>87</v>
      </c>
      <c r="AD91" s="19">
        <f t="shared" si="46"/>
        <v>5.4663712172462358</v>
      </c>
      <c r="AE91" s="19">
        <f t="shared" si="31"/>
        <v>23422.735529643425</v>
      </c>
      <c r="AF91" s="19">
        <f t="shared" si="32"/>
        <v>3855.1568628929272</v>
      </c>
      <c r="AG91" s="19">
        <f t="shared" si="33"/>
        <v>-17604.085129249601</v>
      </c>
      <c r="AH91" s="19">
        <f t="shared" si="34"/>
        <v>7448.609804025049</v>
      </c>
      <c r="AI91" s="19">
        <f t="shared" si="35"/>
        <v>-1577.2644703565729</v>
      </c>
      <c r="AJ91" s="19">
        <f t="shared" si="36"/>
        <v>-18644.843137107073</v>
      </c>
      <c r="AK91">
        <v>87</v>
      </c>
      <c r="AL91">
        <v>43.5</v>
      </c>
      <c r="AN91" s="48">
        <f t="shared" si="47"/>
        <v>-16915.943114739261</v>
      </c>
      <c r="AO91" s="48">
        <f t="shared" si="48"/>
        <v>-2467.9440497759401</v>
      </c>
      <c r="AP91" s="20"/>
      <c r="AQ91" s="50">
        <f t="shared" si="49"/>
        <v>4878.2201643563612</v>
      </c>
      <c r="AR91" s="50">
        <f t="shared" si="50"/>
        <v>3979.3394306867071</v>
      </c>
      <c r="AS91" s="20"/>
      <c r="AT91" s="52">
        <f t="shared" si="51"/>
        <v>918.7926245257695</v>
      </c>
      <c r="AU91" s="52">
        <f t="shared" si="52"/>
        <v>-23.183864882604098</v>
      </c>
      <c r="AV91" s="20"/>
      <c r="AW91" s="20"/>
      <c r="AX91" s="20">
        <f t="shared" si="37"/>
        <v>313.06162837512767</v>
      </c>
      <c r="AY91" s="20">
        <f t="shared" si="38"/>
        <v>84.532062097827875</v>
      </c>
      <c r="AZ91" s="20"/>
      <c r="BA91" s="20">
        <f t="shared" si="39"/>
        <v>-176.97547438442888</v>
      </c>
      <c r="BB91" s="20">
        <f t="shared" si="40"/>
        <v>715.46031571368565</v>
      </c>
      <c r="BC91" s="20"/>
      <c r="BD91" s="20">
        <f t="shared" si="41"/>
        <v>782.70647053507071</v>
      </c>
      <c r="BE91" s="20">
        <f t="shared" si="42"/>
        <v>-823.1762426941176</v>
      </c>
      <c r="BF91" s="20"/>
      <c r="BG91" s="54">
        <f t="shared" si="43"/>
        <v>38238.027729344627</v>
      </c>
      <c r="BH91" s="54">
        <f t="shared" si="44"/>
        <v>12843.715805788739</v>
      </c>
      <c r="BI91" s="54">
        <f t="shared" si="45"/>
        <v>17292.834546518054</v>
      </c>
      <c r="BJ91" s="20"/>
    </row>
    <row r="92" spans="1:62" x14ac:dyDescent="0.3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C92" s="19">
        <v>88</v>
      </c>
      <c r="AD92" s="19">
        <f t="shared" si="46"/>
        <v>5.5292030703180313</v>
      </c>
      <c r="AE92" s="19">
        <f t="shared" si="31"/>
        <v>23644.84313710704</v>
      </c>
      <c r="AF92" s="19">
        <f t="shared" si="32"/>
        <v>4077.2644703565393</v>
      </c>
      <c r="AG92" s="19">
        <f t="shared" si="33"/>
        <v>-17448.609804025073</v>
      </c>
      <c r="AH92" s="19">
        <f t="shared" si="34"/>
        <v>7604.0851292495772</v>
      </c>
      <c r="AI92" s="19">
        <f t="shared" si="35"/>
        <v>-1355.156862892959</v>
      </c>
      <c r="AJ92" s="19">
        <f t="shared" si="36"/>
        <v>-18422.735529643462</v>
      </c>
      <c r="AK92">
        <v>88</v>
      </c>
      <c r="AL92">
        <v>44</v>
      </c>
      <c r="AN92" s="48">
        <f t="shared" si="47"/>
        <v>-14361.983954495359</v>
      </c>
      <c r="AO92" s="48">
        <f t="shared" si="48"/>
        <v>-481.17231754291208</v>
      </c>
      <c r="AP92" s="20"/>
      <c r="AQ92" s="50">
        <f t="shared" si="49"/>
        <v>5337.616476619246</v>
      </c>
      <c r="AR92" s="50">
        <f t="shared" si="50"/>
        <v>3967.747498245405</v>
      </c>
      <c r="AS92" s="20"/>
      <c r="AT92" s="52">
        <f t="shared" si="51"/>
        <v>596.63766480476488</v>
      </c>
      <c r="AU92" s="52">
        <f t="shared" si="52"/>
        <v>-155.94646924360961</v>
      </c>
      <c r="AV92" s="20"/>
      <c r="AW92" s="20"/>
      <c r="AX92" s="20">
        <f t="shared" si="37"/>
        <v>364.97428538348885</v>
      </c>
      <c r="AY92" s="20">
        <f t="shared" si="38"/>
        <v>84.771667054359042</v>
      </c>
      <c r="AZ92" s="20"/>
      <c r="BA92" s="20">
        <f t="shared" si="39"/>
        <v>-384.67192852976501</v>
      </c>
      <c r="BB92" s="20">
        <f t="shared" si="40"/>
        <v>715.11197132131326</v>
      </c>
      <c r="BC92" s="20"/>
      <c r="BD92" s="20">
        <f t="shared" si="41"/>
        <v>616.33530795104105</v>
      </c>
      <c r="BE92" s="20">
        <f t="shared" si="42"/>
        <v>-955.83010761928188</v>
      </c>
      <c r="BF92" s="20"/>
      <c r="BG92" s="54">
        <f t="shared" si="43"/>
        <v>35276.692770883579</v>
      </c>
      <c r="BH92" s="54">
        <f t="shared" si="44"/>
        <v>11901.352783587068</v>
      </c>
      <c r="BI92" s="54">
        <f t="shared" si="45"/>
        <v>17275.505805536079</v>
      </c>
      <c r="BJ92" s="20"/>
    </row>
    <row r="93" spans="1:62" x14ac:dyDescent="0.3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C93" s="19">
        <v>89</v>
      </c>
      <c r="AD93" s="19">
        <f t="shared" si="46"/>
        <v>5.5920349233898268</v>
      </c>
      <c r="AE93" s="19">
        <f t="shared" si="31"/>
        <v>23852.56621387893</v>
      </c>
      <c r="AF93" s="19">
        <f t="shared" si="32"/>
        <v>4312.8800512565313</v>
      </c>
      <c r="AG93" s="19">
        <f t="shared" si="33"/>
        <v>-17303.203650284748</v>
      </c>
      <c r="AH93" s="19">
        <f t="shared" si="34"/>
        <v>7769.016035879572</v>
      </c>
      <c r="AI93" s="19">
        <f t="shared" si="35"/>
        <v>-1147.4337861210702</v>
      </c>
      <c r="AJ93" s="19">
        <f t="shared" si="36"/>
        <v>-18187.119948743468</v>
      </c>
      <c r="AK93">
        <v>89</v>
      </c>
      <c r="AL93">
        <v>44.5</v>
      </c>
      <c r="AN93" s="48">
        <f t="shared" si="47"/>
        <v>-11618.596008085142</v>
      </c>
      <c r="AO93" s="48">
        <f t="shared" si="48"/>
        <v>1483.2081229243392</v>
      </c>
      <c r="AP93" s="20"/>
      <c r="AQ93" s="50">
        <f t="shared" si="49"/>
        <v>5635.9353090216282</v>
      </c>
      <c r="AR93" s="50">
        <f t="shared" si="50"/>
        <v>3889.7742636236003</v>
      </c>
      <c r="AS93" s="20"/>
      <c r="AT93" s="52">
        <f t="shared" si="51"/>
        <v>274.84415769889489</v>
      </c>
      <c r="AU93" s="52">
        <f t="shared" si="52"/>
        <v>-360.82262456074716</v>
      </c>
      <c r="AV93" s="20"/>
      <c r="AW93" s="20"/>
      <c r="AX93" s="20">
        <f t="shared" si="37"/>
        <v>432.42381812278194</v>
      </c>
      <c r="AY93" s="20">
        <f t="shared" si="38"/>
        <v>82.287148856005302</v>
      </c>
      <c r="AZ93" s="20"/>
      <c r="BA93" s="20">
        <f t="shared" si="39"/>
        <v>-566.75068845770465</v>
      </c>
      <c r="BB93" s="20">
        <f t="shared" si="40"/>
        <v>575.90561968375414</v>
      </c>
      <c r="BC93" s="20"/>
      <c r="BD93" s="20">
        <f t="shared" si="41"/>
        <v>409.17102803381761</v>
      </c>
      <c r="BE93" s="20">
        <f t="shared" si="42"/>
        <v>-1019.0153931005066</v>
      </c>
      <c r="BF93" s="20"/>
      <c r="BG93" s="54">
        <f t="shared" si="43"/>
        <v>32185.98138964449</v>
      </c>
      <c r="BH93" s="54">
        <f t="shared" si="44"/>
        <v>11949.212390492867</v>
      </c>
      <c r="BI93" s="54">
        <f t="shared" si="45"/>
        <v>17762.374929661841</v>
      </c>
      <c r="BJ93" s="20"/>
    </row>
    <row r="94" spans="1:62" x14ac:dyDescent="0.3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C94" s="19">
        <v>90</v>
      </c>
      <c r="AD94" s="19">
        <f t="shared" si="46"/>
        <v>5.6548667764616223</v>
      </c>
      <c r="AE94" s="19">
        <f t="shared" si="31"/>
        <v>24045.084971874719</v>
      </c>
      <c r="AF94" s="19">
        <f t="shared" si="32"/>
        <v>4561.0737385376124</v>
      </c>
      <c r="AG94" s="19">
        <f t="shared" si="33"/>
        <v>-17168.440519687694</v>
      </c>
      <c r="AH94" s="19">
        <f t="shared" si="34"/>
        <v>7942.7516169763285</v>
      </c>
      <c r="AI94" s="19">
        <f t="shared" si="35"/>
        <v>-954.9150281252796</v>
      </c>
      <c r="AJ94" s="19">
        <f t="shared" si="36"/>
        <v>-17938.926261462388</v>
      </c>
      <c r="AK94">
        <v>90</v>
      </c>
      <c r="AL94">
        <v>45</v>
      </c>
      <c r="AN94" s="48">
        <f t="shared" si="47"/>
        <v>-8766.2728338619654</v>
      </c>
      <c r="AO94" s="48">
        <f t="shared" si="48"/>
        <v>3382.992426666046</v>
      </c>
      <c r="AP94" s="20"/>
      <c r="AQ94" s="50">
        <f t="shared" si="49"/>
        <v>5773.3573878710758</v>
      </c>
      <c r="AR94" s="50">
        <f t="shared" si="50"/>
        <v>3709.3629513432265</v>
      </c>
      <c r="AS94" s="20"/>
      <c r="AT94" s="52">
        <f t="shared" si="51"/>
        <v>101.47312560732558</v>
      </c>
      <c r="AU94" s="52">
        <f t="shared" si="52"/>
        <v>-560.23605674362148</v>
      </c>
      <c r="AV94" s="20"/>
      <c r="AW94" s="20"/>
      <c r="AX94" s="20">
        <f t="shared" si="37"/>
        <v>518.9374337620626</v>
      </c>
      <c r="AY94" s="20">
        <f t="shared" si="38"/>
        <v>74.269939565127558</v>
      </c>
      <c r="AZ94" s="20"/>
      <c r="BA94" s="20">
        <f t="shared" si="39"/>
        <v>-622.59514093347389</v>
      </c>
      <c r="BB94" s="20">
        <f t="shared" si="40"/>
        <v>366.72750742031826</v>
      </c>
      <c r="BC94" s="20"/>
      <c r="BD94" s="20">
        <f t="shared" si="41"/>
        <v>205.13083277873687</v>
      </c>
      <c r="BE94" s="20">
        <f t="shared" si="42"/>
        <v>-1001.2335037290674</v>
      </c>
      <c r="BF94" s="20"/>
      <c r="BG94" s="54">
        <f t="shared" si="43"/>
        <v>29059.390979700071</v>
      </c>
      <c r="BH94" s="54">
        <f t="shared" si="44"/>
        <v>13037.692099017624</v>
      </c>
      <c r="BI94" s="54">
        <f t="shared" si="45"/>
        <v>18764.840037099912</v>
      </c>
      <c r="BJ94" s="20"/>
    </row>
    <row r="95" spans="1:62" x14ac:dyDescent="0.3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C95" s="19">
        <v>91</v>
      </c>
      <c r="AD95" s="19">
        <f t="shared" si="46"/>
        <v>5.7176986295334178</v>
      </c>
      <c r="AE95" s="19">
        <f t="shared" si="31"/>
        <v>24221.63962751006</v>
      </c>
      <c r="AF95" s="19">
        <f t="shared" si="32"/>
        <v>4820.8660251049914</v>
      </c>
      <c r="AG95" s="19">
        <f t="shared" si="33"/>
        <v>-17044.852260742959</v>
      </c>
      <c r="AH95" s="19">
        <f t="shared" si="34"/>
        <v>8124.6062175734942</v>
      </c>
      <c r="AI95" s="19">
        <f t="shared" si="35"/>
        <v>-778.36037248994035</v>
      </c>
      <c r="AJ95" s="19">
        <f t="shared" si="36"/>
        <v>-17679.133974895009</v>
      </c>
      <c r="AK95">
        <v>91</v>
      </c>
      <c r="AL95">
        <v>45.5</v>
      </c>
      <c r="AN95" s="48">
        <f t="shared" si="47"/>
        <v>-5866.9099992255115</v>
      </c>
      <c r="AO95" s="48">
        <f t="shared" si="48"/>
        <v>5167.6443952447071</v>
      </c>
      <c r="AP95" s="20"/>
      <c r="AQ95" s="50">
        <f t="shared" si="49"/>
        <v>5824.0939506747391</v>
      </c>
      <c r="AR95" s="50">
        <f t="shared" si="50"/>
        <v>3429.2449229714157</v>
      </c>
      <c r="AS95" s="20"/>
      <c r="AT95" s="52">
        <f t="shared" si="51"/>
        <v>102.50439645358921</v>
      </c>
      <c r="AU95" s="52">
        <f t="shared" si="52"/>
        <v>-673.658585009543</v>
      </c>
      <c r="AV95" s="20"/>
      <c r="AW95" s="20"/>
      <c r="AX95" s="20">
        <f t="shared" si="37"/>
        <v>628.31870925070154</v>
      </c>
      <c r="AY95" s="20">
        <f t="shared" si="38"/>
        <v>56.653951443653803</v>
      </c>
      <c r="AZ95" s="20"/>
      <c r="BA95" s="20">
        <f t="shared" si="39"/>
        <v>-565.51858949281416</v>
      </c>
      <c r="BB95" s="20">
        <f t="shared" si="40"/>
        <v>193.36089456581345</v>
      </c>
      <c r="BC95" s="20"/>
      <c r="BD95" s="20">
        <f t="shared" si="41"/>
        <v>39.704276695701815</v>
      </c>
      <c r="BE95" s="20">
        <f t="shared" si="42"/>
        <v>-923.6734310190102</v>
      </c>
      <c r="BF95" s="20"/>
      <c r="BG95" s="54">
        <f t="shared" si="43"/>
        <v>25971.848520562915</v>
      </c>
      <c r="BH95" s="54">
        <f t="shared" si="44"/>
        <v>14936.394935217861</v>
      </c>
      <c r="BI95" s="54">
        <f t="shared" si="45"/>
        <v>20186.267941345734</v>
      </c>
      <c r="BJ95" s="20"/>
    </row>
    <row r="96" spans="1:62" x14ac:dyDescent="0.3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C96" s="19">
        <v>92</v>
      </c>
      <c r="AD96" s="19">
        <f t="shared" si="46"/>
        <v>5.7805304826052133</v>
      </c>
      <c r="AE96" s="19">
        <f t="shared" si="31"/>
        <v>24381.533400219305</v>
      </c>
      <c r="AF96" s="19">
        <f t="shared" si="32"/>
        <v>5091.2316294913962</v>
      </c>
      <c r="AG96" s="19">
        <f t="shared" si="33"/>
        <v>-16932.926619846487</v>
      </c>
      <c r="AH96" s="19">
        <f t="shared" si="34"/>
        <v>8313.8621406439779</v>
      </c>
      <c r="AI96" s="19">
        <f t="shared" si="35"/>
        <v>-618.46659978069692</v>
      </c>
      <c r="AJ96" s="19">
        <f t="shared" si="36"/>
        <v>-17408.768370508602</v>
      </c>
      <c r="AK96">
        <v>92</v>
      </c>
      <c r="AL96">
        <v>46</v>
      </c>
      <c r="AN96" s="48">
        <f t="shared" si="47"/>
        <v>-2942.0499743314431</v>
      </c>
      <c r="AO96" s="48">
        <f t="shared" si="48"/>
        <v>6798.0595336042225</v>
      </c>
      <c r="AP96" s="20"/>
      <c r="AQ96" s="50">
        <f t="shared" si="49"/>
        <v>5875.3461489015335</v>
      </c>
      <c r="AR96" s="50">
        <f t="shared" si="50"/>
        <v>3092.415630466644</v>
      </c>
      <c r="AS96" s="20"/>
      <c r="AT96" s="52">
        <f t="shared" si="51"/>
        <v>220.75793724714259</v>
      </c>
      <c r="AU96" s="52">
        <f t="shared" si="52"/>
        <v>-707.23176336268466</v>
      </c>
      <c r="AV96" s="20"/>
      <c r="AW96" s="20"/>
      <c r="AX96" s="20">
        <f t="shared" si="37"/>
        <v>765.43054870490903</v>
      </c>
      <c r="AY96" s="20">
        <f t="shared" si="38"/>
        <v>23.419296747790163</v>
      </c>
      <c r="AZ96" s="20"/>
      <c r="BA96" s="20">
        <f t="shared" si="39"/>
        <v>-467.408764692445</v>
      </c>
      <c r="BB96" s="20">
        <f t="shared" si="40"/>
        <v>87.737098289344075</v>
      </c>
      <c r="BC96" s="20"/>
      <c r="BD96" s="20">
        <f t="shared" si="41"/>
        <v>-77.263846765321418</v>
      </c>
      <c r="BE96" s="20">
        <f t="shared" si="42"/>
        <v>-818.38815839981896</v>
      </c>
      <c r="BF96" s="20"/>
      <c r="BG96" s="54">
        <f t="shared" si="43"/>
        <v>22952.785831856778</v>
      </c>
      <c r="BH96" s="54">
        <f t="shared" si="44"/>
        <v>17355.865919871263</v>
      </c>
      <c r="BI96" s="54">
        <f t="shared" si="45"/>
        <v>21894.989329495078</v>
      </c>
      <c r="BJ96" s="20"/>
    </row>
    <row r="97" spans="1:62" x14ac:dyDescent="0.3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C97" s="19">
        <v>93</v>
      </c>
      <c r="AD97" s="19">
        <f t="shared" si="46"/>
        <v>5.8433623356770088</v>
      </c>
      <c r="AE97" s="19">
        <f t="shared" si="31"/>
        <v>24524.135262330085</v>
      </c>
      <c r="AF97" s="19">
        <f t="shared" si="32"/>
        <v>5371.1035421746074</v>
      </c>
      <c r="AG97" s="19">
        <f t="shared" si="33"/>
        <v>-16833.105316368943</v>
      </c>
      <c r="AH97" s="19">
        <f t="shared" si="34"/>
        <v>8509.7724795222239</v>
      </c>
      <c r="AI97" s="19">
        <f t="shared" si="35"/>
        <v>-475.86473766991639</v>
      </c>
      <c r="AJ97" s="19">
        <f t="shared" si="36"/>
        <v>-17128.896457825394</v>
      </c>
      <c r="AK97">
        <v>93</v>
      </c>
      <c r="AL97">
        <v>46.5</v>
      </c>
      <c r="AN97" s="48">
        <f t="shared" si="47"/>
        <v>23.217842275216505</v>
      </c>
      <c r="AO97" s="48">
        <f t="shared" si="48"/>
        <v>8255.8633784172089</v>
      </c>
      <c r="AP97" s="20"/>
      <c r="AQ97" s="50">
        <f t="shared" si="49"/>
        <v>5985.7251175251049</v>
      </c>
      <c r="AR97" s="50">
        <f t="shared" si="50"/>
        <v>2738.7997487853017</v>
      </c>
      <c r="AS97" s="20"/>
      <c r="AT97" s="52">
        <f t="shared" si="51"/>
        <v>410.54289145196663</v>
      </c>
      <c r="AU97" s="52">
        <f t="shared" si="52"/>
        <v>-711.30415115293863</v>
      </c>
      <c r="AV97" s="20"/>
      <c r="AW97" s="20"/>
      <c r="AX97" s="20">
        <f t="shared" si="37"/>
        <v>936.55706256767644</v>
      </c>
      <c r="AY97" s="20">
        <f t="shared" si="38"/>
        <v>-35.436597336030971</v>
      </c>
      <c r="AZ97" s="20"/>
      <c r="BA97" s="20">
        <f t="shared" si="39"/>
        <v>-373.0101376210871</v>
      </c>
      <c r="BB97" s="20">
        <f t="shared" si="40"/>
        <v>32.491313153123549</v>
      </c>
      <c r="BC97" s="20"/>
      <c r="BD97" s="20">
        <f t="shared" si="41"/>
        <v>-153.00403349462275</v>
      </c>
      <c r="BE97" s="20">
        <f t="shared" si="42"/>
        <v>-708.35886697003116</v>
      </c>
      <c r="BF97" s="20"/>
      <c r="BG97" s="54">
        <f t="shared" si="43"/>
        <v>19991.076880048848</v>
      </c>
      <c r="BH97" s="54">
        <f t="shared" si="44"/>
        <v>20099.03642749957</v>
      </c>
      <c r="BI97" s="54">
        <f t="shared" si="45"/>
        <v>23792.181467166032</v>
      </c>
      <c r="BJ97" s="20"/>
    </row>
    <row r="98" spans="1:62" x14ac:dyDescent="0.3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C98" s="19">
        <v>94</v>
      </c>
      <c r="AD98" s="19">
        <f t="shared" si="46"/>
        <v>5.9061941887488043</v>
      </c>
      <c r="AE98" s="19">
        <f t="shared" si="31"/>
        <v>24648.882429441244</v>
      </c>
      <c r="AF98" s="19">
        <f t="shared" si="32"/>
        <v>5659.3772365765781</v>
      </c>
      <c r="AG98" s="19">
        <f t="shared" si="33"/>
        <v>-16745.782299391129</v>
      </c>
      <c r="AH98" s="19">
        <f t="shared" si="34"/>
        <v>8711.5640656036048</v>
      </c>
      <c r="AI98" s="19">
        <f t="shared" si="35"/>
        <v>-351.11757055875569</v>
      </c>
      <c r="AJ98" s="19">
        <f t="shared" si="36"/>
        <v>-16840.622763423424</v>
      </c>
      <c r="AK98">
        <v>94</v>
      </c>
      <c r="AL98">
        <v>47</v>
      </c>
      <c r="AN98" s="48">
        <f t="shared" si="47"/>
        <v>3067.3982624692644</v>
      </c>
      <c r="AO98" s="48">
        <f t="shared" si="48"/>
        <v>9536.3502339157421</v>
      </c>
      <c r="AP98" s="20"/>
      <c r="AQ98" s="50">
        <f t="shared" si="49"/>
        <v>6190.9965632510884</v>
      </c>
      <c r="AR98" s="50">
        <f t="shared" si="50"/>
        <v>2383.1476732088322</v>
      </c>
      <c r="AS98" s="20"/>
      <c r="AT98" s="52">
        <f t="shared" si="51"/>
        <v>652.94988301187152</v>
      </c>
      <c r="AU98" s="52">
        <f t="shared" si="52"/>
        <v>-736.70889288802732</v>
      </c>
      <c r="AV98" s="20"/>
      <c r="AW98" s="20"/>
      <c r="AX98" s="20">
        <f t="shared" si="37"/>
        <v>1147.3368295627897</v>
      </c>
      <c r="AY98" s="20">
        <f t="shared" si="38"/>
        <v>-137.98113588662511</v>
      </c>
      <c r="AZ98" s="20"/>
      <c r="BA98" s="20">
        <f t="shared" si="39"/>
        <v>-295.57564450605724</v>
      </c>
      <c r="BB98" s="20">
        <f t="shared" si="40"/>
        <v>5.9410071684767143</v>
      </c>
      <c r="BC98" s="20"/>
      <c r="BD98" s="20">
        <f t="shared" si="41"/>
        <v>-198.81130204486101</v>
      </c>
      <c r="BE98" s="20">
        <f t="shared" si="42"/>
        <v>-604.66876416987895</v>
      </c>
      <c r="BF98" s="20"/>
      <c r="BG98" s="54">
        <f t="shared" si="43"/>
        <v>17054.610047638074</v>
      </c>
      <c r="BH98" s="54">
        <f t="shared" si="44"/>
        <v>23072.057422452814</v>
      </c>
      <c r="BI98" s="54">
        <f t="shared" si="45"/>
        <v>25828.577148706219</v>
      </c>
      <c r="BJ98" s="20"/>
    </row>
    <row r="99" spans="1:62" x14ac:dyDescent="0.3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C99" s="19">
        <v>95</v>
      </c>
      <c r="AD99" s="19">
        <f t="shared" si="46"/>
        <v>5.9690260418205998</v>
      </c>
      <c r="AE99" s="19">
        <f t="shared" si="31"/>
        <v>24755.282581475756</v>
      </c>
      <c r="AF99" s="19">
        <f t="shared" si="32"/>
        <v>5954.9150281252278</v>
      </c>
      <c r="AG99" s="19">
        <f t="shared" si="33"/>
        <v>-16671.30219296697</v>
      </c>
      <c r="AH99" s="19">
        <f t="shared" si="34"/>
        <v>8918.4405196876596</v>
      </c>
      <c r="AI99" s="19">
        <f t="shared" si="35"/>
        <v>-244.71741852424384</v>
      </c>
      <c r="AJ99" s="19">
        <f t="shared" si="36"/>
        <v>-16545.08497187477</v>
      </c>
      <c r="AK99">
        <v>95</v>
      </c>
      <c r="AL99">
        <v>47.5</v>
      </c>
      <c r="AN99" s="48">
        <f t="shared" si="47"/>
        <v>6244.5152794712922</v>
      </c>
      <c r="AO99" s="48">
        <f t="shared" si="48"/>
        <v>10635.835458909156</v>
      </c>
      <c r="AP99" s="20"/>
      <c r="AQ99" s="50">
        <f t="shared" si="49"/>
        <v>6517.4715047570244</v>
      </c>
      <c r="AR99" s="50">
        <f t="shared" si="50"/>
        <v>2014.7932267648184</v>
      </c>
      <c r="AS99" s="20"/>
      <c r="AT99" s="52">
        <f t="shared" si="51"/>
        <v>933.5693571619679</v>
      </c>
      <c r="AU99" s="52">
        <f t="shared" si="52"/>
        <v>-834.21171524763099</v>
      </c>
      <c r="AV99" s="20"/>
      <c r="AW99" s="20"/>
      <c r="AX99" s="20">
        <f t="shared" si="37"/>
        <v>1392.7261489623945</v>
      </c>
      <c r="AY99" s="20">
        <f t="shared" si="38"/>
        <v>-317.49953790784389</v>
      </c>
      <c r="AZ99" s="20"/>
      <c r="BA99" s="20">
        <f t="shared" si="39"/>
        <v>-235.0113757790152</v>
      </c>
      <c r="BB99" s="20">
        <f t="shared" si="40"/>
        <v>-5.6937064516564586</v>
      </c>
      <c r="BC99" s="20"/>
      <c r="BD99" s="20">
        <f t="shared" si="41"/>
        <v>-224.14541602141139</v>
      </c>
      <c r="BE99" s="20">
        <f t="shared" si="42"/>
        <v>-511.01847088813071</v>
      </c>
      <c r="BF99" s="20"/>
      <c r="BG99" s="54">
        <f t="shared" si="43"/>
        <v>14108.395511965588</v>
      </c>
      <c r="BH99" s="54">
        <f t="shared" si="44"/>
        <v>26252.216458524192</v>
      </c>
      <c r="BI99" s="54">
        <f t="shared" si="45"/>
        <v>27993.484662444709</v>
      </c>
      <c r="BJ99" s="20"/>
    </row>
    <row r="100" spans="1:62" x14ac:dyDescent="0.3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C100" s="19">
        <v>96</v>
      </c>
      <c r="AD100" s="19">
        <f t="shared" si="46"/>
        <v>6.0318578948923953</v>
      </c>
      <c r="AE100" s="19">
        <f t="shared" ref="AE100:AE105" si="53">COS(AD100)*r_1+q_1x</f>
        <v>24842.915805643148</v>
      </c>
      <c r="AF100" s="19">
        <f t="shared" ref="AF100:AF105" si="54">SIN(AD100)*r_1+q_1y</f>
        <v>6256.550564175689</v>
      </c>
      <c r="AG100" s="19">
        <f t="shared" ref="AG100:AG105" si="55">COS(AD100)*r_2+q_2x</f>
        <v>-16609.958936049799</v>
      </c>
      <c r="AH100" s="19">
        <f t="shared" ref="AH100:AH105" si="56">SIN(AD100)*r_2+q_2y</f>
        <v>9129.5853949229822</v>
      </c>
      <c r="AI100" s="19">
        <f t="shared" ref="AI100:AI105" si="57">COS(AD100)*r_3+q_3x</f>
        <v>-157.08419435685391</v>
      </c>
      <c r="AJ100" s="19">
        <f t="shared" ref="AJ100:AJ105" si="58">SIN(AD100)*r_3+q_3y</f>
        <v>-16243.449435824312</v>
      </c>
      <c r="AK100">
        <v>96</v>
      </c>
      <c r="AL100">
        <v>48</v>
      </c>
      <c r="AN100" s="48">
        <f t="shared" si="47"/>
        <v>9619.9472014950497</v>
      </c>
      <c r="AO100" s="48">
        <f t="shared" si="48"/>
        <v>11538.955607885611</v>
      </c>
      <c r="AP100" s="20"/>
      <c r="AQ100" s="50">
        <f t="shared" si="49"/>
        <v>6984.2561833380087</v>
      </c>
      <c r="AR100" s="50">
        <f t="shared" si="50"/>
        <v>1597.6873691410028</v>
      </c>
      <c r="AS100" s="20"/>
      <c r="AT100" s="52">
        <f t="shared" si="51"/>
        <v>1196.9085441347956</v>
      </c>
      <c r="AU100" s="52">
        <f t="shared" si="52"/>
        <v>-1068.106194879748</v>
      </c>
      <c r="AV100" s="20"/>
      <c r="AW100" s="20"/>
      <c r="AX100" s="20">
        <f t="shared" si="37"/>
        <v>1620.5244494125402</v>
      </c>
      <c r="AY100" s="20">
        <f t="shared" si="38"/>
        <v>-630.5580944263827</v>
      </c>
      <c r="AZ100" s="20"/>
      <c r="BA100" s="20">
        <f t="shared" si="39"/>
        <v>-187.95638365000826</v>
      </c>
      <c r="BB100" s="20">
        <f t="shared" si="40"/>
        <v>-9.7655991311652155</v>
      </c>
      <c r="BC100" s="20"/>
      <c r="BD100" s="20">
        <f t="shared" si="41"/>
        <v>-235.65952162773624</v>
      </c>
      <c r="BE100" s="20">
        <f t="shared" si="42"/>
        <v>-427.78250132220006</v>
      </c>
      <c r="BF100" s="20"/>
      <c r="BG100" s="54">
        <f t="shared" si="43"/>
        <v>11138.16225874902</v>
      </c>
      <c r="BH100" s="54">
        <f t="shared" si="44"/>
        <v>29659.899807356011</v>
      </c>
      <c r="BI100" s="54">
        <f t="shared" si="45"/>
        <v>30299.488789942086</v>
      </c>
      <c r="BJ100" s="20"/>
    </row>
    <row r="101" spans="1:62" x14ac:dyDescent="0.3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C101" s="19">
        <v>97</v>
      </c>
      <c r="AD101" s="19">
        <f t="shared" si="46"/>
        <v>6.0946897479641908</v>
      </c>
      <c r="AE101" s="19">
        <f t="shared" si="53"/>
        <v>24911.436253643435</v>
      </c>
      <c r="AF101" s="19">
        <f t="shared" si="54"/>
        <v>6563.0934270713369</v>
      </c>
      <c r="AG101" s="19">
        <f t="shared" si="55"/>
        <v>-16561.994622449594</v>
      </c>
      <c r="AH101" s="19">
        <f t="shared" si="56"/>
        <v>9344.1653989499355</v>
      </c>
      <c r="AI101" s="19">
        <f t="shared" si="57"/>
        <v>-88.563746356564479</v>
      </c>
      <c r="AJ101" s="19">
        <f t="shared" si="58"/>
        <v>-15936.906572928663</v>
      </c>
      <c r="AK101">
        <v>97</v>
      </c>
      <c r="AL101">
        <v>48.5</v>
      </c>
      <c r="AN101" s="48">
        <f t="shared" si="47"/>
        <v>13261.688861180904</v>
      </c>
      <c r="AO101" s="48">
        <f t="shared" si="48"/>
        <v>12204.286018096145</v>
      </c>
      <c r="AP101" s="20"/>
      <c r="AQ101" s="50">
        <f t="shared" si="49"/>
        <v>7582.7104554054067</v>
      </c>
      <c r="AR101" s="50">
        <f t="shared" si="50"/>
        <v>1063.6342717011289</v>
      </c>
      <c r="AS101" s="20"/>
      <c r="AT101" s="52">
        <f t="shared" si="51"/>
        <v>1238.0141713424234</v>
      </c>
      <c r="AU101" s="52">
        <f t="shared" si="52"/>
        <v>-1500.2046662372732</v>
      </c>
      <c r="AV101" s="20"/>
      <c r="AW101" s="20"/>
      <c r="AX101" s="20">
        <f t="shared" si="37"/>
        <v>1627.0121573930885</v>
      </c>
      <c r="AY101" s="20">
        <f t="shared" si="38"/>
        <v>-1135.882624832032</v>
      </c>
      <c r="AZ101" s="20"/>
      <c r="BA101" s="20">
        <f t="shared" si="39"/>
        <v>-151.16053084603732</v>
      </c>
      <c r="BB101" s="20">
        <f t="shared" si="40"/>
        <v>-10.017562428129853</v>
      </c>
      <c r="BC101" s="20"/>
      <c r="BD101" s="20">
        <f t="shared" si="41"/>
        <v>-237.8374552046277</v>
      </c>
      <c r="BE101" s="20">
        <f t="shared" si="42"/>
        <v>-354.30447897711144</v>
      </c>
      <c r="BF101" s="20"/>
      <c r="BG101" s="54">
        <f t="shared" si="43"/>
        <v>8217.9768765547378</v>
      </c>
      <c r="BH101" s="54">
        <f t="shared" si="44"/>
        <v>33334.648981916398</v>
      </c>
      <c r="BI101" s="54">
        <f t="shared" si="45"/>
        <v>32765.262974939789</v>
      </c>
      <c r="BJ101" s="20"/>
    </row>
    <row r="102" spans="1:62" x14ac:dyDescent="0.3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C102" s="19">
        <v>98</v>
      </c>
      <c r="AD102" s="19">
        <f t="shared" si="46"/>
        <v>6.1575216010359863</v>
      </c>
      <c r="AE102" s="19">
        <f t="shared" si="53"/>
        <v>24960.573506572386</v>
      </c>
      <c r="AF102" s="19">
        <f t="shared" si="54"/>
        <v>6873.3338321784368</v>
      </c>
      <c r="AG102" s="19">
        <f t="shared" si="55"/>
        <v>-16527.598545399331</v>
      </c>
      <c r="AH102" s="19">
        <f t="shared" si="56"/>
        <v>9561.3336825249062</v>
      </c>
      <c r="AI102" s="19">
        <f t="shared" si="57"/>
        <v>-39.426493427616151</v>
      </c>
      <c r="AJ102" s="19">
        <f t="shared" si="58"/>
        <v>-15626.666167821562</v>
      </c>
      <c r="AK102">
        <v>98</v>
      </c>
      <c r="AL102">
        <v>49</v>
      </c>
      <c r="AN102" s="48">
        <f t="shared" si="47"/>
        <v>17207.795860301412</v>
      </c>
      <c r="AO102" s="48">
        <f t="shared" si="48"/>
        <v>12548.57757066705</v>
      </c>
      <c r="AP102" s="20"/>
      <c r="AQ102" s="50">
        <f t="shared" si="49"/>
        <v>8201.7175410766176</v>
      </c>
      <c r="AR102" s="50">
        <f t="shared" si="50"/>
        <v>313.53193858249233</v>
      </c>
      <c r="AS102" s="20"/>
      <c r="AT102" s="52">
        <f t="shared" si="51"/>
        <v>593.94023368174066</v>
      </c>
      <c r="AU102" s="52">
        <f t="shared" si="52"/>
        <v>-2016.398677337947</v>
      </c>
      <c r="AV102" s="20"/>
      <c r="AW102" s="20"/>
      <c r="AX102" s="20">
        <f t="shared" si="37"/>
        <v>950.11489254535661</v>
      </c>
      <c r="AY102" s="20">
        <f t="shared" si="38"/>
        <v>-1717.9004456955709</v>
      </c>
      <c r="AZ102" s="20"/>
      <c r="BA102" s="20">
        <f t="shared" si="39"/>
        <v>-122.29853573234665</v>
      </c>
      <c r="BB102" s="20">
        <f t="shared" si="40"/>
        <v>-8.3769354751119227</v>
      </c>
      <c r="BC102" s="20"/>
      <c r="BD102" s="20">
        <f t="shared" si="41"/>
        <v>-233.87612313126925</v>
      </c>
      <c r="BE102" s="20">
        <f t="shared" si="42"/>
        <v>-290.12129616726423</v>
      </c>
      <c r="BF102" s="20"/>
      <c r="BG102" s="54">
        <f t="shared" si="43"/>
        <v>5769.2754696575503</v>
      </c>
      <c r="BH102" s="54">
        <f t="shared" si="44"/>
        <v>37294.977147272395</v>
      </c>
      <c r="BI102" s="54">
        <f t="shared" si="45"/>
        <v>35385.170949705476</v>
      </c>
      <c r="BJ102" s="20"/>
    </row>
    <row r="103" spans="1:62" x14ac:dyDescent="0.3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C103" s="19">
        <v>99</v>
      </c>
      <c r="AD103" s="19">
        <f t="shared" si="46"/>
        <v>6.2203534541077818</v>
      </c>
      <c r="AE103" s="19">
        <f t="shared" si="53"/>
        <v>24990.133642141354</v>
      </c>
      <c r="AF103" s="19">
        <f t="shared" si="54"/>
        <v>7186.0474023533898</v>
      </c>
      <c r="AG103" s="19">
        <f t="shared" si="55"/>
        <v>-16506.90645050105</v>
      </c>
      <c r="AH103" s="19">
        <f t="shared" si="56"/>
        <v>9780.2331816473725</v>
      </c>
      <c r="AI103" s="19">
        <f t="shared" si="57"/>
        <v>-9.8663578586447329</v>
      </c>
      <c r="AJ103" s="19">
        <f t="shared" si="58"/>
        <v>-15313.95259764661</v>
      </c>
      <c r="AK103">
        <v>99</v>
      </c>
      <c r="AL103">
        <v>49.5</v>
      </c>
      <c r="AN103" s="48">
        <f t="shared" si="47"/>
        <v>21382.897160049939</v>
      </c>
      <c r="AO103" s="48">
        <f t="shared" si="48"/>
        <v>12453.293705291053</v>
      </c>
      <c r="AP103" s="20"/>
      <c r="AQ103" s="50">
        <f t="shared" si="49"/>
        <v>8498.6876579174877</v>
      </c>
      <c r="AR103" s="50">
        <f t="shared" si="50"/>
        <v>-694.66740008648117</v>
      </c>
      <c r="AS103" s="20"/>
      <c r="AT103" s="52">
        <f t="shared" si="51"/>
        <v>-835.68170170755775</v>
      </c>
      <c r="AU103" s="52">
        <f t="shared" si="52"/>
        <v>-2065.5548533757956</v>
      </c>
      <c r="AV103" s="20"/>
      <c r="AW103" s="20"/>
      <c r="AX103" s="20">
        <f t="shared" si="37"/>
        <v>-509.24059530524761</v>
      </c>
      <c r="AY103" s="20">
        <f t="shared" si="38"/>
        <v>-1824.0099900943192</v>
      </c>
      <c r="AZ103" s="20"/>
      <c r="BA103" s="20">
        <f t="shared" si="39"/>
        <v>-100.01182326250122</v>
      </c>
      <c r="BB103" s="20">
        <f t="shared" si="40"/>
        <v>-5.9289801657830443</v>
      </c>
      <c r="BC103" s="20"/>
      <c r="BD103" s="20">
        <f t="shared" si="41"/>
        <v>-226.42928313980894</v>
      </c>
      <c r="BE103" s="20">
        <f t="shared" si="42"/>
        <v>-235.61588311569326</v>
      </c>
      <c r="BF103" s="20"/>
      <c r="BG103" s="54">
        <f t="shared" si="43"/>
        <v>5142.7155361880705</v>
      </c>
      <c r="BH103" s="54">
        <f t="shared" si="44"/>
        <v>41455.552431051859</v>
      </c>
      <c r="BI103" s="54">
        <f t="shared" si="45"/>
        <v>38075.459259564348</v>
      </c>
      <c r="BJ103" s="20"/>
    </row>
    <row r="104" spans="1:62" x14ac:dyDescent="0.3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C104" s="19">
        <v>100</v>
      </c>
      <c r="AD104" s="19">
        <f t="shared" si="46"/>
        <v>6.2831853071795774</v>
      </c>
      <c r="AE104" s="19">
        <f t="shared" si="53"/>
        <v>25000</v>
      </c>
      <c r="AF104" s="19">
        <f t="shared" si="54"/>
        <v>7499.9999999999545</v>
      </c>
      <c r="AG104" s="19">
        <f t="shared" si="55"/>
        <v>-16500</v>
      </c>
      <c r="AH104" s="19">
        <f t="shared" si="56"/>
        <v>9999.9999999999673</v>
      </c>
      <c r="AI104" s="19">
        <f t="shared" si="57"/>
        <v>0</v>
      </c>
      <c r="AJ104" s="19">
        <f t="shared" si="58"/>
        <v>-15000.000000000045</v>
      </c>
      <c r="AK104">
        <v>100</v>
      </c>
      <c r="AL104">
        <v>50</v>
      </c>
      <c r="AN104" s="48">
        <f t="shared" si="47"/>
        <v>25527.780776295236</v>
      </c>
      <c r="AO104" s="48">
        <f t="shared" si="48"/>
        <v>11847.765648575838</v>
      </c>
      <c r="AP104" s="20"/>
      <c r="AQ104" s="50">
        <f t="shared" si="49"/>
        <v>8080.8468070637091</v>
      </c>
      <c r="AR104" s="50">
        <f t="shared" si="50"/>
        <v>-1727.444826774379</v>
      </c>
      <c r="AS104" s="20"/>
      <c r="AT104" s="52">
        <f t="shared" si="51"/>
        <v>-1885.3210685858332</v>
      </c>
      <c r="AU104" s="52">
        <f t="shared" si="52"/>
        <v>-1440.8474809543436</v>
      </c>
      <c r="AV104" s="20"/>
      <c r="AW104" s="20"/>
      <c r="AX104" s="20">
        <f t="shared" si="37"/>
        <v>-1584.0338812481118</v>
      </c>
      <c r="AY104" s="20">
        <f t="shared" si="38"/>
        <v>-1245.8902358437103</v>
      </c>
      <c r="AZ104" s="20"/>
      <c r="BA104" s="20">
        <f t="shared" si="39"/>
        <v>-83.458704714525624</v>
      </c>
      <c r="BB104" s="20">
        <f t="shared" si="40"/>
        <v>-3.3872094140469899</v>
      </c>
      <c r="BC104" s="20"/>
      <c r="BD104" s="20">
        <f t="shared" si="41"/>
        <v>-217.82848262319595</v>
      </c>
      <c r="BE104" s="20">
        <f t="shared" si="42"/>
        <v>-191.57003569658627</v>
      </c>
      <c r="BF104" s="20"/>
      <c r="BG104" s="54">
        <f t="shared" si="43"/>
        <v>7032.7396116815835</v>
      </c>
      <c r="BH104" s="54">
        <f t="shared" si="44"/>
        <v>45565.261552047028</v>
      </c>
      <c r="BI104" s="54">
        <f t="shared" si="45"/>
        <v>40654.002502169322</v>
      </c>
      <c r="BJ104" s="20"/>
    </row>
    <row r="105" spans="1:62" x14ac:dyDescent="0.3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C105" s="19">
        <v>0</v>
      </c>
      <c r="AD105" s="19">
        <f t="shared" si="46"/>
        <v>6.3460171602513729</v>
      </c>
      <c r="AE105" s="19">
        <f t="shared" si="53"/>
        <v>24990.133642141362</v>
      </c>
      <c r="AF105" s="19">
        <f t="shared" si="54"/>
        <v>7813.9525976465193</v>
      </c>
      <c r="AG105" s="19">
        <f t="shared" si="55"/>
        <v>-16506.906450501046</v>
      </c>
      <c r="AH105" s="19">
        <f t="shared" si="56"/>
        <v>10219.766818352564</v>
      </c>
      <c r="AI105" s="19">
        <f t="shared" si="57"/>
        <v>-9.8663578586392759</v>
      </c>
      <c r="AJ105" s="19">
        <f t="shared" si="58"/>
        <v>-14686.047402353481</v>
      </c>
      <c r="AK105">
        <v>101</v>
      </c>
      <c r="AL105">
        <v>50.5</v>
      </c>
      <c r="AN105" s="48">
        <f t="shared" si="47"/>
        <v>29332.539046253863</v>
      </c>
      <c r="AO105" s="48">
        <f t="shared" si="48"/>
        <v>10803.937300069356</v>
      </c>
      <c r="AP105" s="20"/>
      <c r="AQ105" s="50">
        <f t="shared" si="49"/>
        <v>7138.1862727707921</v>
      </c>
      <c r="AR105" s="50">
        <f t="shared" si="50"/>
        <v>-2447.8685672515508</v>
      </c>
      <c r="AS105" s="20"/>
      <c r="AT105" s="52">
        <f t="shared" si="51"/>
        <v>-2034.951051325196</v>
      </c>
      <c r="AU105" s="52">
        <f t="shared" si="52"/>
        <v>-779.58621491934696</v>
      </c>
      <c r="AV105" s="20"/>
      <c r="AW105" s="20"/>
      <c r="AX105" s="20">
        <f t="shared" si="37"/>
        <v>-1753.7198960975188</v>
      </c>
      <c r="AY105" s="20">
        <f t="shared" si="38"/>
        <v>-620.85789835684284</v>
      </c>
      <c r="AZ105" s="20"/>
      <c r="BA105" s="20">
        <f t="shared" si="39"/>
        <v>-71.592978894655317</v>
      </c>
      <c r="BB105" s="20">
        <f t="shared" si="40"/>
        <v>-1.16669985509011</v>
      </c>
      <c r="BC105" s="20"/>
      <c r="BD105" s="20">
        <f t="shared" si="41"/>
        <v>-209.63817633302179</v>
      </c>
      <c r="BE105" s="20">
        <f t="shared" si="42"/>
        <v>-157.56161670741403</v>
      </c>
      <c r="BF105" s="20"/>
      <c r="BG105" s="54">
        <f t="shared" si="43"/>
        <v>9900.1154908739591</v>
      </c>
      <c r="BH105" s="54">
        <f t="shared" si="44"/>
        <v>49339.089208583944</v>
      </c>
      <c r="BI105" s="54">
        <f t="shared" si="45"/>
        <v>42948.415774606365</v>
      </c>
      <c r="BJ105" s="20"/>
    </row>
    <row r="106" spans="1:62" x14ac:dyDescent="0.3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K106">
        <v>102</v>
      </c>
      <c r="AL106">
        <v>51</v>
      </c>
      <c r="AN106" s="48">
        <f t="shared" si="47"/>
        <v>32647.263301223611</v>
      </c>
      <c r="AO106" s="48">
        <f t="shared" si="48"/>
        <v>9482.5547395786634</v>
      </c>
      <c r="AP106" s="20"/>
      <c r="AQ106" s="50">
        <f t="shared" si="49"/>
        <v>6120.7107471081945</v>
      </c>
      <c r="AR106" s="50">
        <f t="shared" si="50"/>
        <v>-2837.6616747112244</v>
      </c>
      <c r="AS106" s="20"/>
      <c r="AT106" s="52">
        <f t="shared" si="51"/>
        <v>-1810.3320987292968</v>
      </c>
      <c r="AU106" s="52">
        <f t="shared" si="52"/>
        <v>-373.17344508080731</v>
      </c>
      <c r="AV106" s="20"/>
      <c r="AW106" s="20"/>
      <c r="AX106" s="20">
        <f t="shared" si="37"/>
        <v>-1544.813682427442</v>
      </c>
      <c r="AY106" s="20">
        <f t="shared" si="38"/>
        <v>-242.16129726390548</v>
      </c>
      <c r="AZ106" s="20"/>
      <c r="BA106" s="20">
        <f t="shared" si="39"/>
        <v>-63.104950858364582</v>
      </c>
      <c r="BB106" s="20">
        <f t="shared" si="40"/>
        <v>0.62022896696366714</v>
      </c>
      <c r="BC106" s="20"/>
      <c r="BD106" s="20">
        <f t="shared" si="41"/>
        <v>-202.41346544349005</v>
      </c>
      <c r="BE106" s="20">
        <f t="shared" si="42"/>
        <v>-131.63237678386551</v>
      </c>
      <c r="BF106" s="20"/>
      <c r="BG106" s="54">
        <f t="shared" si="43"/>
        <v>12801.71052265686</v>
      </c>
      <c r="BH106" s="54">
        <f t="shared" si="44"/>
        <v>52649.806103212752</v>
      </c>
      <c r="BI106" s="54">
        <f t="shared" si="45"/>
        <v>44907.815808031941</v>
      </c>
      <c r="BJ106" s="20"/>
    </row>
    <row r="107" spans="1:62" x14ac:dyDescent="0.3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K107">
        <v>103</v>
      </c>
      <c r="AL107">
        <v>51.5</v>
      </c>
      <c r="AN107" s="48">
        <f t="shared" si="47"/>
        <v>35481.327162436552</v>
      </c>
      <c r="AO107" s="48">
        <f t="shared" si="48"/>
        <v>8017.0772215879506</v>
      </c>
      <c r="AP107" s="20"/>
      <c r="AQ107" s="50">
        <f t="shared" si="49"/>
        <v>5215.5446977435458</v>
      </c>
      <c r="AR107" s="50">
        <f t="shared" si="50"/>
        <v>-3024.2483972516279</v>
      </c>
      <c r="AS107" s="20"/>
      <c r="AT107" s="52">
        <f t="shared" si="51"/>
        <v>-1546.3625894324077</v>
      </c>
      <c r="AU107" s="52">
        <f t="shared" si="52"/>
        <v>-152.70514254838213</v>
      </c>
      <c r="AV107" s="20"/>
      <c r="AW107" s="20"/>
      <c r="AX107" s="20">
        <f t="shared" si="37"/>
        <v>-1293.3188017684374</v>
      </c>
      <c r="AY107" s="20">
        <f t="shared" si="38"/>
        <v>-43.196922694619261</v>
      </c>
      <c r="AZ107" s="20"/>
      <c r="BA107" s="20">
        <f t="shared" si="39"/>
        <v>-56.871170826516725</v>
      </c>
      <c r="BB107" s="20">
        <f t="shared" si="40"/>
        <v>2.0325962956274446</v>
      </c>
      <c r="BC107" s="20"/>
      <c r="BD107" s="20">
        <f t="shared" si="41"/>
        <v>-196.17261683745366</v>
      </c>
      <c r="BE107" s="20">
        <f t="shared" si="42"/>
        <v>-111.54081614939031</v>
      </c>
      <c r="BF107" s="20"/>
      <c r="BG107" s="54">
        <f t="shared" si="43"/>
        <v>15489.959960034786</v>
      </c>
      <c r="BH107" s="54">
        <f t="shared" si="44"/>
        <v>55516.751043720717</v>
      </c>
      <c r="BI107" s="54">
        <f t="shared" si="45"/>
        <v>46567.410199159305</v>
      </c>
      <c r="BJ107" s="20"/>
    </row>
    <row r="108" spans="1:62" x14ac:dyDescent="0.3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K108">
        <v>104</v>
      </c>
      <c r="AL108">
        <v>52</v>
      </c>
      <c r="AN108" s="48">
        <f t="shared" si="47"/>
        <v>37895.804187629277</v>
      </c>
      <c r="AO108" s="48">
        <f t="shared" si="48"/>
        <v>6485.8648801435893</v>
      </c>
      <c r="AP108" s="20"/>
      <c r="AQ108" s="50">
        <f t="shared" si="49"/>
        <v>4442.3634030273424</v>
      </c>
      <c r="AR108" s="50">
        <f t="shared" si="50"/>
        <v>-3100.6009685258191</v>
      </c>
      <c r="AS108" s="20"/>
      <c r="AT108" s="52">
        <f t="shared" si="51"/>
        <v>-1326.5967828425305</v>
      </c>
      <c r="AU108" s="52">
        <f t="shared" si="52"/>
        <v>-31.008918171162065</v>
      </c>
      <c r="AV108" s="20"/>
      <c r="AW108" s="20"/>
      <c r="AX108" s="20">
        <f t="shared" si="37"/>
        <v>-1083.6293990981815</v>
      </c>
      <c r="AY108" s="20">
        <f t="shared" si="38"/>
        <v>61.408060739400952</v>
      </c>
      <c r="AZ108" s="20"/>
      <c r="BA108" s="20">
        <f t="shared" si="39"/>
        <v>-52.141466304809853</v>
      </c>
      <c r="BB108" s="20">
        <f t="shared" si="40"/>
        <v>3.1648607444629571</v>
      </c>
      <c r="BC108" s="20"/>
      <c r="BD108" s="20">
        <f t="shared" si="41"/>
        <v>-190.8259174395391</v>
      </c>
      <c r="BE108" s="20">
        <f t="shared" si="42"/>
        <v>-95.581839655025973</v>
      </c>
      <c r="BF108" s="20"/>
      <c r="BG108" s="54">
        <f t="shared" si="43"/>
        <v>17924.516104020651</v>
      </c>
      <c r="BH108" s="54">
        <f t="shared" si="44"/>
        <v>58002.355884678684</v>
      </c>
      <c r="BI108" s="54">
        <f t="shared" si="45"/>
        <v>47975.956546495465</v>
      </c>
      <c r="BJ108" s="20"/>
    </row>
    <row r="109" spans="1:62" x14ac:dyDescent="0.3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K109">
        <v>105</v>
      </c>
      <c r="AL109">
        <v>52.5</v>
      </c>
      <c r="AN109" s="48">
        <f t="shared" si="47"/>
        <v>39951.16129128763</v>
      </c>
      <c r="AO109" s="48">
        <f t="shared" si="48"/>
        <v>4931.6882811092846</v>
      </c>
      <c r="AP109" s="20"/>
      <c r="AQ109" s="50">
        <f t="shared" si="49"/>
        <v>3779.065011606077</v>
      </c>
      <c r="AR109" s="50">
        <f t="shared" si="50"/>
        <v>-3116.1054276114</v>
      </c>
      <c r="AS109" s="20"/>
      <c r="AT109" s="52">
        <f t="shared" si="51"/>
        <v>-1156.2235122574721</v>
      </c>
      <c r="AU109" s="52">
        <f t="shared" si="52"/>
        <v>40.116642297902501</v>
      </c>
      <c r="AV109" s="20"/>
      <c r="AW109" s="20"/>
      <c r="AX109" s="20">
        <f t="shared" si="37"/>
        <v>-921.48391755150874</v>
      </c>
      <c r="AY109" s="20">
        <f t="shared" si="38"/>
        <v>118.6225658578756</v>
      </c>
      <c r="AZ109" s="20"/>
      <c r="BA109" s="20">
        <f t="shared" si="39"/>
        <v>-48.450587105726122</v>
      </c>
      <c r="BB109" s="20">
        <f t="shared" si="40"/>
        <v>4.0960453997206105</v>
      </c>
      <c r="BC109" s="20"/>
      <c r="BD109" s="20">
        <f t="shared" si="41"/>
        <v>-186.28900760023723</v>
      </c>
      <c r="BE109" s="20">
        <f t="shared" si="42"/>
        <v>-82.601968959693707</v>
      </c>
      <c r="BF109" s="20"/>
      <c r="BG109" s="54">
        <f t="shared" si="43"/>
        <v>20115.791357944763</v>
      </c>
      <c r="BH109" s="54">
        <f t="shared" si="44"/>
        <v>60165.019104574618</v>
      </c>
      <c r="BI109" s="54">
        <f t="shared" si="45"/>
        <v>49171.934059691659</v>
      </c>
      <c r="BJ109" s="20"/>
    </row>
    <row r="110" spans="1:62" x14ac:dyDescent="0.3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K110">
        <v>106</v>
      </c>
      <c r="AL110">
        <v>53</v>
      </c>
      <c r="AN110" s="48">
        <f t="shared" si="47"/>
        <v>41696.165858058484</v>
      </c>
      <c r="AO110" s="48">
        <f t="shared" si="48"/>
        <v>3378.6501475908226</v>
      </c>
      <c r="AP110" s="20"/>
      <c r="AQ110" s="50">
        <f t="shared" si="49"/>
        <v>3200.9532554773409</v>
      </c>
      <c r="AR110" s="50">
        <f t="shared" si="50"/>
        <v>-3096.0471064624489</v>
      </c>
      <c r="AS110" s="20"/>
      <c r="AT110" s="52">
        <f t="shared" si="51"/>
        <v>-1025.3308720165724</v>
      </c>
      <c r="AU110" s="52">
        <f t="shared" si="52"/>
        <v>84.516704387782539</v>
      </c>
      <c r="AV110" s="20"/>
      <c r="AW110" s="20"/>
      <c r="AX110" s="20">
        <f t="shared" si="37"/>
        <v>-797.32971531147712</v>
      </c>
      <c r="AY110" s="20">
        <f t="shared" si="38"/>
        <v>151.45877506738728</v>
      </c>
      <c r="AZ110" s="20"/>
      <c r="BA110" s="20">
        <f t="shared" si="39"/>
        <v>-45.506953987369613</v>
      </c>
      <c r="BB110" s="20">
        <f t="shared" si="40"/>
        <v>4.8838928461306352</v>
      </c>
      <c r="BC110" s="20"/>
      <c r="BD110" s="20">
        <f t="shared" si="41"/>
        <v>-182.4942027177257</v>
      </c>
      <c r="BE110" s="20">
        <f t="shared" si="42"/>
        <v>-71.825963525735375</v>
      </c>
      <c r="BF110" s="20"/>
      <c r="BG110" s="54">
        <f t="shared" si="43"/>
        <v>22084.137690802778</v>
      </c>
      <c r="BH110" s="54">
        <f t="shared" si="44"/>
        <v>62050.456528965689</v>
      </c>
      <c r="BI110" s="54">
        <f t="shared" si="45"/>
        <v>50182.732957570646</v>
      </c>
      <c r="BJ110" s="20"/>
    </row>
    <row r="111" spans="1:62" x14ac:dyDescent="0.3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K111">
        <v>107</v>
      </c>
      <c r="AL111">
        <v>53.5</v>
      </c>
      <c r="AN111" s="48">
        <f t="shared" si="47"/>
        <v>43168.476126795089</v>
      </c>
      <c r="AO111" s="48">
        <f t="shared" si="48"/>
        <v>1841.191182408071</v>
      </c>
      <c r="AP111" s="20"/>
      <c r="AQ111" s="50">
        <f t="shared" si="49"/>
        <v>2688.2878194690547</v>
      </c>
      <c r="AR111" s="50">
        <f t="shared" si="50"/>
        <v>-3053.7887542685576</v>
      </c>
      <c r="AS111" s="20"/>
      <c r="AT111" s="52">
        <f t="shared" si="51"/>
        <v>-923.88588400910533</v>
      </c>
      <c r="AU111" s="52">
        <f t="shared" si="52"/>
        <v>114.1584735094155</v>
      </c>
      <c r="AV111" s="20"/>
      <c r="AW111" s="20"/>
      <c r="AX111" s="20">
        <f t="shared" si="37"/>
        <v>-701.37664853938725</v>
      </c>
      <c r="AY111" s="20">
        <f t="shared" si="38"/>
        <v>171.30847715174215</v>
      </c>
      <c r="AZ111" s="20"/>
      <c r="BA111" s="20">
        <f t="shared" si="39"/>
        <v>-43.121402840693804</v>
      </c>
      <c r="BB111" s="20">
        <f t="shared" si="40"/>
        <v>5.5695388474687295</v>
      </c>
      <c r="BC111" s="20"/>
      <c r="BD111" s="20">
        <f t="shared" si="41"/>
        <v>-179.3878326290243</v>
      </c>
      <c r="BE111" s="20">
        <f t="shared" si="42"/>
        <v>-62.71954248979538</v>
      </c>
      <c r="BF111" s="20"/>
      <c r="BG111" s="54">
        <f t="shared" si="43"/>
        <v>23849.53675172602</v>
      </c>
      <c r="BH111" s="54">
        <f t="shared" si="44"/>
        <v>63693.190668261363</v>
      </c>
      <c r="BI111" s="54">
        <f t="shared" si="45"/>
        <v>51027.716123887498</v>
      </c>
      <c r="BJ111" s="20"/>
    </row>
    <row r="112" spans="1:62" x14ac:dyDescent="0.3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K112">
        <v>108</v>
      </c>
      <c r="AL112">
        <v>54</v>
      </c>
      <c r="AN112" s="48">
        <f t="shared" si="47"/>
        <v>44397.134301028476</v>
      </c>
      <c r="AO112" s="48">
        <f t="shared" si="48"/>
        <v>328.56661446246915</v>
      </c>
      <c r="AP112" s="20"/>
      <c r="AQ112" s="50">
        <f t="shared" si="49"/>
        <v>2226.3448774645021</v>
      </c>
      <c r="AR112" s="50">
        <f t="shared" si="50"/>
        <v>-2996.7095175138497</v>
      </c>
      <c r="AS112" s="20"/>
      <c r="AT112" s="52">
        <f t="shared" si="51"/>
        <v>-844.22102722986244</v>
      </c>
      <c r="AU112" s="52">
        <f t="shared" si="52"/>
        <v>135.32684584214695</v>
      </c>
      <c r="AV112" s="20"/>
      <c r="AW112" s="20"/>
      <c r="AX112" s="20">
        <f t="shared" si="37"/>
        <v>-626.12661883837768</v>
      </c>
      <c r="AY112" s="20">
        <f t="shared" si="38"/>
        <v>184.04724434057755</v>
      </c>
      <c r="AZ112" s="20"/>
      <c r="BA112" s="20">
        <f t="shared" si="39"/>
        <v>-41.166609017039583</v>
      </c>
      <c r="BB112" s="20">
        <f t="shared" si="40"/>
        <v>6.1825750654623217</v>
      </c>
      <c r="BC112" s="20"/>
      <c r="BD112" s="20">
        <f t="shared" si="41"/>
        <v>-176.92779937444519</v>
      </c>
      <c r="BE112" s="20">
        <f t="shared" si="42"/>
        <v>-54.9029735638929</v>
      </c>
      <c r="BF112" s="20"/>
      <c r="BG112" s="54">
        <f t="shared" si="43"/>
        <v>25429.306300125892</v>
      </c>
      <c r="BH112" s="54">
        <f t="shared" si="44"/>
        <v>65119.332996550176</v>
      </c>
      <c r="BI112" s="54">
        <f t="shared" si="45"/>
        <v>51720.806563779122</v>
      </c>
      <c r="BJ112" s="20"/>
    </row>
    <row r="113" spans="1:62" x14ac:dyDescent="0.3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K113">
        <v>109</v>
      </c>
      <c r="AL113">
        <v>54.5</v>
      </c>
      <c r="AN113" s="48">
        <f t="shared" si="47"/>
        <v>45404.779111356998</v>
      </c>
      <c r="AO113" s="48">
        <f t="shared" si="48"/>
        <v>-1152.8722885641876</v>
      </c>
      <c r="AP113" s="20"/>
      <c r="AQ113" s="50">
        <f t="shared" si="49"/>
        <v>1804.2343638495709</v>
      </c>
      <c r="AR113" s="50">
        <f t="shared" si="50"/>
        <v>-2929.0460945927762</v>
      </c>
      <c r="AS113" s="20"/>
      <c r="AT113" s="52">
        <f t="shared" si="51"/>
        <v>-780.84269542513584</v>
      </c>
      <c r="AU113" s="52">
        <f t="shared" si="52"/>
        <v>151.49648306016792</v>
      </c>
      <c r="AV113" s="20"/>
      <c r="AW113" s="20"/>
      <c r="AX113" s="20">
        <f t="shared" si="37"/>
        <v>-566.2064753290731</v>
      </c>
      <c r="AY113" s="20">
        <f t="shared" si="38"/>
        <v>192.85002630825241</v>
      </c>
      <c r="AZ113" s="20"/>
      <c r="BA113" s="20">
        <f t="shared" si="39"/>
        <v>-39.55402705576369</v>
      </c>
      <c r="BB113" s="20">
        <f t="shared" si="40"/>
        <v>6.7447825410474405</v>
      </c>
      <c r="BC113" s="20"/>
      <c r="BD113" s="20">
        <f t="shared" si="41"/>
        <v>-175.08219304029913</v>
      </c>
      <c r="BE113" s="20">
        <f t="shared" si="42"/>
        <v>-48.09832578913192</v>
      </c>
      <c r="BF113" s="20"/>
      <c r="BG113" s="54">
        <f t="shared" si="43"/>
        <v>26837.939573280266</v>
      </c>
      <c r="BH113" s="54">
        <f t="shared" si="44"/>
        <v>66348.863523729058</v>
      </c>
      <c r="BI113" s="54">
        <f t="shared" si="45"/>
        <v>52272.217315907925</v>
      </c>
      <c r="BJ113" s="20"/>
    </row>
    <row r="114" spans="1:62" x14ac:dyDescent="0.3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K114">
        <v>110</v>
      </c>
      <c r="AL114">
        <v>55</v>
      </c>
      <c r="AN114" s="48">
        <f t="shared" si="47"/>
        <v>46209.290956353638</v>
      </c>
      <c r="AO114" s="48">
        <f t="shared" si="48"/>
        <v>-2598.4582754780549</v>
      </c>
      <c r="AP114" s="20"/>
      <c r="AQ114" s="50">
        <f t="shared" si="49"/>
        <v>1413.8130161370029</v>
      </c>
      <c r="AR114" s="50">
        <f t="shared" si="50"/>
        <v>-2853.2978530626924</v>
      </c>
      <c r="AS114" s="20"/>
      <c r="AT114" s="52">
        <f t="shared" si="51"/>
        <v>-729.85877141867763</v>
      </c>
      <c r="AU114" s="52">
        <f t="shared" si="52"/>
        <v>164.6884631745985</v>
      </c>
      <c r="AV114" s="20"/>
      <c r="AW114" s="20"/>
      <c r="AX114" s="20">
        <f t="shared" si="37"/>
        <v>-517.80982956876699</v>
      </c>
      <c r="AY114" s="20">
        <f t="shared" si="38"/>
        <v>199.5124922395112</v>
      </c>
      <c r="AZ114" s="20"/>
      <c r="BA114" s="20">
        <f t="shared" si="39"/>
        <v>-38.220398460072687</v>
      </c>
      <c r="BB114" s="20">
        <f t="shared" si="40"/>
        <v>7.2726665444702743</v>
      </c>
      <c r="BC114" s="20"/>
      <c r="BD114" s="20">
        <f t="shared" si="41"/>
        <v>-173.82854338983788</v>
      </c>
      <c r="BE114" s="20">
        <f t="shared" si="42"/>
        <v>-42.096695609382984</v>
      </c>
      <c r="BF114" s="20"/>
      <c r="BG114" s="54">
        <f t="shared" si="43"/>
        <v>28087.466813088929</v>
      </c>
      <c r="BH114" s="54">
        <f t="shared" si="44"/>
        <v>67397.265225393625</v>
      </c>
      <c r="BI114" s="54">
        <f t="shared" si="45"/>
        <v>52689.559852000479</v>
      </c>
      <c r="BJ114" s="20"/>
    </row>
    <row r="115" spans="1:62" x14ac:dyDescent="0.3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K115">
        <v>111</v>
      </c>
      <c r="AL115">
        <v>55.5</v>
      </c>
      <c r="AN115" s="48">
        <f t="shared" si="47"/>
        <v>46824.965117994805</v>
      </c>
      <c r="AO115" s="48">
        <f t="shared" si="48"/>
        <v>-4004.5211441125762</v>
      </c>
      <c r="AP115" s="20"/>
      <c r="AQ115" s="50">
        <f t="shared" si="49"/>
        <v>1048.8836304276642</v>
      </c>
      <c r="AR115" s="50">
        <f t="shared" si="50"/>
        <v>-2770.953621475393</v>
      </c>
      <c r="AS115" s="20"/>
      <c r="AT115" s="52">
        <f t="shared" si="51"/>
        <v>-688.493729368598</v>
      </c>
      <c r="AU115" s="52">
        <f t="shared" si="52"/>
        <v>176.13820568408178</v>
      </c>
      <c r="AV115" s="20"/>
      <c r="AW115" s="20"/>
      <c r="AX115" s="20">
        <f t="shared" si="37"/>
        <v>-478.22070848083041</v>
      </c>
      <c r="AY115" s="20">
        <f t="shared" si="38"/>
        <v>205.09626864638651</v>
      </c>
      <c r="AZ115" s="20"/>
      <c r="BA115" s="20">
        <f t="shared" si="39"/>
        <v>-37.119571671015741</v>
      </c>
      <c r="BB115" s="20">
        <f t="shared" si="40"/>
        <v>7.7791559697673165</v>
      </c>
      <c r="BC115" s="20"/>
      <c r="BD115" s="20">
        <f t="shared" si="41"/>
        <v>-173.15344921675188</v>
      </c>
      <c r="BE115" s="20">
        <f t="shared" si="42"/>
        <v>-36.737218932072047</v>
      </c>
      <c r="BF115" s="20"/>
      <c r="BG115" s="54">
        <f t="shared" si="43"/>
        <v>29187.887219478071</v>
      </c>
      <c r="BH115" s="54">
        <f t="shared" si="44"/>
        <v>68276.662011972425</v>
      </c>
      <c r="BI115" s="54">
        <f t="shared" si="45"/>
        <v>52978.557594102596</v>
      </c>
      <c r="BJ115" s="20"/>
    </row>
    <row r="116" spans="1:62" x14ac:dyDescent="0.3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K116">
        <v>112</v>
      </c>
      <c r="AL116">
        <v>56</v>
      </c>
      <c r="AN116" s="48">
        <f t="shared" si="47"/>
        <v>47263.34521703756</v>
      </c>
      <c r="AO116" s="48">
        <f t="shared" si="48"/>
        <v>-5367.9806791397623</v>
      </c>
      <c r="AP116" s="20"/>
      <c r="AQ116" s="50">
        <f t="shared" si="49"/>
        <v>704.63676574336523</v>
      </c>
      <c r="AR116" s="50">
        <f t="shared" si="50"/>
        <v>-2682.8845186333519</v>
      </c>
      <c r="AS116" s="20"/>
      <c r="AT116" s="52">
        <f t="shared" si="51"/>
        <v>-654.7432615750962</v>
      </c>
      <c r="AU116" s="52">
        <f t="shared" si="52"/>
        <v>186.63980917213249</v>
      </c>
      <c r="AV116" s="20"/>
      <c r="AW116" s="20"/>
      <c r="AX116" s="20">
        <f t="shared" si="37"/>
        <v>-445.47340013751756</v>
      </c>
      <c r="AY116" s="20">
        <f t="shared" si="38"/>
        <v>210.25824455533007</v>
      </c>
      <c r="AZ116" s="20"/>
      <c r="BA116" s="20">
        <f t="shared" si="39"/>
        <v>-36.217370602618942</v>
      </c>
      <c r="BB116" s="20">
        <f t="shared" si="40"/>
        <v>8.2747572228880237</v>
      </c>
      <c r="BC116" s="20"/>
      <c r="BD116" s="20">
        <f t="shared" si="41"/>
        <v>-173.05249083495974</v>
      </c>
      <c r="BE116" s="20">
        <f t="shared" si="42"/>
        <v>-31.893192606085595</v>
      </c>
      <c r="BF116" s="20"/>
      <c r="BG116" s="54">
        <f t="shared" si="43"/>
        <v>30147.55245757239</v>
      </c>
      <c r="BH116" s="54">
        <f t="shared" si="44"/>
        <v>68996.611800441213</v>
      </c>
      <c r="BI116" s="54">
        <f t="shared" si="45"/>
        <v>53143.513710260704</v>
      </c>
      <c r="BJ116" s="20"/>
    </row>
    <row r="117" spans="1:62" x14ac:dyDescent="0.3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K117">
        <v>113</v>
      </c>
      <c r="AL117">
        <v>56.5</v>
      </c>
      <c r="AN117" s="48">
        <f t="shared" si="47"/>
        <v>47533.82069221235</v>
      </c>
      <c r="AO117" s="48">
        <f t="shared" si="48"/>
        <v>-6686.0929623099219</v>
      </c>
      <c r="AP117" s="20"/>
      <c r="AQ117" s="50">
        <f t="shared" si="49"/>
        <v>377.26513495581713</v>
      </c>
      <c r="AR117" s="50">
        <f t="shared" si="50"/>
        <v>-2589.5646140472859</v>
      </c>
      <c r="AS117" s="20"/>
      <c r="AT117" s="52">
        <f t="shared" si="51"/>
        <v>-627.13960192167985</v>
      </c>
      <c r="AU117" s="52">
        <f t="shared" si="52"/>
        <v>196.73179643096128</v>
      </c>
      <c r="AV117" s="20"/>
      <c r="AW117" s="20"/>
      <c r="AX117" s="20">
        <f t="shared" si="37"/>
        <v>-418.12091213128855</v>
      </c>
      <c r="AY117" s="20">
        <f t="shared" si="38"/>
        <v>215.42604621733227</v>
      </c>
      <c r="AZ117" s="20"/>
      <c r="BA117" s="20">
        <f t="shared" si="39"/>
        <v>-35.488278344061946</v>
      </c>
      <c r="BB117" s="20">
        <f t="shared" si="40"/>
        <v>8.7683579198064336</v>
      </c>
      <c r="BC117" s="20"/>
      <c r="BD117" s="20">
        <f t="shared" si="41"/>
        <v>-173.5304114463294</v>
      </c>
      <c r="BE117" s="20">
        <f t="shared" si="42"/>
        <v>-27.462607706177405</v>
      </c>
      <c r="BF117" s="20"/>
      <c r="BG117" s="54">
        <f t="shared" si="43"/>
        <v>30973.480841619981</v>
      </c>
      <c r="BH117" s="54">
        <f t="shared" si="44"/>
        <v>69564.665137084769</v>
      </c>
      <c r="BI117" s="54">
        <f t="shared" si="45"/>
        <v>53187.624187896108</v>
      </c>
      <c r="BJ117" s="20"/>
    </row>
    <row r="118" spans="1:62" x14ac:dyDescent="0.3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K118">
        <v>114</v>
      </c>
      <c r="AL118">
        <v>57</v>
      </c>
      <c r="AN118" s="48">
        <f t="shared" si="47"/>
        <v>47644.060809450049</v>
      </c>
      <c r="AO118" s="48">
        <f t="shared" si="48"/>
        <v>-7956.2837947796943</v>
      </c>
      <c r="AP118" s="20"/>
      <c r="AQ118" s="50">
        <f t="shared" si="49"/>
        <v>63.695333994977204</v>
      </c>
      <c r="AR118" s="50">
        <f t="shared" si="50"/>
        <v>-2491.1987158318052</v>
      </c>
      <c r="AS118" s="20"/>
      <c r="AT118" s="52">
        <f t="shared" si="51"/>
        <v>-604.59348659633929</v>
      </c>
      <c r="AU118" s="52">
        <f t="shared" si="52"/>
        <v>206.80177891759877</v>
      </c>
      <c r="AV118" s="20"/>
      <c r="AW118" s="20"/>
      <c r="AX118" s="20">
        <f t="shared" si="37"/>
        <v>-395.0786528082844</v>
      </c>
      <c r="AY118" s="20">
        <f t="shared" si="38"/>
        <v>220.89546905411981</v>
      </c>
      <c r="AZ118" s="20"/>
      <c r="BA118" s="20">
        <f t="shared" si="39"/>
        <v>-34.913242012225034</v>
      </c>
      <c r="BB118" s="20">
        <f t="shared" si="40"/>
        <v>9.2678067263483506</v>
      </c>
      <c r="BC118" s="20"/>
      <c r="BD118" s="20">
        <f t="shared" si="41"/>
        <v>-174.60159177582989</v>
      </c>
      <c r="BE118" s="20">
        <f t="shared" si="42"/>
        <v>-23.361496862869402</v>
      </c>
      <c r="BF118" s="20"/>
      <c r="BG118" s="54">
        <f t="shared" si="43"/>
        <v>31671.608844221057</v>
      </c>
      <c r="BH118" s="54">
        <f t="shared" si="44"/>
        <v>69986.763680793549</v>
      </c>
      <c r="BI118" s="54">
        <f t="shared" si="45"/>
        <v>53113.191172144398</v>
      </c>
      <c r="BJ118" s="20"/>
    </row>
    <row r="119" spans="1:62" x14ac:dyDescent="0.3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K119">
        <v>115</v>
      </c>
      <c r="AL119">
        <v>57.5</v>
      </c>
      <c r="AN119" s="48">
        <f t="shared" si="47"/>
        <v>47600.334290622995</v>
      </c>
      <c r="AO119" s="48">
        <f t="shared" si="48"/>
        <v>-9176.0329303308972</v>
      </c>
      <c r="AP119" s="20"/>
      <c r="AQ119" s="50">
        <f t="shared" si="49"/>
        <v>-238.60140930319244</v>
      </c>
      <c r="AR119" s="50">
        <f t="shared" si="50"/>
        <v>-2387.7978263730056</v>
      </c>
      <c r="AS119" s="20"/>
      <c r="AT119" s="52">
        <f t="shared" si="51"/>
        <v>-586.28711572889142</v>
      </c>
      <c r="AU119" s="52">
        <f t="shared" si="52"/>
        <v>217.1480279819136</v>
      </c>
      <c r="AV119" s="20"/>
      <c r="AW119" s="20"/>
      <c r="AX119" s="20">
        <f t="shared" si="37"/>
        <v>-375.51805310981467</v>
      </c>
      <c r="AY119" s="20">
        <f t="shared" si="38"/>
        <v>226.8867961400212</v>
      </c>
      <c r="AZ119" s="20"/>
      <c r="BA119" s="20">
        <f t="shared" si="39"/>
        <v>-34.478195508554236</v>
      </c>
      <c r="BB119" s="20">
        <f t="shared" si="40"/>
        <v>9.7803512273774835</v>
      </c>
      <c r="BC119" s="20"/>
      <c r="BD119" s="20">
        <f t="shared" si="41"/>
        <v>-176.29086711052256</v>
      </c>
      <c r="BE119" s="20">
        <f t="shared" si="42"/>
        <v>-19.519119385485087</v>
      </c>
      <c r="BF119" s="20"/>
      <c r="BG119" s="54">
        <f t="shared" si="43"/>
        <v>32246.992530275133</v>
      </c>
      <c r="BH119" s="54">
        <f t="shared" si="44"/>
        <v>70267.527600941772</v>
      </c>
      <c r="BI119" s="54">
        <f t="shared" si="45"/>
        <v>52921.770188778457</v>
      </c>
      <c r="BJ119" s="20"/>
    </row>
    <row r="120" spans="1:62" x14ac:dyDescent="0.3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K120">
        <v>116</v>
      </c>
      <c r="AL120">
        <v>58</v>
      </c>
      <c r="AN120" s="48">
        <f t="shared" si="47"/>
        <v>47407.747696505285</v>
      </c>
      <c r="AO120" s="48">
        <f t="shared" si="48"/>
        <v>-10342.788340019661</v>
      </c>
      <c r="AP120" s="20"/>
      <c r="AQ120" s="50">
        <f t="shared" si="49"/>
        <v>-531.74496716763815</v>
      </c>
      <c r="AR120" s="50">
        <f t="shared" si="50"/>
        <v>-2279.2238123820489</v>
      </c>
      <c r="AS120" s="20"/>
      <c r="AT120" s="52">
        <f t="shared" si="51"/>
        <v>-571.60079395654589</v>
      </c>
      <c r="AU120" s="52">
        <f t="shared" si="52"/>
        <v>228.01735747655232</v>
      </c>
      <c r="AV120" s="20"/>
      <c r="AW120" s="20"/>
      <c r="AX120" s="20">
        <f t="shared" si="37"/>
        <v>-358.79297466080567</v>
      </c>
      <c r="AY120" s="20">
        <f t="shared" si="38"/>
        <v>233.57873750330398</v>
      </c>
      <c r="AZ120" s="20"/>
      <c r="BA120" s="20">
        <f t="shared" si="39"/>
        <v>-34.173059194422962</v>
      </c>
      <c r="BB120" s="20">
        <f t="shared" si="40"/>
        <v>10.312988252523235</v>
      </c>
      <c r="BC120" s="20"/>
      <c r="BD120" s="20">
        <f t="shared" si="41"/>
        <v>-178.63476010131731</v>
      </c>
      <c r="BE120" s="20">
        <f t="shared" si="42"/>
        <v>-15.874368279274901</v>
      </c>
      <c r="BF120" s="20"/>
      <c r="BG120" s="54">
        <f t="shared" si="43"/>
        <v>32703.971158592227</v>
      </c>
      <c r="BH120" s="54">
        <f t="shared" si="44"/>
        <v>70410.464328553848</v>
      </c>
      <c r="BI120" s="54">
        <f t="shared" si="45"/>
        <v>52614.272199341613</v>
      </c>
      <c r="BJ120" s="20"/>
    </row>
    <row r="121" spans="1:62" x14ac:dyDescent="0.3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K121">
        <v>117</v>
      </c>
      <c r="AL121">
        <v>58.5</v>
      </c>
      <c r="AN121" s="48">
        <f t="shared" si="47"/>
        <v>47070.425113676894</v>
      </c>
      <c r="AO121" s="48">
        <f t="shared" si="48"/>
        <v>-11453.898076526117</v>
      </c>
      <c r="AP121" s="20"/>
      <c r="AQ121" s="50">
        <f t="shared" si="49"/>
        <v>-817.54536414591109</v>
      </c>
      <c r="AR121" s="50">
        <f t="shared" si="50"/>
        <v>-2165.2151336437728</v>
      </c>
      <c r="AS121" s="20"/>
      <c r="AT121" s="52">
        <f t="shared" si="51"/>
        <v>-560.061919112802</v>
      </c>
      <c r="AU121" s="52">
        <f t="shared" si="52"/>
        <v>239.62962508985743</v>
      </c>
      <c r="AV121" s="20"/>
      <c r="AW121" s="20"/>
      <c r="AX121" s="20">
        <f t="shared" si="37"/>
        <v>-344.38761627656913</v>
      </c>
      <c r="AY121" s="20">
        <f t="shared" si="38"/>
        <v>241.12985851950918</v>
      </c>
      <c r="AZ121" s="20"/>
      <c r="BA121" s="20">
        <f t="shared" si="39"/>
        <v>-33.991069422666911</v>
      </c>
      <c r="BB121" s="20">
        <f t="shared" si="40"/>
        <v>10.87276452579564</v>
      </c>
      <c r="BC121" s="20"/>
      <c r="BD121" s="20">
        <f t="shared" si="41"/>
        <v>-181.68323341356597</v>
      </c>
      <c r="BE121" s="20">
        <f t="shared" si="42"/>
        <v>-12.372997955447394</v>
      </c>
      <c r="BF121" s="20"/>
      <c r="BG121" s="54">
        <f t="shared" si="43"/>
        <v>33046.303395849427</v>
      </c>
      <c r="BH121" s="54">
        <f t="shared" si="44"/>
        <v>70418.120307256933</v>
      </c>
      <c r="BI121" s="54">
        <f t="shared" si="45"/>
        <v>52191.033812051457</v>
      </c>
      <c r="BJ121" s="20"/>
    </row>
    <row r="122" spans="1:62" x14ac:dyDescent="0.3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K122">
        <v>118</v>
      </c>
      <c r="AL122">
        <v>59</v>
      </c>
      <c r="AN122" s="48">
        <f t="shared" si="47"/>
        <v>46591.644691714835</v>
      </c>
      <c r="AO122" s="48">
        <f t="shared" si="48"/>
        <v>-12506.55194021177</v>
      </c>
      <c r="AP122" s="20"/>
      <c r="AQ122" s="50">
        <f t="shared" si="49"/>
        <v>-1097.576323702312</v>
      </c>
      <c r="AR122" s="50">
        <f t="shared" si="50"/>
        <v>-2045.400321098844</v>
      </c>
      <c r="AS122" s="20"/>
      <c r="AT122" s="52">
        <f t="shared" si="51"/>
        <v>-551.3089442384528</v>
      </c>
      <c r="AU122" s="52">
        <f t="shared" si="52"/>
        <v>252.19452784010991</v>
      </c>
      <c r="AV122" s="20"/>
      <c r="AW122" s="20"/>
      <c r="AX122" s="20">
        <f t="shared" si="37"/>
        <v>-331.87848787352789</v>
      </c>
      <c r="AY122" s="20">
        <f t="shared" si="38"/>
        <v>249.69287467763982</v>
      </c>
      <c r="AZ122" s="20"/>
      <c r="BA122" s="20">
        <f t="shared" si="39"/>
        <v>-33.928347423746679</v>
      </c>
      <c r="BB122" s="20">
        <f t="shared" si="40"/>
        <v>11.467055920802498</v>
      </c>
      <c r="BC122" s="20"/>
      <c r="BD122" s="20">
        <f t="shared" si="41"/>
        <v>-185.50210894117825</v>
      </c>
      <c r="BE122" s="20">
        <f t="shared" si="42"/>
        <v>-8.9654027583324112</v>
      </c>
      <c r="BF122" s="20"/>
      <c r="BG122" s="54">
        <f t="shared" si="43"/>
        <v>33277.284864405585</v>
      </c>
      <c r="BH122" s="54">
        <f t="shared" si="44"/>
        <v>70292.190341353315</v>
      </c>
      <c r="BI122" s="54">
        <f t="shared" si="45"/>
        <v>51651.864295715495</v>
      </c>
      <c r="BJ122" s="20"/>
    </row>
    <row r="123" spans="1:62" x14ac:dyDescent="0.3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K123">
        <v>119</v>
      </c>
      <c r="AL123">
        <v>59.5</v>
      </c>
      <c r="AN123" s="48">
        <f t="shared" si="47"/>
        <v>45973.942911833874</v>
      </c>
      <c r="AO123" s="48">
        <f t="shared" si="48"/>
        <v>-13497.727784781178</v>
      </c>
      <c r="AP123" s="20"/>
      <c r="AQ123" s="50">
        <f t="shared" si="49"/>
        <v>-1373.2307958215383</v>
      </c>
      <c r="AR123" s="50">
        <f t="shared" si="50"/>
        <v>-1919.303057178789</v>
      </c>
      <c r="AS123" s="20"/>
      <c r="AT123" s="52">
        <f t="shared" si="51"/>
        <v>-545.06547733143202</v>
      </c>
      <c r="AU123" s="52">
        <f t="shared" si="52"/>
        <v>265.92391362585926</v>
      </c>
      <c r="AV123" s="20"/>
      <c r="AW123" s="20"/>
      <c r="AX123" s="20">
        <f t="shared" si="37"/>
        <v>-320.90546345548182</v>
      </c>
      <c r="AY123" s="20">
        <f t="shared" si="38"/>
        <v>259.4248239152497</v>
      </c>
      <c r="AZ123" s="20"/>
      <c r="BA123" s="20">
        <f t="shared" si="39"/>
        <v>-33.98365274292734</v>
      </c>
      <c r="BB123" s="20">
        <f t="shared" si="40"/>
        <v>12.103848671785288</v>
      </c>
      <c r="BC123" s="20"/>
      <c r="BD123" s="20">
        <f t="shared" si="41"/>
        <v>-190.17636113302291</v>
      </c>
      <c r="BE123" s="20">
        <f t="shared" si="42"/>
        <v>-5.6047589611757296</v>
      </c>
      <c r="BF123" s="20"/>
      <c r="BG123" s="54">
        <f t="shared" si="43"/>
        <v>33399.854528290634</v>
      </c>
      <c r="BH123" s="54">
        <f t="shared" si="44"/>
        <v>70033.594469951291</v>
      </c>
      <c r="BI123" s="54">
        <f t="shared" si="45"/>
        <v>50996.075121400449</v>
      </c>
      <c r="BJ123" s="20"/>
    </row>
    <row r="124" spans="1:62" x14ac:dyDescent="0.3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K124">
        <v>120</v>
      </c>
      <c r="AL124">
        <v>60</v>
      </c>
      <c r="AN124" s="48">
        <f t="shared" si="47"/>
        <v>45219.194329256672</v>
      </c>
      <c r="AO124" s="48">
        <f t="shared" si="48"/>
        <v>-14424.138824167341</v>
      </c>
      <c r="AP124" s="20"/>
      <c r="AQ124" s="50">
        <f t="shared" si="49"/>
        <v>-1645.7635344872542</v>
      </c>
      <c r="AR124" s="50">
        <f t="shared" si="50"/>
        <v>-1786.3411003658593</v>
      </c>
      <c r="AS124" s="20"/>
      <c r="AT124" s="52">
        <f t="shared" si="51"/>
        <v>-541.12130405684331</v>
      </c>
      <c r="AU124" s="52">
        <f t="shared" si="52"/>
        <v>281.0414684822058</v>
      </c>
      <c r="AV124" s="20"/>
      <c r="AW124" s="20"/>
      <c r="AX124" s="20">
        <f t="shared" si="37"/>
        <v>-311.14843353881201</v>
      </c>
      <c r="AY124" s="20">
        <f t="shared" si="38"/>
        <v>270.49482084022571</v>
      </c>
      <c r="AZ124" s="20"/>
      <c r="BA124" s="20">
        <f t="shared" si="39"/>
        <v>-34.158290421756533</v>
      </c>
      <c r="BB124" s="20">
        <f t="shared" si="40"/>
        <v>12.792044364199613</v>
      </c>
      <c r="BC124" s="20"/>
      <c r="BD124" s="20">
        <f t="shared" si="41"/>
        <v>-195.81458009627474</v>
      </c>
      <c r="BE124" s="20">
        <f t="shared" si="42"/>
        <v>-2.2453967222195415</v>
      </c>
      <c r="BF124" s="20"/>
      <c r="BG124" s="54">
        <f t="shared" si="43"/>
        <v>33416.696811596652</v>
      </c>
      <c r="BH124" s="54">
        <f t="shared" si="44"/>
        <v>69642.529148929854</v>
      </c>
      <c r="BI124" s="54">
        <f t="shared" si="45"/>
        <v>50222.495907446464</v>
      </c>
      <c r="BJ124" s="20"/>
    </row>
    <row r="125" spans="1:62" x14ac:dyDescent="0.3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K125">
        <v>121</v>
      </c>
      <c r="AL125">
        <v>60.5</v>
      </c>
      <c r="AN125" s="48">
        <f t="shared" si="47"/>
        <v>44328.67239900594</v>
      </c>
      <c r="AO125" s="48">
        <f t="shared" si="48"/>
        <v>-15282.179190789995</v>
      </c>
      <c r="AP125" s="20"/>
      <c r="AQ125" s="50">
        <f t="shared" si="49"/>
        <v>-1916.3241865156758</v>
      </c>
      <c r="AR125" s="50">
        <f t="shared" si="50"/>
        <v>-1645.8203661247564</v>
      </c>
      <c r="AS125" s="20"/>
      <c r="AT125" s="52">
        <f t="shared" si="51"/>
        <v>-539.31816074135054</v>
      </c>
      <c r="AU125" s="52">
        <f t="shared" si="52"/>
        <v>297.79082386103585</v>
      </c>
      <c r="AV125" s="20"/>
      <c r="AW125" s="20"/>
      <c r="AX125" s="20">
        <f t="shared" si="37"/>
        <v>-302.30697241824544</v>
      </c>
      <c r="AY125" s="20">
        <f t="shared" si="38"/>
        <v>283.09031842358502</v>
      </c>
      <c r="AZ125" s="20"/>
      <c r="BA125" s="20">
        <f t="shared" si="39"/>
        <v>-34.456158794883812</v>
      </c>
      <c r="BB125" s="20">
        <f t="shared" si="40"/>
        <v>13.541811891831124</v>
      </c>
      <c r="BC125" s="20"/>
      <c r="BD125" s="20">
        <f t="shared" si="41"/>
        <v>-202.55502952822133</v>
      </c>
      <c r="BE125" s="20">
        <f t="shared" si="42"/>
        <v>1.1586935456197049</v>
      </c>
      <c r="BF125" s="20"/>
      <c r="BG125" s="54">
        <f t="shared" si="43"/>
        <v>33330.346373529006</v>
      </c>
      <c r="BH125" s="54">
        <f t="shared" si="44"/>
        <v>69118.497359634799</v>
      </c>
      <c r="BI125" s="54">
        <f t="shared" si="45"/>
        <v>49329.479479761038</v>
      </c>
      <c r="BJ125" s="20"/>
    </row>
    <row r="126" spans="1:62" x14ac:dyDescent="0.3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K126">
        <v>122</v>
      </c>
      <c r="AL126">
        <v>61</v>
      </c>
      <c r="AN126" s="48">
        <f t="shared" si="47"/>
        <v>43303.095535655433</v>
      </c>
      <c r="AO126" s="48">
        <f t="shared" si="48"/>
        <v>-16067.865520869744</v>
      </c>
      <c r="AP126" s="20"/>
      <c r="AQ126" s="50">
        <f t="shared" si="49"/>
        <v>-2185.983266886351</v>
      </c>
      <c r="AR126" s="50">
        <f t="shared" si="50"/>
        <v>-1496.9249541942386</v>
      </c>
      <c r="AS126" s="20"/>
      <c r="AT126" s="52">
        <f t="shared" si="51"/>
        <v>-539.5387721578079</v>
      </c>
      <c r="AU126" s="52">
        <f t="shared" si="52"/>
        <v>316.4425631700858</v>
      </c>
      <c r="AV126" s="20"/>
      <c r="AW126" s="20"/>
      <c r="AX126" s="20">
        <f t="shared" si="37"/>
        <v>-294.08091527312376</v>
      </c>
      <c r="AY126" s="20">
        <f t="shared" si="38"/>
        <v>297.42226532979498</v>
      </c>
      <c r="AZ126" s="20"/>
      <c r="BA126" s="20">
        <f t="shared" si="39"/>
        <v>-34.883939588148849</v>
      </c>
      <c r="BB126" s="20">
        <f t="shared" si="40"/>
        <v>14.365013880084549</v>
      </c>
      <c r="BC126" s="20"/>
      <c r="BD126" s="20">
        <f t="shared" si="41"/>
        <v>-210.57391729653534</v>
      </c>
      <c r="BE126" s="20">
        <f t="shared" si="42"/>
        <v>4.6552839602062539</v>
      </c>
      <c r="BF126" s="20"/>
      <c r="BG126" s="54">
        <f t="shared" si="43"/>
        <v>33143.303196176523</v>
      </c>
      <c r="BH126" s="54">
        <f t="shared" si="44"/>
        <v>68460.320750128449</v>
      </c>
      <c r="BI126" s="54">
        <f t="shared" si="45"/>
        <v>48314.898065682784</v>
      </c>
      <c r="BJ126" s="20"/>
    </row>
    <row r="127" spans="1:62" x14ac:dyDescent="0.3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K127">
        <v>123</v>
      </c>
      <c r="AL127">
        <v>61.5</v>
      </c>
      <c r="AN127" s="48">
        <f t="shared" si="47"/>
        <v>42142.661555692532</v>
      </c>
      <c r="AO127" s="48">
        <f t="shared" si="48"/>
        <v>-16776.772677570603</v>
      </c>
      <c r="AP127" s="20"/>
      <c r="AQ127" s="50">
        <f t="shared" si="49"/>
        <v>-2455.752652965255</v>
      </c>
      <c r="AR127" s="50">
        <f t="shared" si="50"/>
        <v>-1338.7036726091956</v>
      </c>
      <c r="AS127" s="20"/>
      <c r="AT127" s="52">
        <f t="shared" si="51"/>
        <v>-541.69815679569979</v>
      </c>
      <c r="AU127" s="52">
        <f t="shared" si="52"/>
        <v>337.30010078145921</v>
      </c>
      <c r="AV127" s="20"/>
      <c r="AW127" s="20"/>
      <c r="AX127" s="20">
        <f t="shared" si="37"/>
        <v>-286.14992211668317</v>
      </c>
      <c r="AY127" s="20">
        <f t="shared" si="38"/>
        <v>313.7290697172462</v>
      </c>
      <c r="AZ127" s="20"/>
      <c r="BA127" s="20">
        <f t="shared" si="39"/>
        <v>-35.451446527942416</v>
      </c>
      <c r="BB127" s="20">
        <f t="shared" si="40"/>
        <v>15.275742959915213</v>
      </c>
      <c r="BC127" s="20"/>
      <c r="BD127" s="20">
        <f t="shared" si="41"/>
        <v>-220.09678815107421</v>
      </c>
      <c r="BE127" s="20">
        <f t="shared" si="42"/>
        <v>8.2952881042978088</v>
      </c>
      <c r="BF127" s="20"/>
      <c r="BG127" s="54">
        <f t="shared" si="43"/>
        <v>32858.167210122701</v>
      </c>
      <c r="BH127" s="54">
        <f t="shared" si="44"/>
        <v>67666.135845425946</v>
      </c>
      <c r="BI127" s="54">
        <f t="shared" si="45"/>
        <v>47176.132309700122</v>
      </c>
      <c r="BJ127" s="20"/>
    </row>
    <row r="128" spans="1:62" x14ac:dyDescent="0.3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K128">
        <v>124</v>
      </c>
      <c r="AL128">
        <v>62</v>
      </c>
      <c r="AN128" s="48">
        <f t="shared" si="47"/>
        <v>40847.072959610443</v>
      </c>
      <c r="AO128" s="48">
        <f t="shared" si="48"/>
        <v>-17403.962001277519</v>
      </c>
      <c r="AP128" s="20"/>
      <c r="AQ128" s="50">
        <f t="shared" si="49"/>
        <v>-2726.601731363105</v>
      </c>
      <c r="AR128" s="50">
        <f t="shared" si="50"/>
        <v>-1170.053622218466</v>
      </c>
      <c r="AS128" s="20"/>
      <c r="AT128" s="52">
        <f t="shared" si="51"/>
        <v>-545.73662321246286</v>
      </c>
      <c r="AU128" s="52">
        <f t="shared" si="52"/>
        <v>360.70379461433737</v>
      </c>
      <c r="AV128" s="20"/>
      <c r="AW128" s="20"/>
      <c r="AX128" s="20">
        <f t="shared" si="37"/>
        <v>-278.15006143638374</v>
      </c>
      <c r="AY128" s="20">
        <f t="shared" si="38"/>
        <v>332.27871241614099</v>
      </c>
      <c r="AZ128" s="20"/>
      <c r="BA128" s="20">
        <f t="shared" si="39"/>
        <v>-36.172165267573355</v>
      </c>
      <c r="BB128" s="20">
        <f t="shared" si="40"/>
        <v>16.291016055192951</v>
      </c>
      <c r="BC128" s="20"/>
      <c r="BD128" s="20">
        <f t="shared" si="41"/>
        <v>-231.4143965085058</v>
      </c>
      <c r="BE128" s="20">
        <f t="shared" si="42"/>
        <v>12.134066143003427</v>
      </c>
      <c r="BF128" s="20"/>
      <c r="BG128" s="54">
        <f t="shared" si="43"/>
        <v>32477.804333796881</v>
      </c>
      <c r="BH128" s="54">
        <f t="shared" si="44"/>
        <v>66733.375616100966</v>
      </c>
      <c r="BI128" s="54">
        <f t="shared" si="45"/>
        <v>45910.054805755019</v>
      </c>
      <c r="BJ128" s="20"/>
    </row>
    <row r="129" spans="1:62" x14ac:dyDescent="0.3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K129">
        <v>125</v>
      </c>
      <c r="AL129">
        <v>62.5</v>
      </c>
      <c r="AN129" s="48">
        <f t="shared" si="47"/>
        <v>39415.555016027334</v>
      </c>
      <c r="AO129" s="48">
        <f t="shared" si="48"/>
        <v>-17943.900838059963</v>
      </c>
      <c r="AP129" s="20"/>
      <c r="AQ129" s="50">
        <f t="shared" si="49"/>
        <v>-2999.4700429693366</v>
      </c>
      <c r="AR129" s="50">
        <f t="shared" si="50"/>
        <v>-989.70172491129733</v>
      </c>
      <c r="AS129" s="20"/>
      <c r="AT129" s="52">
        <f t="shared" si="51"/>
        <v>-551.6143901282054</v>
      </c>
      <c r="AU129" s="52">
        <f t="shared" si="52"/>
        <v>387.03173708785232</v>
      </c>
      <c r="AV129" s="20"/>
      <c r="AW129" s="20"/>
      <c r="AX129" s="20">
        <f t="shared" si="37"/>
        <v>-269.6452329821168</v>
      </c>
      <c r="AY129" s="20">
        <f t="shared" si="38"/>
        <v>353.36752226701816</v>
      </c>
      <c r="AZ129" s="20"/>
      <c r="BA129" s="20">
        <f t="shared" si="39"/>
        <v>-37.064038816357154</v>
      </c>
      <c r="BB129" s="20">
        <f t="shared" si="40"/>
        <v>17.431694866149211</v>
      </c>
      <c r="BC129" s="20"/>
      <c r="BD129" s="20">
        <f t="shared" si="41"/>
        <v>-244.90511832973144</v>
      </c>
      <c r="BE129" s="20">
        <f t="shared" si="42"/>
        <v>16.232519954684946</v>
      </c>
      <c r="BF129" s="20"/>
      <c r="BG129" s="54">
        <f t="shared" si="43"/>
        <v>32005.559930071722</v>
      </c>
      <c r="BH129" s="54">
        <f t="shared" si="44"/>
        <v>65658.73720922372</v>
      </c>
      <c r="BI129" s="54">
        <f t="shared" si="45"/>
        <v>44513.010227641098</v>
      </c>
      <c r="BJ129" s="20"/>
    </row>
    <row r="130" spans="1:62" x14ac:dyDescent="0.3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K130">
        <v>126</v>
      </c>
      <c r="AL130">
        <v>63</v>
      </c>
      <c r="AN130" s="48">
        <f t="shared" si="47"/>
        <v>37846.868195776638</v>
      </c>
      <c r="AO130" s="48">
        <f t="shared" si="48"/>
        <v>-18390.372733379631</v>
      </c>
      <c r="AP130" s="20"/>
      <c r="AQ130" s="50">
        <f t="shared" si="49"/>
        <v>-3275.2772380334395</v>
      </c>
      <c r="AR130" s="50">
        <f t="shared" si="50"/>
        <v>-796.18585636737112</v>
      </c>
      <c r="AS130" s="20"/>
      <c r="AT130" s="52">
        <f t="shared" si="51"/>
        <v>-559.30861059801418</v>
      </c>
      <c r="AU130" s="52">
        <f t="shared" si="52"/>
        <v>416.69415465425084</v>
      </c>
      <c r="AV130" s="20"/>
      <c r="AW130" s="20"/>
      <c r="AX130" s="20">
        <f t="shared" si="37"/>
        <v>-260.09095238426909</v>
      </c>
      <c r="AY130" s="20">
        <f t="shared" si="38"/>
        <v>377.31279392772956</v>
      </c>
      <c r="AZ130" s="20"/>
      <c r="BA130" s="20">
        <f t="shared" si="39"/>
        <v>-38.15058250990414</v>
      </c>
      <c r="BB130" s="20">
        <f t="shared" si="40"/>
        <v>18.723732005440002</v>
      </c>
      <c r="BC130" s="20"/>
      <c r="BD130" s="20">
        <f t="shared" si="41"/>
        <v>-261.06707570384094</v>
      </c>
      <c r="BE130" s="20">
        <f t="shared" si="42"/>
        <v>20.657628721081249</v>
      </c>
      <c r="BF130" s="20"/>
      <c r="BG130" s="54">
        <f t="shared" si="43"/>
        <v>31445.541888648557</v>
      </c>
      <c r="BH130" s="54">
        <f t="shared" si="44"/>
        <v>64438.136410046653</v>
      </c>
      <c r="BI130" s="54">
        <f t="shared" si="45"/>
        <v>42980.795030542416</v>
      </c>
      <c r="BJ130" s="20"/>
    </row>
    <row r="131" spans="1:62" x14ac:dyDescent="0.3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K131">
        <v>127</v>
      </c>
      <c r="AL131">
        <v>63.5</v>
      </c>
      <c r="AN131" s="48">
        <f t="shared" si="47"/>
        <v>36139.316000435167</v>
      </c>
      <c r="AO131" s="48">
        <f t="shared" si="48"/>
        <v>-18736.378892231536</v>
      </c>
      <c r="AP131" s="20"/>
      <c r="AQ131" s="50">
        <f t="shared" si="49"/>
        <v>-3554.9315433324464</v>
      </c>
      <c r="AR131" s="50">
        <f t="shared" si="50"/>
        <v>-587.83877904024575</v>
      </c>
      <c r="AS131" s="20"/>
      <c r="AT131" s="52">
        <f t="shared" si="51"/>
        <v>-568.81524046418701</v>
      </c>
      <c r="AU131" s="52">
        <f t="shared" si="52"/>
        <v>450.11575798048739</v>
      </c>
      <c r="AV131" s="20"/>
      <c r="AW131" s="20"/>
      <c r="AX131" s="20">
        <f t="shared" si="37"/>
        <v>-248.78783459226591</v>
      </c>
      <c r="AY131" s="20">
        <f t="shared" si="38"/>
        <v>404.43423327014102</v>
      </c>
      <c r="AZ131" s="20"/>
      <c r="BA131" s="20">
        <f t="shared" si="39"/>
        <v>-39.462456433773127</v>
      </c>
      <c r="BB131" s="20">
        <f t="shared" si="40"/>
        <v>20.199891642610936</v>
      </c>
      <c r="BC131" s="20"/>
      <c r="BD131" s="20">
        <f t="shared" si="41"/>
        <v>-280.56494943814801</v>
      </c>
      <c r="BE131" s="20">
        <f t="shared" si="42"/>
        <v>25.481633067735391</v>
      </c>
      <c r="BF131" s="20"/>
      <c r="BG131" s="54">
        <f t="shared" si="43"/>
        <v>30803.004696597945</v>
      </c>
      <c r="BH131" s="54">
        <f t="shared" si="44"/>
        <v>63066.649449884411</v>
      </c>
      <c r="BI131" s="54">
        <f t="shared" si="45"/>
        <v>41308.641326119337</v>
      </c>
      <c r="BJ131" s="20"/>
    </row>
    <row r="132" spans="1:62" x14ac:dyDescent="0.3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K132">
        <v>128</v>
      </c>
      <c r="AL132">
        <v>64</v>
      </c>
      <c r="AN132" s="48">
        <f t="shared" si="47"/>
        <v>34290.748323710919</v>
      </c>
      <c r="AO132" s="48">
        <f t="shared" si="48"/>
        <v>-18974.033812004098</v>
      </c>
      <c r="AP132" s="20"/>
      <c r="AQ132" s="50">
        <f t="shared" si="49"/>
        <v>-3839.3391635645398</v>
      </c>
      <c r="AR132" s="50">
        <f t="shared" si="50"/>
        <v>-362.78090005000206</v>
      </c>
      <c r="AS132" s="20"/>
      <c r="AT132" s="52">
        <f t="shared" si="51"/>
        <v>-580.1616061350453</v>
      </c>
      <c r="AU132" s="52">
        <f t="shared" si="52"/>
        <v>487.69594366448155</v>
      </c>
      <c r="AV132" s="20"/>
      <c r="AW132" s="20"/>
      <c r="AX132" s="20">
        <f t="shared" ref="AX132:AX195" si="59">Masse_1*(q_1x-AN132)/($BG132^2+Aarseth_1^2)^(3/2)</f>
        <v>-234.8225033380302</v>
      </c>
      <c r="AY132" s="20">
        <f t="shared" ref="AY132:AY195" si="60">Masse_1*(q_1y-AO132)/($BG132^2+Aarseth_1^2)^(3/2)</f>
        <v>435.01563055839671</v>
      </c>
      <c r="AZ132" s="20"/>
      <c r="BA132" s="20">
        <f t="shared" ref="BA132:BA195" si="61">Masse_2*(q_2x-AN132)/($BH132^2+Aarseth_2^2)^(3/2)</f>
        <v>-41.039689925862156</v>
      </c>
      <c r="BB132" s="20">
        <f t="shared" ref="BB132:BB195" si="62">Masse_2*(q_2y-AO132)/($BH132^2+Aarseth_2^2)^(3/2)</f>
        <v>21.902173026905455</v>
      </c>
      <c r="BC132" s="20"/>
      <c r="BD132" s="20">
        <f t="shared" ref="BD132:BD195" si="63">Masse_3*(q_3x-AN132)/($BI132^2+Aarseth_3^2)^(3/2)</f>
        <v>-304.29941287115298</v>
      </c>
      <c r="BE132" s="20">
        <f t="shared" ref="BE132:BE195" si="64">Masse_3*(q_3y-AO132)/($BI132^2+Aarseth_3^2)^(3/2)</f>
        <v>30.778140079179376</v>
      </c>
      <c r="BF132" s="20"/>
      <c r="BG132" s="54">
        <f t="shared" ref="BG132:BG195" si="65">SQRT((q_1x-AN132)^2+(q_1y-AO132)^2)</f>
        <v>30084.879157656302</v>
      </c>
      <c r="BH132" s="54">
        <f t="shared" ref="BH132:BH195" si="66">SQRT((q_2x-AN132)^2+(q_2y-AO132)^2)</f>
        <v>61538.443178940404</v>
      </c>
      <c r="BI132" s="54">
        <f t="shared" ref="BI132:BI195" si="67">SQRT((q_3x-AN132)^2+(q_3y-AO132)^2)</f>
        <v>39491.212295599944</v>
      </c>
      <c r="BJ132" s="20"/>
    </row>
    <row r="133" spans="1:62" x14ac:dyDescent="0.3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K133">
        <v>129</v>
      </c>
      <c r="AL133">
        <v>64.5</v>
      </c>
      <c r="AN133" s="48">
        <f t="shared" ref="AN133:AN196" si="68">AN132+(AQ132*bt)+(0.5*AT132)*bt^2</f>
        <v>32298.558541161769</v>
      </c>
      <c r="AO133" s="48">
        <f t="shared" ref="AO133:AO196" si="69">AO132+(AR132*bt)+(0.5*AU132)*bt^2</f>
        <v>-19094.462269071042</v>
      </c>
      <c r="AP133" s="20"/>
      <c r="AQ133" s="50">
        <f t="shared" ref="AQ133:AQ196" si="70">AQ132+(AT132*bt)</f>
        <v>-4129.4199666320628</v>
      </c>
      <c r="AR133" s="50">
        <f t="shared" ref="AR133:AR196" si="71">AR132+(AU132*bt)</f>
        <v>-118.93292821776129</v>
      </c>
      <c r="AS133" s="20"/>
      <c r="AT133" s="52">
        <f t="shared" si="51"/>
        <v>-593.44257632567815</v>
      </c>
      <c r="AU133" s="52">
        <f t="shared" si="52"/>
        <v>529.72920313112979</v>
      </c>
      <c r="AV133" s="20"/>
      <c r="AW133" s="20"/>
      <c r="AX133" s="20">
        <f t="shared" si="59"/>
        <v>-216.99568095130789</v>
      </c>
      <c r="AY133" s="20">
        <f t="shared" si="60"/>
        <v>469.23250641906498</v>
      </c>
      <c r="AZ133" s="20"/>
      <c r="BA133" s="20">
        <f t="shared" si="61"/>
        <v>-42.934856811885815</v>
      </c>
      <c r="BB133" s="20">
        <f t="shared" si="62"/>
        <v>23.885296390305271</v>
      </c>
      <c r="BC133" s="20"/>
      <c r="BD133" s="20">
        <f t="shared" si="63"/>
        <v>-333.51203856248446</v>
      </c>
      <c r="BE133" s="20">
        <f t="shared" si="64"/>
        <v>36.611400321759596</v>
      </c>
      <c r="BF133" s="20"/>
      <c r="BG133" s="54">
        <f t="shared" si="65"/>
        <v>29300.511353412014</v>
      </c>
      <c r="BH133" s="54">
        <f t="shared" si="66"/>
        <v>59846.695482789379</v>
      </c>
      <c r="BI133" s="54">
        <f t="shared" si="67"/>
        <v>37522.62105079172</v>
      </c>
      <c r="BJ133" s="20"/>
    </row>
    <row r="134" spans="1:62" x14ac:dyDescent="0.3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K134">
        <v>130</v>
      </c>
      <c r="AL134">
        <v>65</v>
      </c>
      <c r="AN134" s="48">
        <f t="shared" si="68"/>
        <v>30159.668235805028</v>
      </c>
      <c r="AO134" s="48">
        <f t="shared" si="69"/>
        <v>-19087.712582788532</v>
      </c>
      <c r="AP134" s="20"/>
      <c r="AQ134" s="50">
        <f t="shared" si="70"/>
        <v>-4426.1412547949021</v>
      </c>
      <c r="AR134" s="50">
        <f t="shared" si="71"/>
        <v>145.93167334780361</v>
      </c>
      <c r="AS134" s="20"/>
      <c r="AT134" s="52">
        <f t="shared" si="51"/>
        <v>-608.90757528623567</v>
      </c>
      <c r="AU134" s="52">
        <f t="shared" si="52"/>
        <v>576.25553162363474</v>
      </c>
      <c r="AV134" s="20"/>
      <c r="AW134" s="20"/>
      <c r="AX134" s="20">
        <f t="shared" si="59"/>
        <v>-193.7431489491139</v>
      </c>
      <c r="AY134" s="20">
        <f t="shared" si="60"/>
        <v>507.02316646418137</v>
      </c>
      <c r="AZ134" s="20"/>
      <c r="BA134" s="20">
        <f t="shared" si="61"/>
        <v>-45.217665646180862</v>
      </c>
      <c r="BB134" s="20">
        <f t="shared" si="62"/>
        <v>26.221833362164588</v>
      </c>
      <c r="BC134" s="20"/>
      <c r="BD134" s="20">
        <f t="shared" si="63"/>
        <v>-369.94676069094089</v>
      </c>
      <c r="BE134" s="20">
        <f t="shared" si="64"/>
        <v>43.010531797288792</v>
      </c>
      <c r="BF134" s="20"/>
      <c r="BG134" s="54">
        <f t="shared" si="65"/>
        <v>28462.700487595994</v>
      </c>
      <c r="BH134" s="54">
        <f t="shared" si="66"/>
        <v>57983.509214473583</v>
      </c>
      <c r="BI134" s="54">
        <f t="shared" si="67"/>
        <v>35396.492264225351</v>
      </c>
      <c r="BJ134" s="20"/>
    </row>
    <row r="135" spans="1:62" x14ac:dyDescent="0.3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K135">
        <v>131</v>
      </c>
      <c r="AL135">
        <v>65.5</v>
      </c>
      <c r="AN135" s="48">
        <f t="shared" si="68"/>
        <v>27870.484161496799</v>
      </c>
      <c r="AO135" s="48">
        <f t="shared" si="69"/>
        <v>-18942.714804661675</v>
      </c>
      <c r="AP135" s="20"/>
      <c r="AQ135" s="50">
        <f t="shared" si="70"/>
        <v>-4730.5950424380198</v>
      </c>
      <c r="AR135" s="50">
        <f t="shared" si="71"/>
        <v>434.05943915962098</v>
      </c>
      <c r="AS135" s="20"/>
      <c r="AT135" s="52">
        <f t="shared" si="51"/>
        <v>-627.15394813065075</v>
      </c>
      <c r="AU135" s="52">
        <f t="shared" si="52"/>
        <v>626.7903218000846</v>
      </c>
      <c r="AV135" s="20"/>
      <c r="AW135" s="20"/>
      <c r="AX135" s="20">
        <f t="shared" si="59"/>
        <v>-163.06960591918397</v>
      </c>
      <c r="AY135" s="20">
        <f t="shared" si="60"/>
        <v>547.87011753664456</v>
      </c>
      <c r="AZ135" s="20"/>
      <c r="BA135" s="20">
        <f t="shared" si="61"/>
        <v>-47.981697727287084</v>
      </c>
      <c r="BB135" s="20">
        <f t="shared" si="62"/>
        <v>29.009955037833716</v>
      </c>
      <c r="BC135" s="20"/>
      <c r="BD135" s="20">
        <f t="shared" si="63"/>
        <v>-416.10264448417968</v>
      </c>
      <c r="BE135" s="20">
        <f t="shared" si="64"/>
        <v>49.910249225606272</v>
      </c>
      <c r="BF135" s="20"/>
      <c r="BG135" s="54">
        <f t="shared" si="65"/>
        <v>27589.158870415849</v>
      </c>
      <c r="BH135" s="54">
        <f t="shared" si="66"/>
        <v>55939.824759468975</v>
      </c>
      <c r="BI135" s="54">
        <f t="shared" si="67"/>
        <v>33106.098064285834</v>
      </c>
      <c r="BJ135" s="20"/>
    </row>
    <row r="136" spans="1:62" x14ac:dyDescent="0.3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K136">
        <v>132</v>
      </c>
      <c r="AL136">
        <v>66</v>
      </c>
      <c r="AN136" s="48">
        <f t="shared" si="68"/>
        <v>25426.792396761459</v>
      </c>
      <c r="AO136" s="48">
        <f t="shared" si="69"/>
        <v>-18647.336294856854</v>
      </c>
      <c r="AP136" s="20"/>
      <c r="AQ136" s="50">
        <f t="shared" si="70"/>
        <v>-5044.1720165033448</v>
      </c>
      <c r="AR136" s="50">
        <f t="shared" si="71"/>
        <v>747.45460005966333</v>
      </c>
      <c r="AS136" s="20"/>
      <c r="AT136" s="52">
        <f t="shared" si="51"/>
        <v>-649.53495922258367</v>
      </c>
      <c r="AU136" s="52">
        <f t="shared" si="52"/>
        <v>679.85146411556946</v>
      </c>
      <c r="AV136" s="20"/>
      <c r="AW136" s="20"/>
      <c r="AX136" s="20">
        <f t="shared" si="59"/>
        <v>-122.54602619673318</v>
      </c>
      <c r="AY136" s="20">
        <f t="shared" si="60"/>
        <v>590.45047687405884</v>
      </c>
      <c r="AZ136" s="20"/>
      <c r="BA136" s="20">
        <f t="shared" si="61"/>
        <v>-51.35446768941074</v>
      </c>
      <c r="BB136" s="20">
        <f t="shared" si="62"/>
        <v>32.385485052358476</v>
      </c>
      <c r="BC136" s="20"/>
      <c r="BD136" s="20">
        <f t="shared" si="63"/>
        <v>-475.63446533643975</v>
      </c>
      <c r="BE136" s="20">
        <f t="shared" si="64"/>
        <v>57.015502189152151</v>
      </c>
      <c r="BF136" s="20"/>
      <c r="BG136" s="54">
        <f t="shared" si="65"/>
        <v>26704.555248756467</v>
      </c>
      <c r="BH136" s="54">
        <f t="shared" si="66"/>
        <v>53705.338135506492</v>
      </c>
      <c r="BI136" s="54">
        <f t="shared" si="67"/>
        <v>30644.620369706019</v>
      </c>
      <c r="BJ136" s="20"/>
    </row>
    <row r="137" spans="1:62" x14ac:dyDescent="0.3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K137">
        <v>133</v>
      </c>
      <c r="AL137">
        <v>66.5</v>
      </c>
      <c r="AN137" s="48">
        <f t="shared" si="68"/>
        <v>22823.51451860696</v>
      </c>
      <c r="AO137" s="48">
        <f t="shared" si="69"/>
        <v>-18188.627561812576</v>
      </c>
      <c r="AP137" s="20"/>
      <c r="AQ137" s="50">
        <f t="shared" si="70"/>
        <v>-5368.9394961146363</v>
      </c>
      <c r="AR137" s="50">
        <f t="shared" si="71"/>
        <v>1087.380332117448</v>
      </c>
      <c r="AS137" s="20"/>
      <c r="AT137" s="52">
        <f t="shared" si="51"/>
        <v>-678.9786327130131</v>
      </c>
      <c r="AU137" s="52">
        <f t="shared" si="52"/>
        <v>732.15194961346606</v>
      </c>
      <c r="AV137" s="20"/>
      <c r="AW137" s="20"/>
      <c r="AX137" s="20">
        <f t="shared" si="59"/>
        <v>-69.478504596954295</v>
      </c>
      <c r="AY137" s="20">
        <f t="shared" si="60"/>
        <v>632.12263169923915</v>
      </c>
      <c r="AZ137" s="20"/>
      <c r="BA137" s="20">
        <f t="shared" si="61"/>
        <v>-55.51271644664233</v>
      </c>
      <c r="BB137" s="20">
        <f t="shared" si="62"/>
        <v>36.54130928882509</v>
      </c>
      <c r="BC137" s="20"/>
      <c r="BD137" s="20">
        <f t="shared" si="63"/>
        <v>-553.98741166941647</v>
      </c>
      <c r="BE137" s="20">
        <f t="shared" si="64"/>
        <v>63.488008625401818</v>
      </c>
      <c r="BF137" s="20"/>
      <c r="BG137" s="54">
        <f t="shared" si="65"/>
        <v>25843.332220251727</v>
      </c>
      <c r="BH137" s="54">
        <f t="shared" si="66"/>
        <v>51268.431998101136</v>
      </c>
      <c r="BI137" s="54">
        <f t="shared" si="67"/>
        <v>28005.629896416955</v>
      </c>
      <c r="BJ137" s="20"/>
    </row>
    <row r="138" spans="1:62" x14ac:dyDescent="0.3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K138">
        <v>134</v>
      </c>
      <c r="AL138">
        <v>67</v>
      </c>
      <c r="AN138" s="48">
        <f t="shared" si="68"/>
        <v>20054.172441460516</v>
      </c>
      <c r="AO138" s="48">
        <f t="shared" si="69"/>
        <v>-17553.418402052168</v>
      </c>
      <c r="AP138" s="20"/>
      <c r="AQ138" s="50">
        <f t="shared" si="70"/>
        <v>-5708.4288124711429</v>
      </c>
      <c r="AR138" s="50">
        <f t="shared" si="71"/>
        <v>1453.456306924181</v>
      </c>
      <c r="AS138" s="20"/>
      <c r="AT138" s="52">
        <f t="shared" si="51"/>
        <v>-721.52103761043259</v>
      </c>
      <c r="AU138" s="52">
        <f t="shared" si="52"/>
        <v>777.23934966437491</v>
      </c>
      <c r="AV138" s="20"/>
      <c r="AW138" s="20"/>
      <c r="AX138" s="20">
        <f t="shared" si="59"/>
        <v>-1.4450049010701174</v>
      </c>
      <c r="AY138" s="20">
        <f t="shared" si="60"/>
        <v>668.27913609749339</v>
      </c>
      <c r="AZ138" s="20"/>
      <c r="BA138" s="20">
        <f t="shared" si="61"/>
        <v>-60.706063382370672</v>
      </c>
      <c r="BB138" s="20">
        <f t="shared" si="62"/>
        <v>41.759933159536928</v>
      </c>
      <c r="BC138" s="20"/>
      <c r="BD138" s="20">
        <f t="shared" si="63"/>
        <v>-659.36996932699185</v>
      </c>
      <c r="BE138" s="20">
        <f t="shared" si="64"/>
        <v>67.200280407344678</v>
      </c>
      <c r="BF138" s="20"/>
      <c r="BG138" s="54">
        <f t="shared" si="65"/>
        <v>25053.476969907791</v>
      </c>
      <c r="BH138" s="54">
        <f t="shared" si="66"/>
        <v>48616.124851830813</v>
      </c>
      <c r="BI138" s="54">
        <f t="shared" si="67"/>
        <v>25183.953269142996</v>
      </c>
      <c r="BJ138" s="20"/>
    </row>
    <row r="139" spans="1:62" x14ac:dyDescent="0.3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K139">
        <v>135</v>
      </c>
      <c r="AL139">
        <v>67.5</v>
      </c>
      <c r="AN139" s="48">
        <f t="shared" si="68"/>
        <v>17109.76790552364</v>
      </c>
      <c r="AO139" s="48">
        <f t="shared" si="69"/>
        <v>-16729.535329882034</v>
      </c>
      <c r="AP139" s="20"/>
      <c r="AQ139" s="50">
        <f t="shared" si="70"/>
        <v>-6069.1893312763596</v>
      </c>
      <c r="AR139" s="50">
        <f t="shared" si="71"/>
        <v>1842.0759817563685</v>
      </c>
      <c r="AS139" s="20"/>
      <c r="AT139" s="52">
        <f t="shared" si="51"/>
        <v>-788.82605214188561</v>
      </c>
      <c r="AU139" s="52">
        <f t="shared" si="52"/>
        <v>803.14982782096251</v>
      </c>
      <c r="AV139" s="20"/>
      <c r="AW139" s="20"/>
      <c r="AX139" s="20">
        <f t="shared" si="59"/>
        <v>82.519577290609092</v>
      </c>
      <c r="AY139" s="20">
        <f t="shared" si="60"/>
        <v>691.78216420435581</v>
      </c>
      <c r="AZ139" s="20"/>
      <c r="BA139" s="20">
        <f t="shared" si="61"/>
        <v>-67.294071661820595</v>
      </c>
      <c r="BB139" s="20">
        <f t="shared" si="62"/>
        <v>48.470776496247282</v>
      </c>
      <c r="BC139" s="20"/>
      <c r="BD139" s="20">
        <f t="shared" si="63"/>
        <v>-804.05155777067409</v>
      </c>
      <c r="BE139" s="20">
        <f t="shared" si="64"/>
        <v>62.896887120359423</v>
      </c>
      <c r="BF139" s="20"/>
      <c r="BG139" s="54">
        <f t="shared" si="65"/>
        <v>24401.30783097379</v>
      </c>
      <c r="BH139" s="54">
        <f t="shared" si="66"/>
        <v>45734.045665709964</v>
      </c>
      <c r="BI139" s="54">
        <f t="shared" si="67"/>
        <v>22177.311137589095</v>
      </c>
      <c r="BJ139" s="20"/>
    </row>
    <row r="140" spans="1:62" x14ac:dyDescent="0.3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K140">
        <v>136</v>
      </c>
      <c r="AL140">
        <v>68</v>
      </c>
      <c r="AN140" s="48">
        <f t="shared" si="68"/>
        <v>13976.569983367724</v>
      </c>
      <c r="AO140" s="48">
        <f t="shared" si="69"/>
        <v>-15708.10361052623</v>
      </c>
      <c r="AP140" s="20"/>
      <c r="AQ140" s="50">
        <f t="shared" si="70"/>
        <v>-6463.6023573473021</v>
      </c>
      <c r="AR140" s="50">
        <f t="shared" si="71"/>
        <v>2243.6508956668499</v>
      </c>
      <c r="AS140" s="20"/>
      <c r="AT140" s="52">
        <f t="shared" si="51"/>
        <v>-901.03414959861175</v>
      </c>
      <c r="AU140" s="52">
        <f t="shared" si="52"/>
        <v>787.93871104061247</v>
      </c>
      <c r="AV140" s="20"/>
      <c r="AW140" s="20"/>
      <c r="AX140" s="20">
        <f t="shared" si="59"/>
        <v>179.88108128880475</v>
      </c>
      <c r="AY140" s="20">
        <f t="shared" si="60"/>
        <v>693.07666239943535</v>
      </c>
      <c r="AZ140" s="20"/>
      <c r="BA140" s="20">
        <f t="shared" si="61"/>
        <v>-75.804278746811974</v>
      </c>
      <c r="BB140" s="20">
        <f t="shared" si="62"/>
        <v>57.356709435302818</v>
      </c>
      <c r="BC140" s="20"/>
      <c r="BD140" s="20">
        <f t="shared" si="63"/>
        <v>-1005.1109521406046</v>
      </c>
      <c r="BE140" s="20">
        <f t="shared" si="64"/>
        <v>37.505339205874307</v>
      </c>
      <c r="BF140" s="20"/>
      <c r="BG140" s="54">
        <f t="shared" si="65"/>
        <v>23977.026136745721</v>
      </c>
      <c r="BH140" s="54">
        <f t="shared" si="66"/>
        <v>42606.500666966727</v>
      </c>
      <c r="BI140" s="54">
        <f t="shared" si="67"/>
        <v>18989.776698447331</v>
      </c>
      <c r="BJ140" s="20"/>
    </row>
    <row r="141" spans="1:62" x14ac:dyDescent="0.3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K141">
        <v>137</v>
      </c>
      <c r="AL141">
        <v>68.5</v>
      </c>
      <c r="AN141" s="48">
        <f t="shared" si="68"/>
        <v>10632.139535994247</v>
      </c>
      <c r="AO141" s="48">
        <f t="shared" si="69"/>
        <v>-14487.785823812728</v>
      </c>
      <c r="AP141" s="20"/>
      <c r="AQ141" s="50">
        <f t="shared" si="70"/>
        <v>-6914.1194321466082</v>
      </c>
      <c r="AR141" s="50">
        <f t="shared" si="71"/>
        <v>2637.6202511871561</v>
      </c>
      <c r="AS141" s="20"/>
      <c r="AT141" s="52">
        <f t="shared" si="51"/>
        <v>-1084.3240678387897</v>
      </c>
      <c r="AU141" s="52">
        <f t="shared" si="52"/>
        <v>689.68196193277709</v>
      </c>
      <c r="AV141" s="20"/>
      <c r="AW141" s="20"/>
      <c r="AX141" s="20">
        <f t="shared" si="59"/>
        <v>282.06042374714372</v>
      </c>
      <c r="AY141" s="20">
        <f t="shared" si="60"/>
        <v>662.03848899710181</v>
      </c>
      <c r="AZ141" s="20"/>
      <c r="BA141" s="20">
        <f t="shared" si="61"/>
        <v>-87.018791322833678</v>
      </c>
      <c r="BB141" s="20">
        <f t="shared" si="62"/>
        <v>69.564110011208882</v>
      </c>
      <c r="BC141" s="20"/>
      <c r="BD141" s="20">
        <f t="shared" si="63"/>
        <v>-1279.3657002630998</v>
      </c>
      <c r="BE141" s="20">
        <f t="shared" si="64"/>
        <v>-41.920637075533634</v>
      </c>
      <c r="BF141" s="20"/>
      <c r="BG141" s="54">
        <f t="shared" si="65"/>
        <v>23900.199478392271</v>
      </c>
      <c r="BH141" s="54">
        <f t="shared" si="66"/>
        <v>39217.083357964621</v>
      </c>
      <c r="BI141" s="54">
        <f t="shared" si="67"/>
        <v>15640.529077850328</v>
      </c>
      <c r="BJ141" s="20"/>
    </row>
    <row r="142" spans="1:62" x14ac:dyDescent="0.3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K142">
        <v>138</v>
      </c>
      <c r="AL142">
        <v>69</v>
      </c>
      <c r="AN142" s="48">
        <f t="shared" si="68"/>
        <v>7039.5393114410945</v>
      </c>
      <c r="AO142" s="48">
        <f t="shared" si="69"/>
        <v>-13082.765452977554</v>
      </c>
      <c r="AP142" s="20"/>
      <c r="AQ142" s="50">
        <f t="shared" si="70"/>
        <v>-7456.2814660660033</v>
      </c>
      <c r="AR142" s="50">
        <f t="shared" si="71"/>
        <v>2982.4612321535446</v>
      </c>
      <c r="AS142" s="20"/>
      <c r="AT142" s="52">
        <f t="shared" si="51"/>
        <v>-1336.9913821378539</v>
      </c>
      <c r="AU142" s="52">
        <f t="shared" si="52"/>
        <v>423.58370956731522</v>
      </c>
      <c r="AV142" s="20"/>
      <c r="AW142" s="20"/>
      <c r="AX142" s="20">
        <f t="shared" si="59"/>
        <v>373.09049975373688</v>
      </c>
      <c r="AY142" s="20">
        <f t="shared" si="60"/>
        <v>592.51244486581697</v>
      </c>
      <c r="AZ142" s="20"/>
      <c r="BA142" s="20">
        <f t="shared" si="61"/>
        <v>-102.07499759637746</v>
      </c>
      <c r="BB142" s="20">
        <f t="shared" si="62"/>
        <v>87.138068477870604</v>
      </c>
      <c r="BC142" s="20"/>
      <c r="BD142" s="20">
        <f t="shared" si="63"/>
        <v>-1608.0068842952132</v>
      </c>
      <c r="BE142" s="20">
        <f t="shared" si="64"/>
        <v>-256.06680377637241</v>
      </c>
      <c r="BF142" s="20"/>
      <c r="BG142" s="54">
        <f t="shared" si="65"/>
        <v>24323.317515338385</v>
      </c>
      <c r="BH142" s="54">
        <f t="shared" si="66"/>
        <v>35552.084989943171</v>
      </c>
      <c r="BI142" s="54">
        <f t="shared" si="67"/>
        <v>12191.238458008762</v>
      </c>
      <c r="BJ142" s="20"/>
    </row>
    <row r="143" spans="1:62" x14ac:dyDescent="0.3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K143">
        <v>139</v>
      </c>
      <c r="AL143">
        <v>69.5</v>
      </c>
      <c r="AN143" s="48">
        <f t="shared" si="68"/>
        <v>3144.2746556408611</v>
      </c>
      <c r="AO143" s="48">
        <f t="shared" si="69"/>
        <v>-11538.586873204866</v>
      </c>
      <c r="AP143" s="20"/>
      <c r="AQ143" s="50">
        <f t="shared" si="70"/>
        <v>-8124.7771571349303</v>
      </c>
      <c r="AR143" s="50">
        <f t="shared" si="71"/>
        <v>3194.2530869372022</v>
      </c>
      <c r="AS143" s="20"/>
      <c r="AT143" s="52">
        <f t="shared" si="51"/>
        <v>-1480.7325585034778</v>
      </c>
      <c r="AU143" s="52">
        <f t="shared" si="52"/>
        <v>-158.5839804537344</v>
      </c>
      <c r="AV143" s="20"/>
      <c r="AW143" s="20"/>
      <c r="AX143" s="20">
        <f t="shared" si="59"/>
        <v>432.64201279198795</v>
      </c>
      <c r="AY143" s="20">
        <f t="shared" si="60"/>
        <v>488.67031096321193</v>
      </c>
      <c r="AZ143" s="20"/>
      <c r="BA143" s="20">
        <f t="shared" si="61"/>
        <v>-122.41688069763183</v>
      </c>
      <c r="BB143" s="20">
        <f t="shared" si="62"/>
        <v>113.92392541496521</v>
      </c>
      <c r="BC143" s="20"/>
      <c r="BD143" s="20">
        <f t="shared" si="63"/>
        <v>-1790.9576905978338</v>
      </c>
      <c r="BE143" s="20">
        <f t="shared" si="64"/>
        <v>-761.17821683191153</v>
      </c>
      <c r="BF143" s="20"/>
      <c r="BG143" s="54">
        <f t="shared" si="65"/>
        <v>25428.0016323155</v>
      </c>
      <c r="BH143" s="54">
        <f t="shared" si="66"/>
        <v>31615.948093174949</v>
      </c>
      <c r="BI143" s="54">
        <f t="shared" si="67"/>
        <v>8849.3271213614735</v>
      </c>
      <c r="BJ143" s="20"/>
    </row>
    <row r="144" spans="1:62" x14ac:dyDescent="0.3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K144">
        <v>140</v>
      </c>
      <c r="AL144">
        <v>70</v>
      </c>
      <c r="AN144" s="48">
        <f t="shared" si="68"/>
        <v>-1103.2054927395388</v>
      </c>
      <c r="AO144" s="48">
        <f t="shared" si="69"/>
        <v>-9961.283327292982</v>
      </c>
      <c r="AP144" s="20"/>
      <c r="AQ144" s="50">
        <f t="shared" si="70"/>
        <v>-8865.1434363866683</v>
      </c>
      <c r="AR144" s="50">
        <f t="shared" si="71"/>
        <v>3114.9610967103349</v>
      </c>
      <c r="AS144" s="20"/>
      <c r="AT144" s="52">
        <f t="shared" si="51"/>
        <v>-927.21924295603685</v>
      </c>
      <c r="AU144" s="52">
        <f t="shared" si="52"/>
        <v>-1057.0648255303799</v>
      </c>
      <c r="AV144" s="20"/>
      <c r="AW144" s="20"/>
      <c r="AX144" s="20">
        <f t="shared" si="59"/>
        <v>445.69057535351021</v>
      </c>
      <c r="AY144" s="20">
        <f t="shared" si="60"/>
        <v>368.77475392206827</v>
      </c>
      <c r="AZ144" s="20"/>
      <c r="BA144" s="20">
        <f t="shared" si="61"/>
        <v>-148.7161264278522</v>
      </c>
      <c r="BB144" s="20">
        <f t="shared" si="62"/>
        <v>157.0935607001129</v>
      </c>
      <c r="BC144" s="20"/>
      <c r="BD144" s="20">
        <f t="shared" si="63"/>
        <v>-1224.1936918816948</v>
      </c>
      <c r="BE144" s="20">
        <f t="shared" si="64"/>
        <v>-1582.933140152561</v>
      </c>
      <c r="BF144" s="20"/>
      <c r="BG144" s="54">
        <f t="shared" si="65"/>
        <v>27390.540292312457</v>
      </c>
      <c r="BH144" s="54">
        <f t="shared" si="66"/>
        <v>27487.118341544894</v>
      </c>
      <c r="BI144" s="54">
        <f t="shared" si="67"/>
        <v>6369.746709220939</v>
      </c>
      <c r="BJ144" s="20"/>
    </row>
    <row r="145" spans="1:62" x14ac:dyDescent="0.3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K145">
        <v>141</v>
      </c>
      <c r="AL145">
        <v>70.5</v>
      </c>
      <c r="AN145" s="48">
        <f t="shared" si="68"/>
        <v>-5651.6796163023773</v>
      </c>
      <c r="AO145" s="48">
        <f t="shared" si="69"/>
        <v>-8535.9358821291116</v>
      </c>
      <c r="AP145" s="20"/>
      <c r="AQ145" s="50">
        <f t="shared" si="70"/>
        <v>-9328.7530578646874</v>
      </c>
      <c r="AR145" s="50">
        <f t="shared" si="71"/>
        <v>2586.4286839451452</v>
      </c>
      <c r="AS145" s="20"/>
      <c r="AT145" s="52">
        <f t="shared" si="51"/>
        <v>440.44628771738383</v>
      </c>
      <c r="AU145" s="52">
        <f t="shared" si="52"/>
        <v>-1508.8126141298917</v>
      </c>
      <c r="AV145" s="20"/>
      <c r="AW145" s="20"/>
      <c r="AX145" s="20">
        <f t="shared" si="59"/>
        <v>415.25296642479628</v>
      </c>
      <c r="AY145" s="20">
        <f t="shared" si="60"/>
        <v>259.59196606447478</v>
      </c>
      <c r="AZ145" s="20"/>
      <c r="BA145" s="20">
        <f t="shared" si="61"/>
        <v>-176.01363908588007</v>
      </c>
      <c r="BB145" s="20">
        <f t="shared" si="62"/>
        <v>227.38393353573187</v>
      </c>
      <c r="BC145" s="20"/>
      <c r="BD145" s="20">
        <f t="shared" si="63"/>
        <v>201.20696037846764</v>
      </c>
      <c r="BE145" s="20">
        <f t="shared" si="64"/>
        <v>-1995.7885137300982</v>
      </c>
      <c r="BF145" s="20"/>
      <c r="BG145" s="54">
        <f t="shared" si="65"/>
        <v>30251.609986134274</v>
      </c>
      <c r="BH145" s="54">
        <f t="shared" si="66"/>
        <v>23440.461105951694</v>
      </c>
      <c r="BI145" s="54">
        <f t="shared" si="67"/>
        <v>6496.8308614469843</v>
      </c>
      <c r="BJ145" s="20"/>
    </row>
    <row r="146" spans="1:62" x14ac:dyDescent="0.3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K146">
        <v>142</v>
      </c>
      <c r="AL146">
        <v>71</v>
      </c>
      <c r="AN146" s="48">
        <f t="shared" si="68"/>
        <v>-10261.000359270049</v>
      </c>
      <c r="AO146" s="48">
        <f t="shared" si="69"/>
        <v>-7431.3231169227756</v>
      </c>
      <c r="AP146" s="20"/>
      <c r="AQ146" s="50">
        <f t="shared" si="70"/>
        <v>-9108.529914005996</v>
      </c>
      <c r="AR146" s="50">
        <f t="shared" si="71"/>
        <v>1832.0223768801993</v>
      </c>
      <c r="AS146" s="20"/>
      <c r="AT146" s="52">
        <f t="shared" ref="AT146:AT209" si="72">AX146+BA146+BD146</f>
        <v>1273.8756984391521</v>
      </c>
      <c r="AU146" s="52">
        <f t="shared" ref="AU146:AU209" si="73">AY146+BB146+BE146</f>
        <v>-1065.5890459709817</v>
      </c>
      <c r="AV146" s="20"/>
      <c r="AW146" s="20"/>
      <c r="AX146" s="20">
        <f t="shared" si="59"/>
        <v>363.45205729315086</v>
      </c>
      <c r="AY146" s="20">
        <f t="shared" si="60"/>
        <v>179.3337973142032</v>
      </c>
      <c r="AZ146" s="20"/>
      <c r="BA146" s="20">
        <f t="shared" si="61"/>
        <v>-184.64081248723375</v>
      </c>
      <c r="BB146" s="20">
        <f t="shared" si="62"/>
        <v>330.47887686284872</v>
      </c>
      <c r="BC146" s="20"/>
      <c r="BD146" s="20">
        <f t="shared" si="63"/>
        <v>1095.064453633235</v>
      </c>
      <c r="BE146" s="20">
        <f t="shared" si="64"/>
        <v>-1575.4017201480335</v>
      </c>
      <c r="BF146" s="20"/>
      <c r="BG146" s="54">
        <f t="shared" si="65"/>
        <v>33744.222509426625</v>
      </c>
      <c r="BH146" s="54">
        <f t="shared" si="66"/>
        <v>19967.452005919647</v>
      </c>
      <c r="BI146" s="54">
        <f t="shared" si="67"/>
        <v>9217.5373360061385</v>
      </c>
      <c r="BJ146" s="20"/>
    </row>
    <row r="147" spans="1:62" x14ac:dyDescent="0.3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K147">
        <v>143</v>
      </c>
      <c r="AL147">
        <v>71.5</v>
      </c>
      <c r="AN147" s="48">
        <f t="shared" si="68"/>
        <v>-14656.030853968152</v>
      </c>
      <c r="AO147" s="48">
        <f t="shared" si="69"/>
        <v>-6648.5105592290492</v>
      </c>
      <c r="AP147" s="20"/>
      <c r="AQ147" s="50">
        <f t="shared" si="70"/>
        <v>-8471.5920647864205</v>
      </c>
      <c r="AR147" s="50">
        <f t="shared" si="71"/>
        <v>1299.2278538947085</v>
      </c>
      <c r="AS147" s="20"/>
      <c r="AT147" s="52">
        <f t="shared" si="72"/>
        <v>1353.8066355519527</v>
      </c>
      <c r="AU147" s="52">
        <f t="shared" si="73"/>
        <v>-450.43797131172278</v>
      </c>
      <c r="AV147" s="20"/>
      <c r="AW147" s="20"/>
      <c r="AX147" s="20">
        <f t="shared" si="59"/>
        <v>311.96837671830195</v>
      </c>
      <c r="AY147" s="20">
        <f t="shared" si="60"/>
        <v>127.36276380706902</v>
      </c>
      <c r="AZ147" s="20"/>
      <c r="BA147" s="20">
        <f t="shared" si="61"/>
        <v>-143.65082837485818</v>
      </c>
      <c r="BB147" s="20">
        <f t="shared" si="62"/>
        <v>447.52734675062317</v>
      </c>
      <c r="BC147" s="20"/>
      <c r="BD147" s="20">
        <f t="shared" si="63"/>
        <v>1185.4890872085089</v>
      </c>
      <c r="BE147" s="20">
        <f t="shared" si="64"/>
        <v>-1025.328081869415</v>
      </c>
      <c r="BF147" s="20"/>
      <c r="BG147" s="54">
        <f t="shared" si="65"/>
        <v>37432.884281014311</v>
      </c>
      <c r="BH147" s="54">
        <f t="shared" si="66"/>
        <v>17485.162569290042</v>
      </c>
      <c r="BI147" s="54">
        <f t="shared" si="67"/>
        <v>12766.609092946082</v>
      </c>
      <c r="BJ147" s="20"/>
    </row>
    <row r="148" spans="1:62" x14ac:dyDescent="0.3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K148">
        <v>144</v>
      </c>
      <c r="AL148">
        <v>72</v>
      </c>
      <c r="AN148" s="48">
        <f t="shared" si="68"/>
        <v>-18722.60105691737</v>
      </c>
      <c r="AO148" s="48">
        <f t="shared" si="69"/>
        <v>-6055.2013786956604</v>
      </c>
      <c r="AP148" s="20"/>
      <c r="AQ148" s="50">
        <f t="shared" si="70"/>
        <v>-7794.6887470104439</v>
      </c>
      <c r="AR148" s="50">
        <f t="shared" si="71"/>
        <v>1074.0088682388471</v>
      </c>
      <c r="AS148" s="20"/>
      <c r="AT148" s="52">
        <f t="shared" si="72"/>
        <v>1243.3786426763315</v>
      </c>
      <c r="AU148" s="52">
        <f t="shared" si="73"/>
        <v>-35.919554409701504</v>
      </c>
      <c r="AV148" s="20"/>
      <c r="AW148" s="20"/>
      <c r="AX148" s="20">
        <f t="shared" si="59"/>
        <v>269.25833480851264</v>
      </c>
      <c r="AY148" s="20">
        <f t="shared" si="60"/>
        <v>94.256347755586603</v>
      </c>
      <c r="AZ148" s="20"/>
      <c r="BA148" s="20">
        <f t="shared" si="61"/>
        <v>-42.358943817262478</v>
      </c>
      <c r="BB148" s="20">
        <f t="shared" si="62"/>
        <v>532.39544063957544</v>
      </c>
      <c r="BC148" s="20"/>
      <c r="BD148" s="20">
        <f t="shared" si="63"/>
        <v>1016.4792516850813</v>
      </c>
      <c r="BE148" s="20">
        <f t="shared" si="64"/>
        <v>-662.57134280486355</v>
      </c>
      <c r="BF148" s="20"/>
      <c r="BG148" s="54">
        <f t="shared" si="65"/>
        <v>41026.617177512584</v>
      </c>
      <c r="BH148" s="54">
        <f t="shared" si="66"/>
        <v>16105.938015845571</v>
      </c>
      <c r="BI148" s="54">
        <f t="shared" si="67"/>
        <v>16380.451829635156</v>
      </c>
      <c r="BJ148" s="20"/>
    </row>
    <row r="149" spans="1:62" x14ac:dyDescent="0.3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K149">
        <v>145</v>
      </c>
      <c r="AL149">
        <v>72.5</v>
      </c>
      <c r="AN149" s="48">
        <f t="shared" si="68"/>
        <v>-22464.523100088049</v>
      </c>
      <c r="AO149" s="48">
        <f t="shared" si="69"/>
        <v>-5522.6868888774497</v>
      </c>
      <c r="AP149" s="20"/>
      <c r="AQ149" s="50">
        <f t="shared" si="70"/>
        <v>-7172.9994256722784</v>
      </c>
      <c r="AR149" s="50">
        <f t="shared" si="71"/>
        <v>1056.0490910339963</v>
      </c>
      <c r="AS149" s="20"/>
      <c r="AT149" s="52">
        <f t="shared" si="72"/>
        <v>1153.2586400325338</v>
      </c>
      <c r="AU149" s="52">
        <f t="shared" si="73"/>
        <v>168.77999492395509</v>
      </c>
      <c r="AV149" s="20"/>
      <c r="AW149" s="20"/>
      <c r="AX149" s="20">
        <f t="shared" si="59"/>
        <v>235.60286756532818</v>
      </c>
      <c r="AY149" s="20">
        <f t="shared" si="60"/>
        <v>72.252839557229549</v>
      </c>
      <c r="AZ149" s="20"/>
      <c r="BA149" s="20">
        <f t="shared" si="61"/>
        <v>86.901475017453649</v>
      </c>
      <c r="BB149" s="20">
        <f t="shared" si="62"/>
        <v>547.34499621015766</v>
      </c>
      <c r="BC149" s="20"/>
      <c r="BD149" s="20">
        <f t="shared" si="63"/>
        <v>830.7542974497519</v>
      </c>
      <c r="BE149" s="20">
        <f t="shared" si="64"/>
        <v>-450.81784084343212</v>
      </c>
      <c r="BF149" s="20"/>
      <c r="BG149" s="54">
        <f t="shared" si="65"/>
        <v>44416.50702074232</v>
      </c>
      <c r="BH149" s="54">
        <f t="shared" si="66"/>
        <v>15717.114314052547</v>
      </c>
      <c r="BI149" s="54">
        <f t="shared" si="67"/>
        <v>19870.305254820934</v>
      </c>
      <c r="BJ149" s="20"/>
    </row>
    <row r="150" spans="1:62" x14ac:dyDescent="0.3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K150">
        <v>146</v>
      </c>
      <c r="AL150">
        <v>73</v>
      </c>
      <c r="AN150" s="48">
        <f t="shared" si="68"/>
        <v>-25906.865482920122</v>
      </c>
      <c r="AO150" s="48">
        <f t="shared" si="69"/>
        <v>-4973.5648439949573</v>
      </c>
      <c r="AP150" s="20"/>
      <c r="AQ150" s="50">
        <f t="shared" si="70"/>
        <v>-6596.3701056560112</v>
      </c>
      <c r="AR150" s="50">
        <f t="shared" si="71"/>
        <v>1140.4390884959739</v>
      </c>
      <c r="AS150" s="20"/>
      <c r="AT150" s="52">
        <f t="shared" si="72"/>
        <v>1085.3045010259302</v>
      </c>
      <c r="AU150" s="52">
        <f t="shared" si="73"/>
        <v>228.05810528505441</v>
      </c>
      <c r="AV150" s="20"/>
      <c r="AW150" s="20"/>
      <c r="AX150" s="20">
        <f t="shared" si="59"/>
        <v>209.25332950634447</v>
      </c>
      <c r="AY150" s="20">
        <f t="shared" si="60"/>
        <v>56.857181316165985</v>
      </c>
      <c r="AZ150" s="20"/>
      <c r="BA150" s="20">
        <f t="shared" si="61"/>
        <v>196.16206106248629</v>
      </c>
      <c r="BB150" s="20">
        <f t="shared" si="62"/>
        <v>497.25956173269384</v>
      </c>
      <c r="BC150" s="20"/>
      <c r="BD150" s="20">
        <f t="shared" si="63"/>
        <v>679.8891104570996</v>
      </c>
      <c r="BE150" s="20">
        <f t="shared" si="64"/>
        <v>-326.05863776380539</v>
      </c>
      <c r="BF150" s="20"/>
      <c r="BG150" s="54">
        <f t="shared" si="65"/>
        <v>47571.31613046112</v>
      </c>
      <c r="BH150" s="54">
        <f t="shared" si="66"/>
        <v>16096.54323047762</v>
      </c>
      <c r="BI150" s="54">
        <f t="shared" si="67"/>
        <v>23186.7726572391</v>
      </c>
      <c r="BJ150" s="20"/>
    </row>
    <row r="151" spans="1:62" x14ac:dyDescent="0.3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K151">
        <v>147</v>
      </c>
      <c r="AL151">
        <v>73.5</v>
      </c>
      <c r="AN151" s="48">
        <f t="shared" si="68"/>
        <v>-29069.387473119885</v>
      </c>
      <c r="AO151" s="48">
        <f t="shared" si="69"/>
        <v>-4374.8380365863386</v>
      </c>
      <c r="AP151" s="20"/>
      <c r="AQ151" s="50">
        <f t="shared" si="70"/>
        <v>-6053.7178551430461</v>
      </c>
      <c r="AR151" s="50">
        <f t="shared" si="71"/>
        <v>1254.4681411385011</v>
      </c>
      <c r="AS151" s="20"/>
      <c r="AT151" s="52">
        <f t="shared" si="72"/>
        <v>1015.8913732738389</v>
      </c>
      <c r="AU151" s="52">
        <f t="shared" si="73"/>
        <v>211.77132171242911</v>
      </c>
      <c r="AV151" s="20"/>
      <c r="AW151" s="20"/>
      <c r="AX151" s="20">
        <f t="shared" si="59"/>
        <v>188.46531444247182</v>
      </c>
      <c r="AY151" s="20">
        <f t="shared" si="60"/>
        <v>45.60878380119658</v>
      </c>
      <c r="AZ151" s="20"/>
      <c r="BA151" s="20">
        <f t="shared" si="61"/>
        <v>262.24556841666924</v>
      </c>
      <c r="BB151" s="20">
        <f t="shared" si="62"/>
        <v>415.65514572786753</v>
      </c>
      <c r="BC151" s="20"/>
      <c r="BD151" s="20">
        <f t="shared" si="63"/>
        <v>565.18049041469783</v>
      </c>
      <c r="BE151" s="20">
        <f t="shared" si="64"/>
        <v>-249.492607816635</v>
      </c>
      <c r="BF151" s="20"/>
      <c r="BG151" s="54">
        <f t="shared" si="65"/>
        <v>50485.805583176872</v>
      </c>
      <c r="BH151" s="54">
        <f t="shared" si="66"/>
        <v>16996.757270599392</v>
      </c>
      <c r="BI151" s="54">
        <f t="shared" si="67"/>
        <v>26310.254276231404</v>
      </c>
      <c r="BJ151" s="20"/>
    </row>
    <row r="152" spans="1:62" x14ac:dyDescent="0.3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K152">
        <v>148</v>
      </c>
      <c r="AL152">
        <v>74</v>
      </c>
      <c r="AN152" s="48">
        <f t="shared" si="68"/>
        <v>-31969.25997903218</v>
      </c>
      <c r="AO152" s="48">
        <f t="shared" si="69"/>
        <v>-3721.1325508030345</v>
      </c>
      <c r="AP152" s="20"/>
      <c r="AQ152" s="50">
        <f t="shared" si="70"/>
        <v>-5545.7721685061269</v>
      </c>
      <c r="AR152" s="50">
        <f t="shared" si="71"/>
        <v>1360.3538019947157</v>
      </c>
      <c r="AS152" s="20"/>
      <c r="AT152" s="52">
        <f t="shared" si="72"/>
        <v>940.25620263279779</v>
      </c>
      <c r="AU152" s="52">
        <f t="shared" si="73"/>
        <v>168.82877987536114</v>
      </c>
      <c r="AV152" s="20"/>
      <c r="AW152" s="20"/>
      <c r="AX152" s="20">
        <f t="shared" si="59"/>
        <v>171.85963376733568</v>
      </c>
      <c r="AY152" s="20">
        <f t="shared" si="60"/>
        <v>37.107700425478569</v>
      </c>
      <c r="AZ152" s="20"/>
      <c r="BA152" s="20">
        <f t="shared" si="61"/>
        <v>289.58237934793999</v>
      </c>
      <c r="BB152" s="20">
        <f t="shared" si="62"/>
        <v>331.96690675702871</v>
      </c>
      <c r="BC152" s="20"/>
      <c r="BD152" s="20">
        <f t="shared" si="63"/>
        <v>478.81418951752204</v>
      </c>
      <c r="BE152" s="20">
        <f t="shared" si="64"/>
        <v>-200.24582730714616</v>
      </c>
      <c r="BF152" s="20"/>
      <c r="BG152" s="54">
        <f t="shared" si="65"/>
        <v>53166.886296744211</v>
      </c>
      <c r="BH152" s="54">
        <f t="shared" si="66"/>
        <v>18208.038415006929</v>
      </c>
      <c r="BI152" s="54">
        <f t="shared" si="67"/>
        <v>29232.752774126177</v>
      </c>
      <c r="BJ152" s="20"/>
    </row>
    <row r="153" spans="1:62" x14ac:dyDescent="0.3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K153">
        <v>149</v>
      </c>
      <c r="AL153">
        <v>74.5</v>
      </c>
      <c r="AN153" s="48">
        <f t="shared" si="68"/>
        <v>-34624.614037956148</v>
      </c>
      <c r="AO153" s="48">
        <f t="shared" si="69"/>
        <v>-3019.8520523212565</v>
      </c>
      <c r="AP153" s="20"/>
      <c r="AQ153" s="50">
        <f t="shared" si="70"/>
        <v>-5075.644067189728</v>
      </c>
      <c r="AR153" s="50">
        <f t="shared" si="71"/>
        <v>1444.7681919323963</v>
      </c>
      <c r="AS153" s="20"/>
      <c r="AT153" s="52">
        <f t="shared" si="72"/>
        <v>863.7247462052087</v>
      </c>
      <c r="AU153" s="52">
        <f t="shared" si="73"/>
        <v>123.47129059258373</v>
      </c>
      <c r="AV153" s="20"/>
      <c r="AW153" s="20"/>
      <c r="AX153" s="20">
        <f t="shared" si="59"/>
        <v>158.4088546870077</v>
      </c>
      <c r="AY153" s="20">
        <f t="shared" si="60"/>
        <v>30.507084478931905</v>
      </c>
      <c r="AZ153" s="20"/>
      <c r="BA153" s="20">
        <f t="shared" si="61"/>
        <v>292.11565351459149</v>
      </c>
      <c r="BB153" s="20">
        <f t="shared" si="62"/>
        <v>260.06174118894199</v>
      </c>
      <c r="BC153" s="20"/>
      <c r="BD153" s="20">
        <f t="shared" si="63"/>
        <v>413.20023800360957</v>
      </c>
      <c r="BE153" s="20">
        <f t="shared" si="64"/>
        <v>-167.09753507529018</v>
      </c>
      <c r="BF153" s="20"/>
      <c r="BG153" s="54">
        <f t="shared" si="65"/>
        <v>55628.371771951075</v>
      </c>
      <c r="BH153" s="54">
        <f t="shared" si="66"/>
        <v>19580.4975223695</v>
      </c>
      <c r="BI153" s="54">
        <f t="shared" si="67"/>
        <v>31955.307880634471</v>
      </c>
      <c r="BJ153" s="20"/>
    </row>
    <row r="154" spans="1:62" x14ac:dyDescent="0.3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K154">
        <v>150</v>
      </c>
      <c r="AL154">
        <v>75</v>
      </c>
      <c r="AN154" s="48">
        <f t="shared" si="68"/>
        <v>-37054.470478275362</v>
      </c>
      <c r="AO154" s="48">
        <f t="shared" si="69"/>
        <v>-2282.034045030985</v>
      </c>
      <c r="AP154" s="20"/>
      <c r="AQ154" s="50">
        <f t="shared" si="70"/>
        <v>-4643.7816940871235</v>
      </c>
      <c r="AR154" s="50">
        <f t="shared" si="71"/>
        <v>1506.5038372286881</v>
      </c>
      <c r="AS154" s="20"/>
      <c r="AT154" s="52">
        <f t="shared" si="72"/>
        <v>791.7057799281481</v>
      </c>
      <c r="AU154" s="52">
        <f t="shared" si="73"/>
        <v>84.33747418864138</v>
      </c>
      <c r="AV154" s="20"/>
      <c r="AW154" s="20"/>
      <c r="AX154" s="20">
        <f t="shared" si="59"/>
        <v>147.36338542520795</v>
      </c>
      <c r="AY154" s="20">
        <f t="shared" si="60"/>
        <v>25.265568870178058</v>
      </c>
      <c r="AZ154" s="20"/>
      <c r="BA154" s="20">
        <f t="shared" si="61"/>
        <v>281.7750157313119</v>
      </c>
      <c r="BB154" s="20">
        <f t="shared" si="62"/>
        <v>202.92452589833124</v>
      </c>
      <c r="BC154" s="20"/>
      <c r="BD154" s="20">
        <f t="shared" si="63"/>
        <v>362.56737877162823</v>
      </c>
      <c r="BE154" s="20">
        <f t="shared" si="64"/>
        <v>-143.85262057986793</v>
      </c>
      <c r="BF154" s="20"/>
      <c r="BG154" s="54">
        <f t="shared" si="65"/>
        <v>57886.965645251606</v>
      </c>
      <c r="BH154" s="54">
        <f t="shared" si="66"/>
        <v>21016.739128077552</v>
      </c>
      <c r="BI154" s="54">
        <f t="shared" si="67"/>
        <v>34485.297384166159</v>
      </c>
      <c r="BJ154" s="20"/>
    </row>
    <row r="155" spans="1:62" x14ac:dyDescent="0.3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K155">
        <v>151</v>
      </c>
      <c r="AL155">
        <v>75.5</v>
      </c>
      <c r="AN155" s="48">
        <f t="shared" si="68"/>
        <v>-39277.398102827909</v>
      </c>
      <c r="AO155" s="48">
        <f t="shared" si="69"/>
        <v>-1518.2399421430607</v>
      </c>
      <c r="AP155" s="20"/>
      <c r="AQ155" s="50">
        <f t="shared" si="70"/>
        <v>-4247.9288041230493</v>
      </c>
      <c r="AR155" s="50">
        <f t="shared" si="71"/>
        <v>1548.6725743230088</v>
      </c>
      <c r="AS155" s="20"/>
      <c r="AT155" s="52">
        <f t="shared" si="72"/>
        <v>727.01283452439679</v>
      </c>
      <c r="AU155" s="52">
        <f t="shared" si="73"/>
        <v>53.00187938989643</v>
      </c>
      <c r="AV155" s="20"/>
      <c r="AW155" s="20"/>
      <c r="AX155" s="20">
        <f t="shared" si="59"/>
        <v>138.17887726316874</v>
      </c>
      <c r="AY155" s="20">
        <f t="shared" si="60"/>
        <v>21.022013616952993</v>
      </c>
      <c r="AZ155" s="20"/>
      <c r="BA155" s="20">
        <f t="shared" si="61"/>
        <v>266.02004678347834</v>
      </c>
      <c r="BB155" s="20">
        <f t="shared" si="62"/>
        <v>158.94690310009929</v>
      </c>
      <c r="BC155" s="20"/>
      <c r="BD155" s="20">
        <f t="shared" si="63"/>
        <v>322.81391047774974</v>
      </c>
      <c r="BE155" s="20">
        <f t="shared" si="64"/>
        <v>-126.96703732715585</v>
      </c>
      <c r="BF155" s="20"/>
      <c r="BG155" s="54">
        <f t="shared" si="65"/>
        <v>59959.474459798344</v>
      </c>
      <c r="BH155" s="54">
        <f t="shared" si="66"/>
        <v>22456.356093090722</v>
      </c>
      <c r="BI155" s="54">
        <f t="shared" si="67"/>
        <v>36833.379901352753</v>
      </c>
      <c r="BJ155" s="20"/>
    </row>
    <row r="156" spans="1:62" x14ac:dyDescent="0.3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K156">
        <v>152</v>
      </c>
      <c r="AL156">
        <v>76</v>
      </c>
      <c r="AN156" s="48">
        <f t="shared" si="68"/>
        <v>-41310.485900573884</v>
      </c>
      <c r="AO156" s="48">
        <f t="shared" si="69"/>
        <v>-737.27842005781929</v>
      </c>
      <c r="AP156" s="20"/>
      <c r="AQ156" s="50">
        <f t="shared" si="70"/>
        <v>-3884.422386860851</v>
      </c>
      <c r="AR156" s="50">
        <f t="shared" si="71"/>
        <v>1575.1735140179571</v>
      </c>
      <c r="AS156" s="20"/>
      <c r="AT156" s="52">
        <f t="shared" si="72"/>
        <v>670.39197650154892</v>
      </c>
      <c r="AU156" s="52">
        <f t="shared" si="73"/>
        <v>28.581597938308747</v>
      </c>
      <c r="AV156" s="20"/>
      <c r="AW156" s="20"/>
      <c r="AX156" s="20">
        <f t="shared" si="59"/>
        <v>130.45793181663228</v>
      </c>
      <c r="AY156" s="20">
        <f t="shared" si="60"/>
        <v>17.527479854281513</v>
      </c>
      <c r="AZ156" s="20"/>
      <c r="BA156" s="20">
        <f t="shared" si="61"/>
        <v>248.85967500905369</v>
      </c>
      <c r="BB156" s="20">
        <f t="shared" si="62"/>
        <v>125.38783163200218</v>
      </c>
      <c r="BC156" s="20"/>
      <c r="BD156" s="20">
        <f t="shared" si="63"/>
        <v>291.0743696758629</v>
      </c>
      <c r="BE156" s="20">
        <f t="shared" si="64"/>
        <v>-114.33371354797494</v>
      </c>
      <c r="BF156" s="20"/>
      <c r="BG156" s="54">
        <f t="shared" si="65"/>
        <v>61861.3646562539</v>
      </c>
      <c r="BH156" s="54">
        <f t="shared" si="66"/>
        <v>23862.64774052531</v>
      </c>
      <c r="BI156" s="54">
        <f t="shared" si="67"/>
        <v>39011.237011952377</v>
      </c>
      <c r="BJ156" s="20"/>
    </row>
    <row r="157" spans="1:62" x14ac:dyDescent="0.3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K157">
        <v>153</v>
      </c>
      <c r="AL157">
        <v>76.5</v>
      </c>
      <c r="AN157" s="48">
        <f t="shared" si="68"/>
        <v>-43168.898096941615</v>
      </c>
      <c r="AO157" s="48">
        <f t="shared" si="69"/>
        <v>53.881036693447868</v>
      </c>
      <c r="AP157" s="20"/>
      <c r="AQ157" s="50">
        <f t="shared" si="70"/>
        <v>-3549.2263986100766</v>
      </c>
      <c r="AR157" s="50">
        <f t="shared" si="71"/>
        <v>1589.4643129871115</v>
      </c>
      <c r="AS157" s="20"/>
      <c r="AT157" s="52">
        <f t="shared" si="72"/>
        <v>621.48212587161925</v>
      </c>
      <c r="AU157" s="52">
        <f t="shared" si="73"/>
        <v>9.6498854478878116</v>
      </c>
      <c r="AV157" s="20"/>
      <c r="AW157" s="20"/>
      <c r="AX157" s="20">
        <f t="shared" si="59"/>
        <v>123.90720826377726</v>
      </c>
      <c r="AY157" s="20">
        <f t="shared" si="60"/>
        <v>14.605729099902666</v>
      </c>
      <c r="AZ157" s="20"/>
      <c r="BA157" s="20">
        <f t="shared" si="61"/>
        <v>232.23390879575496</v>
      </c>
      <c r="BB157" s="20">
        <f t="shared" si="62"/>
        <v>99.695120351932857</v>
      </c>
      <c r="BC157" s="20"/>
      <c r="BD157" s="20">
        <f t="shared" si="63"/>
        <v>265.34100881208695</v>
      </c>
      <c r="BE157" s="20">
        <f t="shared" si="64"/>
        <v>-104.65096400394771</v>
      </c>
      <c r="BF157" s="20"/>
      <c r="BG157" s="54">
        <f t="shared" si="65"/>
        <v>63606.244775159517</v>
      </c>
      <c r="BH157" s="54">
        <f t="shared" si="66"/>
        <v>25213.550354099501</v>
      </c>
      <c r="BI157" s="54">
        <f t="shared" si="67"/>
        <v>41030.282916422009</v>
      </c>
      <c r="BJ157" s="20"/>
    </row>
    <row r="158" spans="1:62" x14ac:dyDescent="0.3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K158">
        <v>154</v>
      </c>
      <c r="AL158">
        <v>77</v>
      </c>
      <c r="AN158" s="48">
        <f t="shared" si="68"/>
        <v>-44865.826030512697</v>
      </c>
      <c r="AO158" s="48">
        <f t="shared" si="69"/>
        <v>849.81942886798959</v>
      </c>
      <c r="AP158" s="20"/>
      <c r="AQ158" s="50">
        <f t="shared" si="70"/>
        <v>-3238.4853356742669</v>
      </c>
      <c r="AR158" s="50">
        <f t="shared" si="71"/>
        <v>1594.2892557110554</v>
      </c>
      <c r="AS158" s="20"/>
      <c r="AT158" s="52">
        <f t="shared" si="72"/>
        <v>579.47040507147256</v>
      </c>
      <c r="AU158" s="52">
        <f t="shared" si="73"/>
        <v>-5.1137912947286566</v>
      </c>
      <c r="AV158" s="20"/>
      <c r="AW158" s="20"/>
      <c r="AX158" s="20">
        <f t="shared" si="59"/>
        <v>118.30719030350271</v>
      </c>
      <c r="AY158" s="20">
        <f t="shared" si="60"/>
        <v>12.129101354717651</v>
      </c>
      <c r="AZ158" s="20"/>
      <c r="BA158" s="20">
        <f t="shared" si="61"/>
        <v>216.97279025736566</v>
      </c>
      <c r="BB158" s="20">
        <f t="shared" si="62"/>
        <v>79.842117749921101</v>
      </c>
      <c r="BC158" s="20"/>
      <c r="BD158" s="20">
        <f t="shared" si="63"/>
        <v>244.19042451060423</v>
      </c>
      <c r="BE158" s="20">
        <f t="shared" si="64"/>
        <v>-97.085010399367405</v>
      </c>
      <c r="BF158" s="20"/>
      <c r="BG158" s="54">
        <f t="shared" si="65"/>
        <v>65205.830170694091</v>
      </c>
      <c r="BH158" s="54">
        <f t="shared" si="66"/>
        <v>26495.945136266502</v>
      </c>
      <c r="BI158" s="54">
        <f t="shared" si="67"/>
        <v>42901.058973209801</v>
      </c>
      <c r="BJ158" s="20"/>
    </row>
    <row r="159" spans="1:62" x14ac:dyDescent="0.3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K159">
        <v>155</v>
      </c>
      <c r="AL159">
        <v>77.5</v>
      </c>
      <c r="AN159" s="48">
        <f t="shared" si="68"/>
        <v>-46412.6348977159</v>
      </c>
      <c r="AO159" s="48">
        <f t="shared" si="69"/>
        <v>1646.3248328116763</v>
      </c>
      <c r="AP159" s="20"/>
      <c r="AQ159" s="50">
        <f t="shared" si="70"/>
        <v>-2948.7501331385306</v>
      </c>
      <c r="AR159" s="50">
        <f t="shared" si="71"/>
        <v>1591.732360063691</v>
      </c>
      <c r="AS159" s="20"/>
      <c r="AT159" s="52">
        <f t="shared" si="72"/>
        <v>543.43764252635015</v>
      </c>
      <c r="AU159" s="52">
        <f t="shared" si="73"/>
        <v>-16.766400593867246</v>
      </c>
      <c r="AV159" s="20"/>
      <c r="AW159" s="20"/>
      <c r="AX159" s="20">
        <f t="shared" si="59"/>
        <v>113.49123479411031</v>
      </c>
      <c r="AY159" s="20">
        <f t="shared" si="60"/>
        <v>10.003229413062654</v>
      </c>
      <c r="AZ159" s="20"/>
      <c r="BA159" s="20">
        <f t="shared" si="61"/>
        <v>203.34854188184048</v>
      </c>
      <c r="BB159" s="20">
        <f t="shared" si="62"/>
        <v>64.314206862761168</v>
      </c>
      <c r="BC159" s="20"/>
      <c r="BD159" s="20">
        <f t="shared" si="63"/>
        <v>226.5978658503993</v>
      </c>
      <c r="BE159" s="20">
        <f t="shared" si="64"/>
        <v>-91.083836869691069</v>
      </c>
      <c r="BF159" s="20"/>
      <c r="BG159" s="54">
        <f t="shared" si="65"/>
        <v>66670.110147053681</v>
      </c>
      <c r="BH159" s="54">
        <f t="shared" si="66"/>
        <v>27702.187116524547</v>
      </c>
      <c r="BI159" s="54">
        <f t="shared" si="67"/>
        <v>44633.019835218402</v>
      </c>
      <c r="BJ159" s="20"/>
    </row>
    <row r="160" spans="1:62" x14ac:dyDescent="0.3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K160">
        <v>156</v>
      </c>
      <c r="AL160">
        <v>78</v>
      </c>
      <c r="AN160" s="48">
        <f t="shared" si="68"/>
        <v>-47819.08025896937</v>
      </c>
      <c r="AO160" s="48">
        <f t="shared" si="69"/>
        <v>2440.0952127692885</v>
      </c>
      <c r="AP160" s="20"/>
      <c r="AQ160" s="50">
        <f t="shared" si="70"/>
        <v>-2677.0313118753556</v>
      </c>
      <c r="AR160" s="50">
        <f t="shared" si="71"/>
        <v>1583.3491597667573</v>
      </c>
      <c r="AS160" s="20"/>
      <c r="AT160" s="52">
        <f t="shared" si="72"/>
        <v>512.5136255495031</v>
      </c>
      <c r="AU160" s="52">
        <f t="shared" si="73"/>
        <v>-26.108892691982092</v>
      </c>
      <c r="AV160" s="20"/>
      <c r="AW160" s="20"/>
      <c r="AX160" s="20">
        <f t="shared" si="59"/>
        <v>109.33107630798615</v>
      </c>
      <c r="AY160" s="20">
        <f t="shared" si="60"/>
        <v>8.1570678088147854</v>
      </c>
      <c r="AZ160" s="20"/>
      <c r="BA160" s="20">
        <f t="shared" si="61"/>
        <v>191.36917378391288</v>
      </c>
      <c r="BB160" s="20">
        <f t="shared" si="62"/>
        <v>52.005052631132045</v>
      </c>
      <c r="BC160" s="20"/>
      <c r="BD160" s="20">
        <f t="shared" si="63"/>
        <v>211.81337545760411</v>
      </c>
      <c r="BE160" s="20">
        <f t="shared" si="64"/>
        <v>-86.271013131928925</v>
      </c>
      <c r="BF160" s="20"/>
      <c r="BG160" s="54">
        <f t="shared" si="65"/>
        <v>68007.575192976612</v>
      </c>
      <c r="BH160" s="54">
        <f t="shared" si="66"/>
        <v>28827.996580528677</v>
      </c>
      <c r="BI160" s="54">
        <f t="shared" si="67"/>
        <v>46234.516924636715</v>
      </c>
      <c r="BJ160" s="20"/>
    </row>
    <row r="161" spans="1:62" x14ac:dyDescent="0.3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K161">
        <v>157</v>
      </c>
      <c r="AL161">
        <v>78.5</v>
      </c>
      <c r="AN161" s="48">
        <f t="shared" si="68"/>
        <v>-49093.53171171336</v>
      </c>
      <c r="AO161" s="48">
        <f t="shared" si="69"/>
        <v>3228.5061810661691</v>
      </c>
      <c r="AP161" s="20"/>
      <c r="AQ161" s="50">
        <f t="shared" si="70"/>
        <v>-2420.7744991006039</v>
      </c>
      <c r="AR161" s="50">
        <f t="shared" si="71"/>
        <v>1570.2947134207664</v>
      </c>
      <c r="AS161" s="20"/>
      <c r="AT161" s="52">
        <f t="shared" si="72"/>
        <v>485.93408725079985</v>
      </c>
      <c r="AU161" s="52">
        <f t="shared" si="73"/>
        <v>-33.735974579901267</v>
      </c>
      <c r="AV161" s="20"/>
      <c r="AW161" s="20"/>
      <c r="AX161" s="20">
        <f t="shared" si="59"/>
        <v>105.72672956170771</v>
      </c>
      <c r="AY161" s="20">
        <f t="shared" si="60"/>
        <v>6.5362279309043068</v>
      </c>
      <c r="AZ161" s="20"/>
      <c r="BA161" s="20">
        <f t="shared" si="61"/>
        <v>180.92821225328396</v>
      </c>
      <c r="BB161" s="20">
        <f t="shared" si="62"/>
        <v>42.110881658640324</v>
      </c>
      <c r="BC161" s="20"/>
      <c r="BD161" s="20">
        <f t="shared" si="63"/>
        <v>199.2791454358082</v>
      </c>
      <c r="BE161" s="20">
        <f t="shared" si="64"/>
        <v>-82.383084169445894</v>
      </c>
      <c r="BF161" s="20"/>
      <c r="BG161" s="54">
        <f t="shared" si="65"/>
        <v>69225.441738155263</v>
      </c>
      <c r="BH161" s="54">
        <f t="shared" si="66"/>
        <v>29871.168641355998</v>
      </c>
      <c r="BI161" s="54">
        <f t="shared" si="67"/>
        <v>47712.870133801836</v>
      </c>
      <c r="BJ161" s="20"/>
    </row>
    <row r="162" spans="1:62" x14ac:dyDescent="0.3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K162">
        <v>158</v>
      </c>
      <c r="AL162">
        <v>79</v>
      </c>
      <c r="AN162" s="48">
        <f t="shared" si="68"/>
        <v>-50243.177200357313</v>
      </c>
      <c r="AO162" s="48">
        <f t="shared" si="69"/>
        <v>4009.4365409540646</v>
      </c>
      <c r="AP162" s="20"/>
      <c r="AQ162" s="50">
        <f t="shared" si="70"/>
        <v>-2177.8074554752038</v>
      </c>
      <c r="AR162" s="50">
        <f t="shared" si="71"/>
        <v>1553.4267261308157</v>
      </c>
      <c r="AS162" s="20"/>
      <c r="AT162" s="52">
        <f t="shared" si="72"/>
        <v>463.05196419924437</v>
      </c>
      <c r="AU162" s="52">
        <f t="shared" si="73"/>
        <v>-40.08732999146261</v>
      </c>
      <c r="AV162" s="20"/>
      <c r="AW162" s="20"/>
      <c r="AX162" s="20">
        <f t="shared" si="59"/>
        <v>102.59937690336322</v>
      </c>
      <c r="AY162" s="20">
        <f t="shared" si="60"/>
        <v>5.0984259285176448</v>
      </c>
      <c r="AZ162" s="20"/>
      <c r="BA162" s="20">
        <f t="shared" si="61"/>
        <v>171.8787129380878</v>
      </c>
      <c r="BB162" s="20">
        <f t="shared" si="62"/>
        <v>34.045706583453466</v>
      </c>
      <c r="BC162" s="20"/>
      <c r="BD162" s="20">
        <f t="shared" si="63"/>
        <v>188.57387435779336</v>
      </c>
      <c r="BE162" s="20">
        <f t="shared" si="64"/>
        <v>-79.231462503433718</v>
      </c>
      <c r="BF162" s="20"/>
      <c r="BG162" s="54">
        <f t="shared" si="65"/>
        <v>70329.851247265018</v>
      </c>
      <c r="BH162" s="54">
        <f t="shared" si="66"/>
        <v>30830.773874962477</v>
      </c>
      <c r="BI162" s="54">
        <f t="shared" si="67"/>
        <v>49074.471579299679</v>
      </c>
      <c r="BJ162" s="20"/>
    </row>
    <row r="163" spans="1:62" x14ac:dyDescent="0.3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K163">
        <v>159</v>
      </c>
      <c r="AL163">
        <v>79.5</v>
      </c>
      <c r="AN163" s="48">
        <f t="shared" si="68"/>
        <v>-51274.199432570014</v>
      </c>
      <c r="AO163" s="48">
        <f t="shared" si="69"/>
        <v>4781.1389877705396</v>
      </c>
      <c r="AP163" s="20"/>
      <c r="AQ163" s="50">
        <f t="shared" si="70"/>
        <v>-1946.2814733755818</v>
      </c>
      <c r="AR163" s="50">
        <f t="shared" si="71"/>
        <v>1533.3830611350845</v>
      </c>
      <c r="AS163" s="20"/>
      <c r="AT163" s="52">
        <f t="shared" si="72"/>
        <v>443.32959616637663</v>
      </c>
      <c r="AU163" s="52">
        <f t="shared" si="73"/>
        <v>-45.489409711343335</v>
      </c>
      <c r="AV163" s="20"/>
      <c r="AW163" s="20"/>
      <c r="AX163" s="20">
        <f t="shared" si="59"/>
        <v>99.886293454336524</v>
      </c>
      <c r="AY163" s="20">
        <f t="shared" si="60"/>
        <v>3.8103121619210265</v>
      </c>
      <c r="AZ163" s="20"/>
      <c r="BA163" s="20">
        <f t="shared" si="61"/>
        <v>164.06849030376154</v>
      </c>
      <c r="BB163" s="20">
        <f t="shared" si="62"/>
        <v>27.37881905587389</v>
      </c>
      <c r="BC163" s="20"/>
      <c r="BD163" s="20">
        <f t="shared" si="63"/>
        <v>179.37481240827853</v>
      </c>
      <c r="BE163" s="20">
        <f t="shared" si="64"/>
        <v>-76.678540929138251</v>
      </c>
      <c r="BF163" s="20"/>
      <c r="BG163" s="54">
        <f t="shared" si="65"/>
        <v>71326.038092393617</v>
      </c>
      <c r="BH163" s="54">
        <f t="shared" si="66"/>
        <v>31706.656405447917</v>
      </c>
      <c r="BI163" s="54">
        <f t="shared" si="67"/>
        <v>50324.894364307991</v>
      </c>
      <c r="BJ163" s="20"/>
    </row>
    <row r="164" spans="1:62" x14ac:dyDescent="0.3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K164">
        <v>160</v>
      </c>
      <c r="AL164">
        <v>80</v>
      </c>
      <c r="AN164" s="48">
        <f t="shared" si="68"/>
        <v>-52191.923969737007</v>
      </c>
      <c r="AO164" s="48">
        <f t="shared" si="69"/>
        <v>5542.1443421241638</v>
      </c>
      <c r="AP164" s="20"/>
      <c r="AQ164" s="50">
        <f t="shared" si="70"/>
        <v>-1724.6166752923934</v>
      </c>
      <c r="AR164" s="50">
        <f t="shared" si="71"/>
        <v>1510.6383562794128</v>
      </c>
      <c r="AS164" s="20"/>
      <c r="AT164" s="52">
        <f t="shared" si="72"/>
        <v>426.3244886408703</v>
      </c>
      <c r="AU164" s="52">
        <f t="shared" si="73"/>
        <v>-50.186854249493315</v>
      </c>
      <c r="AV164" s="20"/>
      <c r="AW164" s="20"/>
      <c r="AX164" s="20">
        <f t="shared" si="59"/>
        <v>97.537178069464673</v>
      </c>
      <c r="AY164" s="20">
        <f t="shared" si="60"/>
        <v>2.645222698547232</v>
      </c>
      <c r="AZ164" s="20"/>
      <c r="BA164" s="20">
        <f t="shared" si="61"/>
        <v>157.35582126216187</v>
      </c>
      <c r="BB164" s="20">
        <f t="shared" si="62"/>
        <v>21.79023343782325</v>
      </c>
      <c r="BC164" s="20"/>
      <c r="BD164" s="20">
        <f t="shared" si="63"/>
        <v>171.43148930924374</v>
      </c>
      <c r="BE164" s="20">
        <f t="shared" si="64"/>
        <v>-74.622310385863798</v>
      </c>
      <c r="BF164" s="20"/>
      <c r="BG164" s="54">
        <f t="shared" si="65"/>
        <v>72218.467757418985</v>
      </c>
      <c r="BH164" s="54">
        <f t="shared" si="66"/>
        <v>32499.114540857627</v>
      </c>
      <c r="BI164" s="54">
        <f t="shared" si="67"/>
        <v>51468.994376596303</v>
      </c>
      <c r="BJ164" s="20"/>
    </row>
    <row r="165" spans="1:62" x14ac:dyDescent="0.3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K165">
        <v>161</v>
      </c>
      <c r="AL165">
        <v>80.5</v>
      </c>
      <c r="AN165" s="48">
        <f t="shared" si="68"/>
        <v>-53000.941746303091</v>
      </c>
      <c r="AO165" s="48">
        <f t="shared" si="69"/>
        <v>6291.1901634826836</v>
      </c>
      <c r="AP165" s="20"/>
      <c r="AQ165" s="50">
        <f t="shared" si="70"/>
        <v>-1511.4544309719583</v>
      </c>
      <c r="AR165" s="50">
        <f t="shared" si="71"/>
        <v>1485.5449291546661</v>
      </c>
      <c r="AS165" s="20"/>
      <c r="AT165" s="52">
        <f t="shared" si="72"/>
        <v>411.67422243825268</v>
      </c>
      <c r="AU165" s="52">
        <f t="shared" si="73"/>
        <v>-54.365349663316579</v>
      </c>
      <c r="AV165" s="20"/>
      <c r="AW165" s="20"/>
      <c r="AX165" s="20">
        <f t="shared" si="59"/>
        <v>95.511467093449824</v>
      </c>
      <c r="AY165" s="20">
        <f t="shared" si="60"/>
        <v>1.5815576917349703</v>
      </c>
      <c r="AZ165" s="20"/>
      <c r="BA165" s="20">
        <f t="shared" si="61"/>
        <v>151.61550207361259</v>
      </c>
      <c r="BB165" s="20">
        <f t="shared" si="62"/>
        <v>17.039303598725898</v>
      </c>
      <c r="BC165" s="20"/>
      <c r="BD165" s="20">
        <f t="shared" si="63"/>
        <v>164.54725327119027</v>
      </c>
      <c r="BE165" s="20">
        <f t="shared" si="64"/>
        <v>-72.986210953777444</v>
      </c>
      <c r="BF165" s="20"/>
      <c r="BG165" s="54">
        <f t="shared" si="65"/>
        <v>73010.949295759725</v>
      </c>
      <c r="BH165" s="54">
        <f t="shared" si="66"/>
        <v>33208.695044315391</v>
      </c>
      <c r="BI165" s="54">
        <f t="shared" si="67"/>
        <v>52511.000629483009</v>
      </c>
      <c r="BJ165" s="20"/>
    </row>
    <row r="166" spans="1:62" x14ac:dyDescent="0.3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K166">
        <v>162</v>
      </c>
      <c r="AL166">
        <v>81</v>
      </c>
      <c r="AN166" s="48">
        <f t="shared" si="68"/>
        <v>-53705.209683984292</v>
      </c>
      <c r="AO166" s="48">
        <f t="shared" si="69"/>
        <v>7027.1669593521019</v>
      </c>
      <c r="AP166" s="20"/>
      <c r="AQ166" s="50">
        <f t="shared" si="70"/>
        <v>-1305.6173197528319</v>
      </c>
      <c r="AR166" s="50">
        <f t="shared" si="71"/>
        <v>1458.3622543230078</v>
      </c>
      <c r="AS166" s="20"/>
      <c r="AT166" s="52">
        <f t="shared" si="72"/>
        <v>399.08273769004302</v>
      </c>
      <c r="AU166" s="52">
        <f t="shared" si="73"/>
        <v>-58.168056832535498</v>
      </c>
      <c r="AV166" s="20"/>
      <c r="AW166" s="20"/>
      <c r="AX166" s="20">
        <f t="shared" si="59"/>
        <v>93.776345230048989</v>
      </c>
      <c r="AY166" s="20">
        <f t="shared" si="60"/>
        <v>0.60159322042612717</v>
      </c>
      <c r="AZ166" s="20"/>
      <c r="BA166" s="20">
        <f t="shared" si="61"/>
        <v>146.74028647375772</v>
      </c>
      <c r="BB166" s="20">
        <f t="shared" si="62"/>
        <v>12.942639316396548</v>
      </c>
      <c r="BC166" s="20"/>
      <c r="BD166" s="20">
        <f t="shared" si="63"/>
        <v>158.56610598623629</v>
      </c>
      <c r="BE166" s="20">
        <f t="shared" si="64"/>
        <v>-71.712289369358174</v>
      </c>
      <c r="BF166" s="20"/>
      <c r="BG166" s="54">
        <f t="shared" si="65"/>
        <v>73706.726325651034</v>
      </c>
      <c r="BH166" s="54">
        <f t="shared" si="66"/>
        <v>33836.059110495073</v>
      </c>
      <c r="BI166" s="54">
        <f t="shared" si="67"/>
        <v>53454.59320410221</v>
      </c>
      <c r="BJ166" s="20"/>
    </row>
    <row r="167" spans="1:62" x14ac:dyDescent="0.3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K167">
        <v>163</v>
      </c>
      <c r="AL167">
        <v>81.5</v>
      </c>
      <c r="AN167" s="48">
        <f t="shared" si="68"/>
        <v>-54308.133001649447</v>
      </c>
      <c r="AO167" s="48">
        <f t="shared" si="69"/>
        <v>7749.0770794095397</v>
      </c>
      <c r="AP167" s="20"/>
      <c r="AQ167" s="50">
        <f t="shared" si="70"/>
        <v>-1106.0759509078105</v>
      </c>
      <c r="AR167" s="50">
        <f t="shared" si="71"/>
        <v>1429.2782259067401</v>
      </c>
      <c r="AS167" s="20"/>
      <c r="AT167" s="52">
        <f t="shared" si="72"/>
        <v>388.30868666848301</v>
      </c>
      <c r="AU167" s="52">
        <f t="shared" si="73"/>
        <v>-61.707414412286418</v>
      </c>
      <c r="AV167" s="20"/>
      <c r="AW167" s="20"/>
      <c r="AX167" s="20">
        <f t="shared" si="59"/>
        <v>92.305258493220762</v>
      </c>
      <c r="AY167" s="20">
        <f t="shared" si="60"/>
        <v>-0.30940252797259343</v>
      </c>
      <c r="AZ167" s="20"/>
      <c r="BA167" s="20">
        <f t="shared" si="61"/>
        <v>142.6402467690009</v>
      </c>
      <c r="BB167" s="20">
        <f t="shared" si="62"/>
        <v>9.3584865383256837</v>
      </c>
      <c r="BC167" s="20"/>
      <c r="BD167" s="20">
        <f t="shared" si="63"/>
        <v>153.36318140626136</v>
      </c>
      <c r="BE167" s="20">
        <f t="shared" si="64"/>
        <v>-70.75649842263951</v>
      </c>
      <c r="BF167" s="20"/>
      <c r="BG167" s="54">
        <f t="shared" si="65"/>
        <v>74308.550447322748</v>
      </c>
      <c r="BH167" s="54">
        <f t="shared" si="66"/>
        <v>34381.894131261986</v>
      </c>
      <c r="BI167" s="54">
        <f t="shared" si="67"/>
        <v>54302.969422244933</v>
      </c>
      <c r="BJ167" s="20"/>
    </row>
    <row r="168" spans="1:62" x14ac:dyDescent="0.3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K168">
        <v>164</v>
      </c>
      <c r="AL168">
        <v>82</v>
      </c>
      <c r="AN168" s="48">
        <f t="shared" si="68"/>
        <v>-54812.632391269792</v>
      </c>
      <c r="AO168" s="48">
        <f t="shared" si="69"/>
        <v>8456.002765561374</v>
      </c>
      <c r="AP168" s="20"/>
      <c r="AQ168" s="50">
        <f t="shared" si="70"/>
        <v>-911.92160757356896</v>
      </c>
      <c r="AR168" s="50">
        <f t="shared" si="71"/>
        <v>1398.424518700597</v>
      </c>
      <c r="AS168" s="20"/>
      <c r="AT168" s="52">
        <f t="shared" si="72"/>
        <v>379.15589212148205</v>
      </c>
      <c r="AU168" s="52">
        <f t="shared" si="73"/>
        <v>-65.073672503798733</v>
      </c>
      <c r="AV168" s="20"/>
      <c r="AW168" s="20"/>
      <c r="AX168" s="20">
        <f t="shared" si="59"/>
        <v>91.0767945825787</v>
      </c>
      <c r="AY168" s="20">
        <f t="shared" si="60"/>
        <v>-1.1638364366600065</v>
      </c>
      <c r="AZ168" s="20"/>
      <c r="BA168" s="20">
        <f t="shared" si="61"/>
        <v>139.24132900817307</v>
      </c>
      <c r="BB168" s="20">
        <f t="shared" si="62"/>
        <v>6.1755808779945118</v>
      </c>
      <c r="BC168" s="20"/>
      <c r="BD168" s="20">
        <f t="shared" si="63"/>
        <v>148.83776853073027</v>
      </c>
      <c r="BE168" s="20">
        <f t="shared" si="64"/>
        <v>-70.085416945133233</v>
      </c>
      <c r="BF168" s="20"/>
      <c r="BG168" s="54">
        <f t="shared" si="65"/>
        <v>74818.740343573212</v>
      </c>
      <c r="BH168" s="54">
        <f t="shared" si="66"/>
        <v>34846.854972431021</v>
      </c>
      <c r="BI168" s="54">
        <f t="shared" si="67"/>
        <v>55058.899475795944</v>
      </c>
      <c r="BJ168" s="20"/>
    </row>
    <row r="169" spans="1:62" x14ac:dyDescent="0.3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K169">
        <v>165</v>
      </c>
      <c r="AL169">
        <v>82.5</v>
      </c>
      <c r="AN169" s="48">
        <f t="shared" si="68"/>
        <v>-55221.198708541393</v>
      </c>
      <c r="AO169" s="48">
        <f t="shared" si="69"/>
        <v>9147.080815848698</v>
      </c>
      <c r="AP169" s="20"/>
      <c r="AQ169" s="50">
        <f t="shared" si="70"/>
        <v>-722.34366151282791</v>
      </c>
      <c r="AR169" s="50">
        <f t="shared" si="71"/>
        <v>1365.8876824486977</v>
      </c>
      <c r="AS169" s="20"/>
      <c r="AT169" s="52">
        <f t="shared" si="72"/>
        <v>371.46569809071161</v>
      </c>
      <c r="AU169" s="52">
        <f t="shared" si="73"/>
        <v>-68.341135223811435</v>
      </c>
      <c r="AV169" s="20"/>
      <c r="AW169" s="20"/>
      <c r="AX169" s="20">
        <f t="shared" si="59"/>
        <v>90.073836722665206</v>
      </c>
      <c r="AY169" s="20">
        <f t="shared" si="60"/>
        <v>-1.9723015722021937</v>
      </c>
      <c r="AZ169" s="20"/>
      <c r="BA169" s="20">
        <f t="shared" si="61"/>
        <v>136.48372531554898</v>
      </c>
      <c r="BB169" s="20">
        <f t="shared" si="62"/>
        <v>3.3051001077325139</v>
      </c>
      <c r="BC169" s="20"/>
      <c r="BD169" s="20">
        <f t="shared" si="63"/>
        <v>144.90813605249741</v>
      </c>
      <c r="BE169" s="20">
        <f t="shared" si="64"/>
        <v>-69.67393375934175</v>
      </c>
      <c r="BF169" s="20"/>
      <c r="BG169" s="54">
        <f t="shared" si="65"/>
        <v>75239.229198363057</v>
      </c>
      <c r="BH169" s="54">
        <f t="shared" si="66"/>
        <v>35231.524372374966</v>
      </c>
      <c r="BI169" s="54">
        <f t="shared" si="67"/>
        <v>55724.77287212509</v>
      </c>
      <c r="BJ169" s="20"/>
    </row>
    <row r="170" spans="1:62" x14ac:dyDescent="0.3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K170">
        <v>166</v>
      </c>
      <c r="AL170">
        <v>83</v>
      </c>
      <c r="AN170" s="48">
        <f t="shared" si="68"/>
        <v>-55535.937327036467</v>
      </c>
      <c r="AO170" s="48">
        <f t="shared" si="69"/>
        <v>9821.4820151700696</v>
      </c>
      <c r="AP170" s="20"/>
      <c r="AQ170" s="50">
        <f t="shared" si="70"/>
        <v>-536.6108124674721</v>
      </c>
      <c r="AR170" s="50">
        <f t="shared" si="71"/>
        <v>1331.717114836792</v>
      </c>
      <c r="AS170" s="20"/>
      <c r="AT170" s="52">
        <f t="shared" si="72"/>
        <v>365.11093399896833</v>
      </c>
      <c r="AU170" s="52">
        <f t="shared" si="73"/>
        <v>-71.57280518197399</v>
      </c>
      <c r="AV170" s="20"/>
      <c r="AW170" s="20"/>
      <c r="AX170" s="20">
        <f t="shared" si="59"/>
        <v>89.282924836230237</v>
      </c>
      <c r="AY170" s="20">
        <f t="shared" si="60"/>
        <v>-2.7439747437264179</v>
      </c>
      <c r="AZ170" s="20"/>
      <c r="BA170" s="20">
        <f t="shared" si="61"/>
        <v>134.32035803891642</v>
      </c>
      <c r="BB170" s="20">
        <f t="shared" si="62"/>
        <v>0.67477042797738962</v>
      </c>
      <c r="BC170" s="20"/>
      <c r="BD170" s="20">
        <f t="shared" si="63"/>
        <v>141.50765112382172</v>
      </c>
      <c r="BE170" s="20">
        <f t="shared" si="64"/>
        <v>-69.503600866224957</v>
      </c>
      <c r="BF170" s="20"/>
      <c r="BG170" s="54">
        <f t="shared" si="65"/>
        <v>75571.602514573809</v>
      </c>
      <c r="BH170" s="54">
        <f t="shared" si="66"/>
        <v>35536.385724802843</v>
      </c>
      <c r="BI170" s="54">
        <f t="shared" si="67"/>
        <v>56302.636980443189</v>
      </c>
      <c r="BJ170" s="20"/>
    </row>
    <row r="171" spans="1:62" x14ac:dyDescent="0.3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K171">
        <v>167</v>
      </c>
      <c r="AL171">
        <v>83.5</v>
      </c>
      <c r="AN171" s="48">
        <f t="shared" si="68"/>
        <v>-55758.603866520338</v>
      </c>
      <c r="AO171" s="48">
        <f t="shared" si="69"/>
        <v>10478.393971940719</v>
      </c>
      <c r="AP171" s="20"/>
      <c r="AQ171" s="50">
        <f t="shared" si="70"/>
        <v>-354.05534546798793</v>
      </c>
      <c r="AR171" s="50">
        <f t="shared" si="71"/>
        <v>1295.9307122458049</v>
      </c>
      <c r="AS171" s="20"/>
      <c r="AT171" s="52">
        <f t="shared" si="72"/>
        <v>359.99122421003096</v>
      </c>
      <c r="AU171" s="52">
        <f t="shared" si="73"/>
        <v>-74.823919820621427</v>
      </c>
      <c r="AV171" s="20"/>
      <c r="AW171" s="20"/>
      <c r="AX171" s="20">
        <f t="shared" si="59"/>
        <v>88.69377727252855</v>
      </c>
      <c r="AY171" s="20">
        <f t="shared" si="60"/>
        <v>-3.4869308315473462</v>
      </c>
      <c r="AZ171" s="20"/>
      <c r="BA171" s="20">
        <f t="shared" si="61"/>
        <v>132.71560671867158</v>
      </c>
      <c r="BB171" s="20">
        <f t="shared" si="62"/>
        <v>-1.775526429210277</v>
      </c>
      <c r="BC171" s="20"/>
      <c r="BD171" s="20">
        <f t="shared" si="63"/>
        <v>138.58184021883085</v>
      </c>
      <c r="BE171" s="20">
        <f t="shared" si="64"/>
        <v>-69.561462559863799</v>
      </c>
      <c r="BF171" s="20"/>
      <c r="BG171" s="54">
        <f t="shared" si="65"/>
        <v>75817.12794914117</v>
      </c>
      <c r="BH171" s="54">
        <f t="shared" si="66"/>
        <v>35761.803803431285</v>
      </c>
      <c r="BI171" s="54">
        <f t="shared" si="67"/>
        <v>56794.228807756153</v>
      </c>
      <c r="BJ171" s="20"/>
    </row>
    <row r="172" spans="1:62" x14ac:dyDescent="0.3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K172">
        <v>168</v>
      </c>
      <c r="AL172">
        <v>84</v>
      </c>
      <c r="AN172" s="48">
        <f t="shared" si="68"/>
        <v>-55890.632636228082</v>
      </c>
      <c r="AO172" s="48">
        <f t="shared" si="69"/>
        <v>11117.006338086043</v>
      </c>
      <c r="AP172" s="20"/>
      <c r="AQ172" s="50">
        <f t="shared" si="70"/>
        <v>-174.05973336297245</v>
      </c>
      <c r="AR172" s="50">
        <f t="shared" si="71"/>
        <v>1258.5187523354941</v>
      </c>
      <c r="AS172" s="20"/>
      <c r="AT172" s="52">
        <f t="shared" si="72"/>
        <v>356.02941563846622</v>
      </c>
      <c r="AU172" s="52">
        <f t="shared" si="73"/>
        <v>-78.144729211715969</v>
      </c>
      <c r="AV172" s="20"/>
      <c r="AW172" s="20"/>
      <c r="AX172" s="20">
        <f t="shared" si="59"/>
        <v>88.298940034863037</v>
      </c>
      <c r="AY172" s="20">
        <f t="shared" si="60"/>
        <v>-4.208395880467557</v>
      </c>
      <c r="AZ172" s="20"/>
      <c r="BA172" s="20">
        <f t="shared" si="61"/>
        <v>131.64433069005074</v>
      </c>
      <c r="BB172" s="20">
        <f t="shared" si="62"/>
        <v>-4.0971011362293881</v>
      </c>
      <c r="BC172" s="20"/>
      <c r="BD172" s="20">
        <f t="shared" si="63"/>
        <v>136.08614491355246</v>
      </c>
      <c r="BE172" s="20">
        <f t="shared" si="64"/>
        <v>-69.839232195019022</v>
      </c>
      <c r="BF172" s="20"/>
      <c r="BG172" s="54">
        <f t="shared" si="65"/>
        <v>75976.778404830256</v>
      </c>
      <c r="BH172" s="54">
        <f t="shared" si="66"/>
        <v>35908.010445971588</v>
      </c>
      <c r="BI172" s="54">
        <f t="shared" si="67"/>
        <v>57201.000954346506</v>
      </c>
      <c r="BJ172" s="20"/>
    </row>
    <row r="173" spans="1:62" x14ac:dyDescent="0.3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K173">
        <v>169</v>
      </c>
      <c r="AL173">
        <v>84.5</v>
      </c>
      <c r="AN173" s="48">
        <f t="shared" si="68"/>
        <v>-55933.158825954757</v>
      </c>
      <c r="AO173" s="48">
        <f t="shared" si="69"/>
        <v>11736.497623102325</v>
      </c>
      <c r="AP173" s="20"/>
      <c r="AQ173" s="50">
        <f t="shared" si="70"/>
        <v>3.9549744562606577</v>
      </c>
      <c r="AR173" s="50">
        <f t="shared" si="71"/>
        <v>1219.4463877296362</v>
      </c>
      <c r="AS173" s="20"/>
      <c r="AT173" s="52">
        <f t="shared" si="72"/>
        <v>353.16894403587077</v>
      </c>
      <c r="AU173" s="52">
        <f t="shared" si="73"/>
        <v>-81.582770001515371</v>
      </c>
      <c r="AV173" s="20"/>
      <c r="AW173" s="20"/>
      <c r="AX173" s="20">
        <f t="shared" si="59"/>
        <v>88.093540428045642</v>
      </c>
      <c r="AY173" s="20">
        <f t="shared" si="60"/>
        <v>-4.914955210667693</v>
      </c>
      <c r="AZ173" s="20"/>
      <c r="BA173" s="20">
        <f t="shared" si="61"/>
        <v>131.09120665692083</v>
      </c>
      <c r="BB173" s="20">
        <f t="shared" si="62"/>
        <v>-6.3350837000429019</v>
      </c>
      <c r="BC173" s="20"/>
      <c r="BD173" s="20">
        <f t="shared" si="63"/>
        <v>133.98419695090428</v>
      </c>
      <c r="BE173" s="20">
        <f t="shared" si="64"/>
        <v>-70.332731090804771</v>
      </c>
      <c r="BF173" s="20"/>
      <c r="BG173" s="54">
        <f t="shared" si="65"/>
        <v>76051.249308596001</v>
      </c>
      <c r="BH173" s="54">
        <f t="shared" si="66"/>
        <v>35975.093150766552</v>
      </c>
      <c r="BI173" s="54">
        <f t="shared" si="67"/>
        <v>57524.142524161878</v>
      </c>
      <c r="BJ173" s="20"/>
    </row>
    <row r="174" spans="1:62" x14ac:dyDescent="0.3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K174">
        <v>170</v>
      </c>
      <c r="AL174">
        <v>85</v>
      </c>
      <c r="AN174" s="48">
        <f t="shared" si="68"/>
        <v>-55887.035220722144</v>
      </c>
      <c r="AO174" s="48">
        <f t="shared" si="69"/>
        <v>12336.022970716953</v>
      </c>
      <c r="AP174" s="20"/>
      <c r="AQ174" s="50">
        <f t="shared" si="70"/>
        <v>180.53944647419604</v>
      </c>
      <c r="AR174" s="50">
        <f t="shared" si="71"/>
        <v>1178.6550027288786</v>
      </c>
      <c r="AS174" s="20"/>
      <c r="AT174" s="52">
        <f t="shared" si="72"/>
        <v>351.37200697858884</v>
      </c>
      <c r="AU174" s="52">
        <f t="shared" si="73"/>
        <v>-85.184827830066155</v>
      </c>
      <c r="AV174" s="20"/>
      <c r="AW174" s="20"/>
      <c r="AX174" s="20">
        <f t="shared" si="59"/>
        <v>88.075129542485357</v>
      </c>
      <c r="AY174" s="20">
        <f t="shared" si="60"/>
        <v>-5.6127288195865992</v>
      </c>
      <c r="AZ174" s="20"/>
      <c r="BA174" s="20">
        <f t="shared" si="61"/>
        <v>131.05039101169808</v>
      </c>
      <c r="BB174" s="20">
        <f t="shared" si="62"/>
        <v>-8.5305660342761787</v>
      </c>
      <c r="BC174" s="20"/>
      <c r="BD174" s="20">
        <f t="shared" si="63"/>
        <v>132.24648642440545</v>
      </c>
      <c r="BE174" s="20">
        <f t="shared" si="64"/>
        <v>-71.041532976203371</v>
      </c>
      <c r="BF174" s="20"/>
      <c r="BG174" s="54">
        <f t="shared" si="65"/>
        <v>76040.970751065674</v>
      </c>
      <c r="BH174" s="54">
        <f t="shared" si="66"/>
        <v>35962.985141017823</v>
      </c>
      <c r="BI174" s="54">
        <f t="shared" si="67"/>
        <v>57764.59560501208</v>
      </c>
      <c r="BJ174" s="20"/>
    </row>
    <row r="175" spans="1:62" x14ac:dyDescent="0.3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K175">
        <v>171</v>
      </c>
      <c r="AL175">
        <v>85.5</v>
      </c>
      <c r="AN175" s="48">
        <f t="shared" si="68"/>
        <v>-55752.843996612719</v>
      </c>
      <c r="AO175" s="48">
        <f t="shared" si="69"/>
        <v>12914.702368602635</v>
      </c>
      <c r="AP175" s="20"/>
      <c r="AQ175" s="50">
        <f t="shared" si="70"/>
        <v>356.22544996349046</v>
      </c>
      <c r="AR175" s="50">
        <f t="shared" si="71"/>
        <v>1136.0625888138454</v>
      </c>
      <c r="AS175" s="20"/>
      <c r="AT175" s="52">
        <f t="shared" si="72"/>
        <v>350.6184560978088</v>
      </c>
      <c r="AU175" s="52">
        <f t="shared" si="73"/>
        <v>-88.99874187422688</v>
      </c>
      <c r="AV175" s="20"/>
      <c r="AW175" s="20"/>
      <c r="AX175" s="20">
        <f t="shared" si="59"/>
        <v>88.243603885850646</v>
      </c>
      <c r="AY175" s="20">
        <f t="shared" si="60"/>
        <v>-6.3075235960264875</v>
      </c>
      <c r="AZ175" s="20"/>
      <c r="BA175" s="20">
        <f t="shared" si="61"/>
        <v>131.52552066321553</v>
      </c>
      <c r="BB175" s="20">
        <f t="shared" si="62"/>
        <v>-10.7224406160553</v>
      </c>
      <c r="BC175" s="20"/>
      <c r="BD175" s="20">
        <f t="shared" si="63"/>
        <v>130.84933154874261</v>
      </c>
      <c r="BE175" s="20">
        <f t="shared" si="64"/>
        <v>-71.968777662145101</v>
      </c>
      <c r="BF175" s="20"/>
      <c r="BG175" s="54">
        <f t="shared" si="65"/>
        <v>75946.114945503927</v>
      </c>
      <c r="BH175" s="54">
        <f t="shared" si="66"/>
        <v>35871.455835297005</v>
      </c>
      <c r="BI175" s="54">
        <f t="shared" si="67"/>
        <v>57923.067788854016</v>
      </c>
      <c r="BJ175" s="20"/>
    </row>
    <row r="176" spans="1:62" x14ac:dyDescent="0.3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K176">
        <v>172</v>
      </c>
      <c r="AL176">
        <v>86</v>
      </c>
      <c r="AN176" s="48">
        <f t="shared" si="68"/>
        <v>-55530.903964618752</v>
      </c>
      <c r="AO176" s="48">
        <f t="shared" si="69"/>
        <v>13471.60882027528</v>
      </c>
      <c r="AP176" s="20"/>
      <c r="AQ176" s="50">
        <f t="shared" si="70"/>
        <v>531.53467801239481</v>
      </c>
      <c r="AR176" s="50">
        <f t="shared" si="71"/>
        <v>1091.5632178767319</v>
      </c>
      <c r="AS176" s="20"/>
      <c r="AT176" s="52">
        <f t="shared" si="72"/>
        <v>350.9053633997753</v>
      </c>
      <c r="AU176" s="52">
        <f t="shared" si="73"/>
        <v>-93.075184607447866</v>
      </c>
      <c r="AV176" s="20"/>
      <c r="AW176" s="20"/>
      <c r="AX176" s="20">
        <f t="shared" si="59"/>
        <v>88.60120140493575</v>
      </c>
      <c r="AY176" s="20">
        <f t="shared" si="60"/>
        <v>-7.0049699927402633</v>
      </c>
      <c r="AZ176" s="20"/>
      <c r="BA176" s="20">
        <f t="shared" si="61"/>
        <v>132.53007896946292</v>
      </c>
      <c r="BB176" s="20">
        <f t="shared" si="62"/>
        <v>-12.949082059953261</v>
      </c>
      <c r="BC176" s="20"/>
      <c r="BD176" s="20">
        <f t="shared" si="63"/>
        <v>129.77408302537663</v>
      </c>
      <c r="BE176" s="20">
        <f t="shared" si="64"/>
        <v>-73.12113255475434</v>
      </c>
      <c r="BF176" s="20"/>
      <c r="BG176" s="54">
        <f t="shared" si="65"/>
        <v>75766.599274448425</v>
      </c>
      <c r="BH176" s="54">
        <f t="shared" si="66"/>
        <v>35700.100901033511</v>
      </c>
      <c r="BI176" s="54">
        <f t="shared" si="67"/>
        <v>58000.041071505286</v>
      </c>
      <c r="BJ176" s="20"/>
    </row>
    <row r="177" spans="1:62" x14ac:dyDescent="0.3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K177">
        <v>173</v>
      </c>
      <c r="AL177">
        <v>86.5</v>
      </c>
      <c r="AN177" s="48">
        <f t="shared" si="68"/>
        <v>-55221.273455187584</v>
      </c>
      <c r="AO177" s="48">
        <f t="shared" si="69"/>
        <v>14005.756031137716</v>
      </c>
      <c r="AP177" s="20"/>
      <c r="AQ177" s="50">
        <f t="shared" si="70"/>
        <v>706.98735971228245</v>
      </c>
      <c r="AR177" s="50">
        <f t="shared" si="71"/>
        <v>1045.025625573008</v>
      </c>
      <c r="AS177" s="20"/>
      <c r="AT177" s="52">
        <f t="shared" si="72"/>
        <v>352.24725882739926</v>
      </c>
      <c r="AU177" s="52">
        <f t="shared" si="73"/>
        <v>-97.469544523198465</v>
      </c>
      <c r="AV177" s="20"/>
      <c r="AW177" s="20"/>
      <c r="AX177" s="20">
        <f t="shared" si="59"/>
        <v>89.152571610156855</v>
      </c>
      <c r="AY177" s="20">
        <f t="shared" si="60"/>
        <v>-7.7106495782705391</v>
      </c>
      <c r="AZ177" s="20"/>
      <c r="BA177" s="20">
        <f t="shared" si="61"/>
        <v>134.08817363169365</v>
      </c>
      <c r="BB177" s="20">
        <f t="shared" si="62"/>
        <v>-15.250002556346738</v>
      </c>
      <c r="BC177" s="20"/>
      <c r="BD177" s="20">
        <f t="shared" si="63"/>
        <v>129.00651358554876</v>
      </c>
      <c r="BE177" s="20">
        <f t="shared" si="64"/>
        <v>-74.508892388581188</v>
      </c>
      <c r="BF177" s="20"/>
      <c r="BG177" s="54">
        <f t="shared" si="65"/>
        <v>75502.085015956967</v>
      </c>
      <c r="BH177" s="54">
        <f t="shared" si="66"/>
        <v>35448.331204530601</v>
      </c>
      <c r="BI177" s="54">
        <f t="shared" si="67"/>
        <v>57995.777349722724</v>
      </c>
      <c r="BJ177" s="20"/>
    </row>
    <row r="178" spans="1:62" x14ac:dyDescent="0.3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K178">
        <v>174</v>
      </c>
      <c r="AL178">
        <v>87</v>
      </c>
      <c r="AN178" s="48">
        <f t="shared" si="68"/>
        <v>-54823.748867978022</v>
      </c>
      <c r="AO178" s="48">
        <f t="shared" si="69"/>
        <v>14516.085150858822</v>
      </c>
      <c r="AP178" s="20"/>
      <c r="AQ178" s="50">
        <f t="shared" si="70"/>
        <v>883.11098912598209</v>
      </c>
      <c r="AR178" s="50">
        <f t="shared" si="71"/>
        <v>996.2908533114088</v>
      </c>
      <c r="AS178" s="20"/>
      <c r="AT178" s="52">
        <f t="shared" si="72"/>
        <v>354.67708181444442</v>
      </c>
      <c r="AU178" s="52">
        <f t="shared" si="73"/>
        <v>-102.24404882901274</v>
      </c>
      <c r="AV178" s="20"/>
      <c r="AW178" s="20"/>
      <c r="AX178" s="20">
        <f t="shared" si="59"/>
        <v>89.904923959314445</v>
      </c>
      <c r="AY178" s="20">
        <f t="shared" si="60"/>
        <v>-8.4302191686895007</v>
      </c>
      <c r="AZ178" s="20"/>
      <c r="BA178" s="20">
        <f t="shared" si="61"/>
        <v>136.23580187321804</v>
      </c>
      <c r="BB178" s="20">
        <f t="shared" si="62"/>
        <v>-17.667611956067613</v>
      </c>
      <c r="BC178" s="20"/>
      <c r="BD178" s="20">
        <f t="shared" si="63"/>
        <v>128.53635598191192</v>
      </c>
      <c r="BE178" s="20">
        <f t="shared" si="64"/>
        <v>-76.146217704255633</v>
      </c>
      <c r="BF178" s="20"/>
      <c r="BG178" s="54">
        <f t="shared" si="65"/>
        <v>75151.971667430946</v>
      </c>
      <c r="BH178" s="54">
        <f t="shared" si="66"/>
        <v>35115.360033891266</v>
      </c>
      <c r="BI178" s="54">
        <f t="shared" si="67"/>
        <v>57910.32061638141</v>
      </c>
      <c r="BJ178" s="20"/>
    </row>
    <row r="179" spans="1:62" x14ac:dyDescent="0.3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K179">
        <v>175</v>
      </c>
      <c r="AL179">
        <v>87.5</v>
      </c>
      <c r="AN179" s="48">
        <f t="shared" si="68"/>
        <v>-54337.858738188224</v>
      </c>
      <c r="AO179" s="48">
        <f t="shared" si="69"/>
        <v>15001.4500714109</v>
      </c>
      <c r="AP179" s="20"/>
      <c r="AQ179" s="50">
        <f t="shared" si="70"/>
        <v>1060.4495300332044</v>
      </c>
      <c r="AR179" s="50">
        <f t="shared" si="71"/>
        <v>945.16882889690237</v>
      </c>
      <c r="AS179" s="20"/>
      <c r="AT179" s="52">
        <f t="shared" si="72"/>
        <v>358.24794298886422</v>
      </c>
      <c r="AU179" s="52">
        <f t="shared" si="73"/>
        <v>-107.47028873950453</v>
      </c>
      <c r="AV179" s="20"/>
      <c r="AW179" s="20"/>
      <c r="AX179" s="20">
        <f t="shared" si="59"/>
        <v>90.868263510486486</v>
      </c>
      <c r="AY179" s="20">
        <f t="shared" si="60"/>
        <v>-9.1695369407991159</v>
      </c>
      <c r="AZ179" s="20"/>
      <c r="BA179" s="20">
        <f t="shared" si="61"/>
        <v>139.02271759245252</v>
      </c>
      <c r="BB179" s="20">
        <f t="shared" si="62"/>
        <v>-20.249229462209506</v>
      </c>
      <c r="BC179" s="20"/>
      <c r="BD179" s="20">
        <f t="shared" si="63"/>
        <v>128.35696188592522</v>
      </c>
      <c r="BE179" s="20">
        <f t="shared" si="64"/>
        <v>-78.051522336495907</v>
      </c>
      <c r="BF179" s="20"/>
      <c r="BG179" s="54">
        <f t="shared" si="65"/>
        <v>74715.386601105783</v>
      </c>
      <c r="BH179" s="54">
        <f t="shared" si="66"/>
        <v>34700.187975579982</v>
      </c>
      <c r="BI179" s="54">
        <f t="shared" si="67"/>
        <v>57743.495835087582</v>
      </c>
      <c r="BJ179" s="20"/>
    </row>
    <row r="180" spans="1:62" x14ac:dyDescent="0.3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K180">
        <v>176</v>
      </c>
      <c r="AL180">
        <v>88</v>
      </c>
      <c r="AN180" s="48">
        <f t="shared" si="68"/>
        <v>-53762.852980298012</v>
      </c>
      <c r="AO180" s="48">
        <f t="shared" si="69"/>
        <v>15460.600699766912</v>
      </c>
      <c r="AP180" s="20"/>
      <c r="AQ180" s="50">
        <f t="shared" si="70"/>
        <v>1239.5735015276364</v>
      </c>
      <c r="AR180" s="50">
        <f t="shared" si="71"/>
        <v>891.43368452715015</v>
      </c>
      <c r="AS180" s="20"/>
      <c r="AT180" s="52">
        <f t="shared" si="72"/>
        <v>363.03585965792331</v>
      </c>
      <c r="AU180" s="52">
        <f t="shared" si="73"/>
        <v>-113.23235662691617</v>
      </c>
      <c r="AV180" s="20"/>
      <c r="AW180" s="20"/>
      <c r="AX180" s="20">
        <f t="shared" si="59"/>
        <v>92.055728612126472</v>
      </c>
      <c r="AY180" s="20">
        <f t="shared" si="60"/>
        <v>-9.9347960117944751</v>
      </c>
      <c r="AZ180" s="20"/>
      <c r="BA180" s="20">
        <f t="shared" si="61"/>
        <v>142.5150703149217</v>
      </c>
      <c r="BB180" s="20">
        <f t="shared" si="62"/>
        <v>-23.049530001007724</v>
      </c>
      <c r="BC180" s="20"/>
      <c r="BD180" s="20">
        <f t="shared" si="63"/>
        <v>128.46506073087514</v>
      </c>
      <c r="BE180" s="20">
        <f t="shared" si="64"/>
        <v>-80.248030614113972</v>
      </c>
      <c r="BF180" s="20"/>
      <c r="BG180" s="54">
        <f t="shared" si="65"/>
        <v>74191.169577613415</v>
      </c>
      <c r="BH180" s="54">
        <f t="shared" si="66"/>
        <v>34201.584778654818</v>
      </c>
      <c r="BI180" s="54">
        <f t="shared" si="67"/>
        <v>57494.904346114003</v>
      </c>
      <c r="BJ180" s="20"/>
    </row>
    <row r="181" spans="1:62" x14ac:dyDescent="0.3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K181">
        <v>177</v>
      </c>
      <c r="AL181">
        <v>88.5</v>
      </c>
      <c r="AN181" s="48">
        <f t="shared" si="68"/>
        <v>-53097.686747076958</v>
      </c>
      <c r="AO181" s="48">
        <f t="shared" si="69"/>
        <v>15892.163497452122</v>
      </c>
      <c r="AP181" s="20"/>
      <c r="AQ181" s="50">
        <f t="shared" si="70"/>
        <v>1421.0914313565982</v>
      </c>
      <c r="AR181" s="50">
        <f t="shared" si="71"/>
        <v>834.81750621369201</v>
      </c>
      <c r="AS181" s="20"/>
      <c r="AT181" s="52">
        <f t="shared" si="72"/>
        <v>369.14371931232063</v>
      </c>
      <c r="AU181" s="52">
        <f t="shared" si="73"/>
        <v>-119.63088071186436</v>
      </c>
      <c r="AV181" s="20"/>
      <c r="AW181" s="20"/>
      <c r="AX181" s="20">
        <f t="shared" si="59"/>
        <v>93.484052695155981</v>
      </c>
      <c r="AY181" s="20">
        <f t="shared" si="60"/>
        <v>-10.732671436467184</v>
      </c>
      <c r="AZ181" s="20"/>
      <c r="BA181" s="20">
        <f t="shared" si="61"/>
        <v>146.79906455372512</v>
      </c>
      <c r="BB181" s="20">
        <f t="shared" si="62"/>
        <v>-26.133672006547908</v>
      </c>
      <c r="BC181" s="20"/>
      <c r="BD181" s="20">
        <f t="shared" si="63"/>
        <v>128.8606020634395</v>
      </c>
      <c r="BE181" s="20">
        <f t="shared" si="64"/>
        <v>-82.764537268849281</v>
      </c>
      <c r="BF181" s="20"/>
      <c r="BG181" s="54">
        <f t="shared" si="65"/>
        <v>73577.851395251797</v>
      </c>
      <c r="BH181" s="54">
        <f t="shared" si="66"/>
        <v>33618.067444282708</v>
      </c>
      <c r="BI181" s="54">
        <f t="shared" si="67"/>
        <v>57163.91550596631</v>
      </c>
      <c r="BJ181" s="20"/>
    </row>
    <row r="182" spans="1:62" x14ac:dyDescent="0.3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K182">
        <v>178</v>
      </c>
      <c r="AL182">
        <v>89</v>
      </c>
      <c r="AN182" s="48">
        <f t="shared" si="68"/>
        <v>-52340.998066484615</v>
      </c>
      <c r="AO182" s="48">
        <f t="shared" si="69"/>
        <v>16294.618390469985</v>
      </c>
      <c r="AP182" s="20"/>
      <c r="AQ182" s="50">
        <f t="shared" si="70"/>
        <v>1605.6632910127585</v>
      </c>
      <c r="AR182" s="50">
        <f t="shared" si="71"/>
        <v>775.00206585775982</v>
      </c>
      <c r="AS182" s="20"/>
      <c r="AT182" s="52">
        <f t="shared" si="72"/>
        <v>376.70685270893568</v>
      </c>
      <c r="AU182" s="52">
        <f t="shared" si="73"/>
        <v>-126.78836452357532</v>
      </c>
      <c r="AV182" s="20"/>
      <c r="AW182" s="20"/>
      <c r="AX182" s="20">
        <f t="shared" si="59"/>
        <v>95.17418194414968</v>
      </c>
      <c r="AY182" s="20">
        <f t="shared" si="60"/>
        <v>-11.57048745795152</v>
      </c>
      <c r="AZ182" s="20"/>
      <c r="BA182" s="20">
        <f t="shared" si="61"/>
        <v>151.98600308838499</v>
      </c>
      <c r="BB182" s="20">
        <f t="shared" si="62"/>
        <v>-29.581458437598741</v>
      </c>
      <c r="BC182" s="20"/>
      <c r="BD182" s="20">
        <f t="shared" si="63"/>
        <v>129.54666767640097</v>
      </c>
      <c r="BE182" s="20">
        <f t="shared" si="64"/>
        <v>-85.636418628025069</v>
      </c>
      <c r="BF182" s="20"/>
      <c r="BG182" s="54">
        <f t="shared" si="65"/>
        <v>72873.625639795937</v>
      </c>
      <c r="BH182" s="54">
        <f t="shared" si="66"/>
        <v>32947.873628172194</v>
      </c>
      <c r="BI182" s="54">
        <f t="shared" si="67"/>
        <v>56749.654079439482</v>
      </c>
      <c r="BJ182" s="20"/>
    </row>
    <row r="183" spans="1:62" x14ac:dyDescent="0.3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K183">
        <v>179</v>
      </c>
      <c r="AL183">
        <v>89.5</v>
      </c>
      <c r="AN183" s="48">
        <f t="shared" si="68"/>
        <v>-51491.078064389621</v>
      </c>
      <c r="AO183" s="48">
        <f t="shared" si="69"/>
        <v>16666.270877833416</v>
      </c>
      <c r="AP183" s="20"/>
      <c r="AQ183" s="50">
        <f t="shared" si="70"/>
        <v>1794.0167173672262</v>
      </c>
      <c r="AR183" s="50">
        <f t="shared" si="71"/>
        <v>711.60788359597211</v>
      </c>
      <c r="AS183" s="20"/>
      <c r="AT183" s="52">
        <f t="shared" si="72"/>
        <v>385.9007831208724</v>
      </c>
      <c r="AU183" s="52">
        <f t="shared" si="73"/>
        <v>-134.8564313639009</v>
      </c>
      <c r="AV183" s="20"/>
      <c r="AW183" s="20"/>
      <c r="AX183" s="20">
        <f t="shared" si="59"/>
        <v>97.152094034418269</v>
      </c>
      <c r="AY183" s="20">
        <f t="shared" si="60"/>
        <v>-12.456413224964354</v>
      </c>
      <c r="AZ183" s="20"/>
      <c r="BA183" s="20">
        <f t="shared" si="61"/>
        <v>158.21924844531574</v>
      </c>
      <c r="BB183" s="20">
        <f t="shared" si="62"/>
        <v>-33.493053685462698</v>
      </c>
      <c r="BC183" s="20"/>
      <c r="BD183" s="20">
        <f t="shared" si="63"/>
        <v>130.52944064113839</v>
      </c>
      <c r="BE183" s="20">
        <f t="shared" si="64"/>
        <v>-88.906964453473847</v>
      </c>
      <c r="BF183" s="20"/>
      <c r="BG183" s="54">
        <f t="shared" si="65"/>
        <v>72076.3120908282</v>
      </c>
      <c r="BH183" s="54">
        <f t="shared" si="66"/>
        <v>32188.929231556169</v>
      </c>
      <c r="BI183" s="54">
        <f t="shared" si="67"/>
        <v>56250.982666060961</v>
      </c>
      <c r="BJ183" s="20"/>
    </row>
    <row r="184" spans="1:62" x14ac:dyDescent="0.3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K184">
        <v>180</v>
      </c>
      <c r="AL184">
        <v>90</v>
      </c>
      <c r="AN184" s="48">
        <f t="shared" si="68"/>
        <v>-50545.832107815899</v>
      </c>
      <c r="AO184" s="48">
        <f t="shared" si="69"/>
        <v>17005.217765710913</v>
      </c>
      <c r="AP184" s="20"/>
      <c r="AQ184" s="50">
        <f t="shared" si="70"/>
        <v>1986.9671089276624</v>
      </c>
      <c r="AR184" s="50">
        <f t="shared" si="71"/>
        <v>644.17966791402171</v>
      </c>
      <c r="AS184" s="20"/>
      <c r="AT184" s="52">
        <f t="shared" si="72"/>
        <v>396.95199419508549</v>
      </c>
      <c r="AU184" s="52">
        <f t="shared" si="73"/>
        <v>-144.02588410623716</v>
      </c>
      <c r="AV184" s="20"/>
      <c r="AW184" s="20"/>
      <c r="AX184" s="20">
        <f t="shared" si="59"/>
        <v>99.44988217353378</v>
      </c>
      <c r="AY184" s="20">
        <f t="shared" si="60"/>
        <v>-13.399697169763764</v>
      </c>
      <c r="AZ184" s="20"/>
      <c r="BA184" s="20">
        <f t="shared" si="61"/>
        <v>165.68389509581704</v>
      </c>
      <c r="BB184" s="20">
        <f t="shared" si="62"/>
        <v>-37.997058365302138</v>
      </c>
      <c r="BC184" s="20"/>
      <c r="BD184" s="20">
        <f t="shared" si="63"/>
        <v>131.81821692573467</v>
      </c>
      <c r="BE184" s="20">
        <f t="shared" si="64"/>
        <v>-92.62912857117125</v>
      </c>
      <c r="BF184" s="20"/>
      <c r="BG184" s="54">
        <f t="shared" si="65"/>
        <v>71183.309789287916</v>
      </c>
      <c r="BH184" s="54">
        <f t="shared" si="66"/>
        <v>31338.808769701322</v>
      </c>
      <c r="BI184" s="54">
        <f t="shared" si="67"/>
        <v>55666.478123049339</v>
      </c>
      <c r="BJ184" s="20"/>
    </row>
    <row r="185" spans="1:62" x14ac:dyDescent="0.3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K185">
        <v>181</v>
      </c>
      <c r="AL185">
        <v>90.5</v>
      </c>
      <c r="AN185" s="48">
        <f t="shared" si="68"/>
        <v>-49502.729554077683</v>
      </c>
      <c r="AO185" s="48">
        <f t="shared" si="69"/>
        <v>17309.304364154646</v>
      </c>
      <c r="AP185" s="20"/>
      <c r="AQ185" s="50">
        <f t="shared" si="70"/>
        <v>2185.443106025205</v>
      </c>
      <c r="AR185" s="50">
        <f t="shared" si="71"/>
        <v>572.16672586090317</v>
      </c>
      <c r="AS185" s="20"/>
      <c r="AT185" s="52">
        <f t="shared" si="72"/>
        <v>410.15297856721014</v>
      </c>
      <c r="AU185" s="52">
        <f t="shared" si="73"/>
        <v>-154.54099845859446</v>
      </c>
      <c r="AV185" s="20"/>
      <c r="AW185" s="20"/>
      <c r="AX185" s="20">
        <f t="shared" si="59"/>
        <v>102.10719641760605</v>
      </c>
      <c r="AY185" s="20">
        <f t="shared" si="60"/>
        <v>-14.41095297777489</v>
      </c>
      <c r="AZ185" s="20"/>
      <c r="BA185" s="20">
        <f t="shared" si="61"/>
        <v>174.6203415223664</v>
      </c>
      <c r="BB185" s="20">
        <f t="shared" si="62"/>
        <v>-43.262208061802816</v>
      </c>
      <c r="BC185" s="20"/>
      <c r="BD185" s="20">
        <f t="shared" si="63"/>
        <v>133.42544062723772</v>
      </c>
      <c r="BE185" s="20">
        <f t="shared" si="64"/>
        <v>-96.867837419016737</v>
      </c>
      <c r="BF185" s="20"/>
      <c r="BG185" s="54">
        <f t="shared" si="65"/>
        <v>70191.537008216925</v>
      </c>
      <c r="BH185" s="54">
        <f t="shared" si="66"/>
        <v>30394.686730231304</v>
      </c>
      <c r="BI185" s="54">
        <f t="shared" si="67"/>
        <v>54994.400499132287</v>
      </c>
      <c r="BJ185" s="20"/>
    </row>
    <row r="186" spans="1:62" x14ac:dyDescent="0.3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K186">
        <v>182</v>
      </c>
      <c r="AL186">
        <v>91</v>
      </c>
      <c r="AN186" s="48">
        <f t="shared" si="68"/>
        <v>-48358.738878744174</v>
      </c>
      <c r="AO186" s="48">
        <f t="shared" si="69"/>
        <v>17576.070102277772</v>
      </c>
      <c r="AP186" s="20"/>
      <c r="AQ186" s="50">
        <f t="shared" si="70"/>
        <v>2390.51959530881</v>
      </c>
      <c r="AR186" s="50">
        <f t="shared" si="71"/>
        <v>494.89622663160594</v>
      </c>
      <c r="AS186" s="20"/>
      <c r="AT186" s="52">
        <f t="shared" si="72"/>
        <v>425.88347857014173</v>
      </c>
      <c r="AU186" s="52">
        <f t="shared" si="73"/>
        <v>-166.72031931107566</v>
      </c>
      <c r="AV186" s="20"/>
      <c r="AW186" s="20"/>
      <c r="AX186" s="20">
        <f t="shared" si="59"/>
        <v>105.17317551219517</v>
      </c>
      <c r="AY186" s="20">
        <f t="shared" si="60"/>
        <v>-15.502513749117178</v>
      </c>
      <c r="AZ186" s="20"/>
      <c r="BA186" s="20">
        <f t="shared" si="61"/>
        <v>185.34356889792568</v>
      </c>
      <c r="BB186" s="20">
        <f t="shared" si="62"/>
        <v>-49.514750179159478</v>
      </c>
      <c r="BC186" s="20"/>
      <c r="BD186" s="20">
        <f t="shared" si="63"/>
        <v>135.36673416002085</v>
      </c>
      <c r="BE186" s="20">
        <f t="shared" si="64"/>
        <v>-101.70305538279899</v>
      </c>
      <c r="BF186" s="20"/>
      <c r="BG186" s="54">
        <f t="shared" si="65"/>
        <v>69097.354289425188</v>
      </c>
      <c r="BH186" s="54">
        <f t="shared" si="66"/>
        <v>29353.277653226796</v>
      </c>
      <c r="BI186" s="54">
        <f t="shared" si="67"/>
        <v>54232.652345829789</v>
      </c>
      <c r="BJ186" s="20"/>
    </row>
    <row r="187" spans="1:62" x14ac:dyDescent="0.3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K187">
        <v>183</v>
      </c>
      <c r="AL187">
        <v>91.5</v>
      </c>
      <c r="AN187" s="48">
        <f t="shared" si="68"/>
        <v>-47110.2436462685</v>
      </c>
      <c r="AO187" s="48">
        <f t="shared" si="69"/>
        <v>17802.678175679692</v>
      </c>
      <c r="AP187" s="20"/>
      <c r="AQ187" s="50">
        <f t="shared" si="70"/>
        <v>2603.461334593881</v>
      </c>
      <c r="AR187" s="50">
        <f t="shared" si="71"/>
        <v>411.53606697606813</v>
      </c>
      <c r="AS187" s="20"/>
      <c r="AT187" s="52">
        <f t="shared" si="72"/>
        <v>444.64084695903205</v>
      </c>
      <c r="AU187" s="52">
        <f t="shared" si="73"/>
        <v>-180.98769705704584</v>
      </c>
      <c r="AV187" s="20"/>
      <c r="AW187" s="20"/>
      <c r="AX187" s="20">
        <f t="shared" si="59"/>
        <v>108.70906533109446</v>
      </c>
      <c r="AY187" s="20">
        <f t="shared" si="60"/>
        <v>-16.688875707091544</v>
      </c>
      <c r="AZ187" s="20"/>
      <c r="BA187" s="20">
        <f t="shared" si="61"/>
        <v>198.2709048851425</v>
      </c>
      <c r="BB187" s="20">
        <f t="shared" si="62"/>
        <v>-57.06492654972886</v>
      </c>
      <c r="BC187" s="20"/>
      <c r="BD187" s="20">
        <f t="shared" si="63"/>
        <v>137.66087674279512</v>
      </c>
      <c r="BE187" s="20">
        <f t="shared" si="64"/>
        <v>-107.23389480022543</v>
      </c>
      <c r="BF187" s="20"/>
      <c r="BG187" s="54">
        <f t="shared" si="65"/>
        <v>67896.465149911499</v>
      </c>
      <c r="BH187" s="54">
        <f t="shared" si="66"/>
        <v>28210.762082461893</v>
      </c>
      <c r="BI187" s="54">
        <f t="shared" si="67"/>
        <v>53378.725307422894</v>
      </c>
      <c r="BJ187" s="20"/>
    </row>
    <row r="188" spans="1:62" x14ac:dyDescent="0.3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K188">
        <v>184</v>
      </c>
      <c r="AL188">
        <v>92</v>
      </c>
      <c r="AN188" s="48">
        <f t="shared" si="68"/>
        <v>-45752.932873101679</v>
      </c>
      <c r="AO188" s="48">
        <f t="shared" si="69"/>
        <v>17985.822747035596</v>
      </c>
      <c r="AP188" s="20"/>
      <c r="AQ188" s="50">
        <f t="shared" si="70"/>
        <v>2825.7817580733972</v>
      </c>
      <c r="AR188" s="50">
        <f t="shared" si="71"/>
        <v>321.04221844754522</v>
      </c>
      <c r="AS188" s="20"/>
      <c r="AT188" s="52">
        <f t="shared" si="72"/>
        <v>467.08405688053949</v>
      </c>
      <c r="AU188" s="52">
        <f t="shared" si="73"/>
        <v>-197.91990709912756</v>
      </c>
      <c r="AV188" s="20"/>
      <c r="AW188" s="20"/>
      <c r="AX188" s="20">
        <f t="shared" si="59"/>
        <v>112.79181782573198</v>
      </c>
      <c r="AY188" s="20">
        <f t="shared" si="60"/>
        <v>-17.987258626457141</v>
      </c>
      <c r="AZ188" s="20"/>
      <c r="BA188" s="20">
        <f t="shared" si="61"/>
        <v>213.96258677011929</v>
      </c>
      <c r="BB188" s="20">
        <f t="shared" si="62"/>
        <v>-66.348454401791969</v>
      </c>
      <c r="BC188" s="20"/>
      <c r="BD188" s="20">
        <f t="shared" si="63"/>
        <v>140.32965228468819</v>
      </c>
      <c r="BE188" s="20">
        <f t="shared" si="64"/>
        <v>-113.58419407087845</v>
      </c>
      <c r="BF188" s="20"/>
      <c r="BG188" s="54">
        <f t="shared" si="65"/>
        <v>66583.786765975266</v>
      </c>
      <c r="BH188" s="54">
        <f t="shared" si="66"/>
        <v>26962.694904507454</v>
      </c>
      <c r="BI188" s="54">
        <f t="shared" si="67"/>
        <v>52429.629409889807</v>
      </c>
      <c r="BJ188" s="20"/>
    </row>
    <row r="189" spans="1:62" x14ac:dyDescent="0.3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K189">
        <v>185</v>
      </c>
      <c r="AL189">
        <v>92.5</v>
      </c>
      <c r="AN189" s="48">
        <f t="shared" si="68"/>
        <v>-44281.656486954911</v>
      </c>
      <c r="AO189" s="48">
        <f t="shared" si="69"/>
        <v>18121.603867871978</v>
      </c>
      <c r="AP189" s="20"/>
      <c r="AQ189" s="50">
        <f t="shared" si="70"/>
        <v>3059.3237865136671</v>
      </c>
      <c r="AR189" s="50">
        <f t="shared" si="71"/>
        <v>222.08226489798145</v>
      </c>
      <c r="AS189" s="20"/>
      <c r="AT189" s="52">
        <f t="shared" si="72"/>
        <v>494.09839572321096</v>
      </c>
      <c r="AU189" s="52">
        <f t="shared" si="73"/>
        <v>-218.32198194549375</v>
      </c>
      <c r="AV189" s="20"/>
      <c r="AW189" s="20"/>
      <c r="AX189" s="20">
        <f t="shared" si="59"/>
        <v>117.51912057495501</v>
      </c>
      <c r="AY189" s="20">
        <f t="shared" si="60"/>
        <v>-19.418316419726509</v>
      </c>
      <c r="AZ189" s="20"/>
      <c r="BA189" s="20">
        <f t="shared" si="61"/>
        <v>233.18184466706745</v>
      </c>
      <c r="BB189" s="20">
        <f t="shared" si="62"/>
        <v>-77.993466903010074</v>
      </c>
      <c r="BC189" s="20"/>
      <c r="BD189" s="20">
        <f t="shared" si="63"/>
        <v>143.39743048118851</v>
      </c>
      <c r="BE189" s="20">
        <f t="shared" si="64"/>
        <v>-120.91019862275718</v>
      </c>
      <c r="BF189" s="20"/>
      <c r="BG189" s="54">
        <f t="shared" si="65"/>
        <v>65153.279498678079</v>
      </c>
      <c r="BH189" s="54">
        <f t="shared" si="66"/>
        <v>25603.892109152323</v>
      </c>
      <c r="BI189" s="54">
        <f t="shared" si="67"/>
        <v>51381.798130654774</v>
      </c>
      <c r="BJ189" s="20"/>
    </row>
    <row r="190" spans="1:62" x14ac:dyDescent="0.3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K190">
        <v>186</v>
      </c>
      <c r="AL190">
        <v>93</v>
      </c>
      <c r="AN190" s="48">
        <f t="shared" si="68"/>
        <v>-42690.232294232679</v>
      </c>
      <c r="AO190" s="48">
        <f t="shared" si="69"/>
        <v>18205.354752577783</v>
      </c>
      <c r="AP190" s="20"/>
      <c r="AQ190" s="50">
        <f t="shared" si="70"/>
        <v>3306.3729843752726</v>
      </c>
      <c r="AR190" s="50">
        <f t="shared" si="71"/>
        <v>112.92127392523457</v>
      </c>
      <c r="AS190" s="20"/>
      <c r="AT190" s="52">
        <f t="shared" si="72"/>
        <v>526.89166063861762</v>
      </c>
      <c r="AU190" s="52">
        <f t="shared" si="73"/>
        <v>-243.35049561079944</v>
      </c>
      <c r="AV190" s="20"/>
      <c r="AW190" s="20"/>
      <c r="AX190" s="20">
        <f t="shared" si="59"/>
        <v>123.01656309530586</v>
      </c>
      <c r="AY190" s="20">
        <f t="shared" si="60"/>
        <v>-21.007035708484235</v>
      </c>
      <c r="AZ190" s="20"/>
      <c r="BA190" s="20">
        <f t="shared" si="61"/>
        <v>256.98485497921564</v>
      </c>
      <c r="BB190" s="20">
        <f t="shared" si="62"/>
        <v>-92.932142509629088</v>
      </c>
      <c r="BC190" s="20"/>
      <c r="BD190" s="20">
        <f t="shared" si="63"/>
        <v>146.89024256409613</v>
      </c>
      <c r="BE190" s="20">
        <f t="shared" si="64"/>
        <v>-129.4113173926861</v>
      </c>
      <c r="BF190" s="20"/>
      <c r="BG190" s="54">
        <f t="shared" si="65"/>
        <v>63597.718870124532</v>
      </c>
      <c r="BH190" s="54">
        <f t="shared" si="66"/>
        <v>24128.29227653483</v>
      </c>
      <c r="BI190" s="54">
        <f t="shared" si="67"/>
        <v>50230.958527961222</v>
      </c>
      <c r="BJ190" s="20"/>
    </row>
    <row r="191" spans="1:62" x14ac:dyDescent="0.3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K191">
        <v>187</v>
      </c>
      <c r="AL191">
        <v>93.5</v>
      </c>
      <c r="AN191" s="48">
        <f t="shared" si="68"/>
        <v>-40971.184344465219</v>
      </c>
      <c r="AO191" s="48">
        <f t="shared" si="69"/>
        <v>18231.39657758905</v>
      </c>
      <c r="AP191" s="20"/>
      <c r="AQ191" s="50">
        <f t="shared" si="70"/>
        <v>3569.8188146945813</v>
      </c>
      <c r="AR191" s="50">
        <f t="shared" si="71"/>
        <v>-8.7539738801651481</v>
      </c>
      <c r="AS191" s="20"/>
      <c r="AT191" s="52">
        <f t="shared" si="72"/>
        <v>567.13775656833081</v>
      </c>
      <c r="AU191" s="52">
        <f t="shared" si="73"/>
        <v>-274.723048776079</v>
      </c>
      <c r="AV191" s="20"/>
      <c r="AW191" s="20"/>
      <c r="AX191" s="20">
        <f t="shared" si="59"/>
        <v>129.44807840862788</v>
      </c>
      <c r="AY191" s="20">
        <f t="shared" si="60"/>
        <v>-22.78385569421749</v>
      </c>
      <c r="AZ191" s="20"/>
      <c r="BA191" s="20">
        <f t="shared" si="61"/>
        <v>286.85575041931685</v>
      </c>
      <c r="BB191" s="20">
        <f t="shared" si="62"/>
        <v>-112.59370970559824</v>
      </c>
      <c r="BC191" s="20"/>
      <c r="BD191" s="20">
        <f t="shared" si="63"/>
        <v>150.83392774038606</v>
      </c>
      <c r="BE191" s="20">
        <f t="shared" si="64"/>
        <v>-139.34548337626327</v>
      </c>
      <c r="BF191" s="20"/>
      <c r="BG191" s="54">
        <f t="shared" si="65"/>
        <v>61908.385481065896</v>
      </c>
      <c r="BH191" s="54">
        <f t="shared" si="66"/>
        <v>22528.791854582167</v>
      </c>
      <c r="BI191" s="54">
        <f t="shared" si="67"/>
        <v>48971.949334700752</v>
      </c>
      <c r="BJ191" s="20"/>
    </row>
    <row r="192" spans="1:62" x14ac:dyDescent="0.3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K192">
        <v>188</v>
      </c>
      <c r="AL192">
        <v>94</v>
      </c>
      <c r="AN192" s="48">
        <f t="shared" si="68"/>
        <v>-39115.38271754689</v>
      </c>
      <c r="AO192" s="48">
        <f t="shared" si="69"/>
        <v>18192.67920955196</v>
      </c>
      <c r="AP192" s="20"/>
      <c r="AQ192" s="50">
        <f t="shared" si="70"/>
        <v>3853.3876929787466</v>
      </c>
      <c r="AR192" s="50">
        <f t="shared" si="71"/>
        <v>-146.11549826820465</v>
      </c>
      <c r="AS192" s="20"/>
      <c r="AT192" s="52">
        <f t="shared" si="72"/>
        <v>617.18770432480721</v>
      </c>
      <c r="AU192" s="52">
        <f t="shared" si="73"/>
        <v>-315.08917230283566</v>
      </c>
      <c r="AV192" s="20"/>
      <c r="AW192" s="20"/>
      <c r="AX192" s="20">
        <f t="shared" si="59"/>
        <v>137.03155194328932</v>
      </c>
      <c r="AY192" s="20">
        <f t="shared" si="60"/>
        <v>-24.786009311950739</v>
      </c>
      <c r="AZ192" s="20"/>
      <c r="BA192" s="20">
        <f t="shared" si="61"/>
        <v>324.9055683410096</v>
      </c>
      <c r="BB192" s="20">
        <f t="shared" si="62"/>
        <v>-139.25157210541335</v>
      </c>
      <c r="BC192" s="20"/>
      <c r="BD192" s="20">
        <f t="shared" si="63"/>
        <v>155.2505840405083</v>
      </c>
      <c r="BE192" s="20">
        <f t="shared" si="64"/>
        <v>-151.05159088547157</v>
      </c>
      <c r="BF192" s="20"/>
      <c r="BG192" s="54">
        <f t="shared" si="65"/>
        <v>60074.635766856103</v>
      </c>
      <c r="BH192" s="54">
        <f t="shared" si="66"/>
        <v>20797.063472252885</v>
      </c>
      <c r="BI192" s="54">
        <f t="shared" si="67"/>
        <v>47598.45891489472</v>
      </c>
      <c r="BJ192" s="20"/>
    </row>
    <row r="193" spans="1:62" x14ac:dyDescent="0.3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K193">
        <v>189</v>
      </c>
      <c r="AL193">
        <v>94.5</v>
      </c>
      <c r="AN193" s="48">
        <f t="shared" si="68"/>
        <v>-37111.540408016917</v>
      </c>
      <c r="AO193" s="48">
        <f t="shared" si="69"/>
        <v>18080.235313880003</v>
      </c>
      <c r="AP193" s="20"/>
      <c r="AQ193" s="50">
        <f t="shared" si="70"/>
        <v>4161.9815451411505</v>
      </c>
      <c r="AR193" s="50">
        <f t="shared" si="71"/>
        <v>-303.66008441962248</v>
      </c>
      <c r="AS193" s="20"/>
      <c r="AT193" s="52">
        <f t="shared" si="72"/>
        <v>680.35822779308023</v>
      </c>
      <c r="AU193" s="52">
        <f t="shared" si="73"/>
        <v>-368.71628484090297</v>
      </c>
      <c r="AV193" s="20"/>
      <c r="AW193" s="20"/>
      <c r="AX193" s="20">
        <f t="shared" si="59"/>
        <v>146.06284883610925</v>
      </c>
      <c r="AY193" s="20">
        <f t="shared" si="60"/>
        <v>-27.058967421666502</v>
      </c>
      <c r="AZ193" s="20"/>
      <c r="BA193" s="20">
        <f t="shared" si="61"/>
        <v>374.14346882324742</v>
      </c>
      <c r="BB193" s="20">
        <f t="shared" si="62"/>
        <v>-176.67417410455829</v>
      </c>
      <c r="BC193" s="20"/>
      <c r="BD193" s="20">
        <f t="shared" si="63"/>
        <v>160.15191013372348</v>
      </c>
      <c r="BE193" s="20">
        <f t="shared" si="64"/>
        <v>-164.98314331467822</v>
      </c>
      <c r="BF193" s="20"/>
      <c r="BG193" s="54">
        <f t="shared" si="65"/>
        <v>58083.297315782809</v>
      </c>
      <c r="BH193" s="54">
        <f t="shared" si="66"/>
        <v>18923.398686886805</v>
      </c>
      <c r="BI193" s="54">
        <f t="shared" si="67"/>
        <v>46102.635453923642</v>
      </c>
      <c r="BJ193" s="20"/>
    </row>
    <row r="194" spans="1:62" x14ac:dyDescent="0.3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K194">
        <v>190</v>
      </c>
      <c r="AL194">
        <v>95</v>
      </c>
      <c r="AN194" s="48">
        <f t="shared" si="68"/>
        <v>-34945.504856972206</v>
      </c>
      <c r="AO194" s="48">
        <f t="shared" si="69"/>
        <v>17882.31573606508</v>
      </c>
      <c r="AP194" s="20"/>
      <c r="AQ194" s="50">
        <f t="shared" si="70"/>
        <v>4502.1606590376905</v>
      </c>
      <c r="AR194" s="50">
        <f t="shared" si="71"/>
        <v>-488.01822684007396</v>
      </c>
      <c r="AS194" s="20"/>
      <c r="AT194" s="52">
        <f t="shared" si="72"/>
        <v>761.22468676184189</v>
      </c>
      <c r="AU194" s="52">
        <f t="shared" si="73"/>
        <v>-442.81296143059365</v>
      </c>
      <c r="AV194" s="20"/>
      <c r="AW194" s="20"/>
      <c r="AX194" s="20">
        <f t="shared" si="59"/>
        <v>156.95404740545487</v>
      </c>
      <c r="AY194" s="20">
        <f t="shared" si="60"/>
        <v>-29.657503019739398</v>
      </c>
      <c r="AZ194" s="20"/>
      <c r="BA194" s="20">
        <f t="shared" si="61"/>
        <v>438.74387237463236</v>
      </c>
      <c r="BB194" s="20">
        <f t="shared" si="62"/>
        <v>-231.39517616946608</v>
      </c>
      <c r="BC194" s="20"/>
      <c r="BD194" s="20">
        <f t="shared" si="63"/>
        <v>165.52676698175466</v>
      </c>
      <c r="BE194" s="20">
        <f t="shared" si="64"/>
        <v>-181.76028224138818</v>
      </c>
      <c r="BF194" s="20"/>
      <c r="BG194" s="54">
        <f t="shared" si="65"/>
        <v>55917.80560815044</v>
      </c>
      <c r="BH194" s="54">
        <f t="shared" si="66"/>
        <v>16896.716154117017</v>
      </c>
      <c r="BI194" s="54">
        <f t="shared" si="67"/>
        <v>44474.486498499551</v>
      </c>
      <c r="BJ194" s="20"/>
    </row>
    <row r="195" spans="1:62" x14ac:dyDescent="0.3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K195">
        <v>191</v>
      </c>
      <c r="AL195">
        <v>95.5</v>
      </c>
      <c r="AN195" s="48">
        <f t="shared" si="68"/>
        <v>-32599.271441608129</v>
      </c>
      <c r="AO195" s="48">
        <f t="shared" si="69"/>
        <v>17582.95500246622</v>
      </c>
      <c r="AP195" s="20"/>
      <c r="AQ195" s="50">
        <f t="shared" si="70"/>
        <v>4882.7730024186112</v>
      </c>
      <c r="AR195" s="50">
        <f t="shared" si="71"/>
        <v>-709.42470755537079</v>
      </c>
      <c r="AS195" s="20"/>
      <c r="AT195" s="52">
        <f t="shared" si="72"/>
        <v>865.42294715682738</v>
      </c>
      <c r="AU195" s="52">
        <f t="shared" si="73"/>
        <v>-550.15562585298289</v>
      </c>
      <c r="AV195" s="20"/>
      <c r="AW195" s="20"/>
      <c r="AX195" s="20">
        <f t="shared" si="59"/>
        <v>170.29654422161008</v>
      </c>
      <c r="AY195" s="20">
        <f t="shared" si="60"/>
        <v>-32.644794222448191</v>
      </c>
      <c r="AZ195" s="20"/>
      <c r="BA195" s="20">
        <f t="shared" si="61"/>
        <v>523.80863401578472</v>
      </c>
      <c r="BB195" s="20">
        <f t="shared" si="62"/>
        <v>-315.25769724491443</v>
      </c>
      <c r="BC195" s="20"/>
      <c r="BD195" s="20">
        <f t="shared" si="63"/>
        <v>171.31776891943269</v>
      </c>
      <c r="BE195" s="20">
        <f t="shared" si="64"/>
        <v>-202.25313438562031</v>
      </c>
      <c r="BF195" s="20"/>
      <c r="BG195" s="54">
        <f t="shared" si="65"/>
        <v>53556.972821190437</v>
      </c>
      <c r="BH195" s="54">
        <f t="shared" si="66"/>
        <v>14705.197973123302</v>
      </c>
      <c r="BI195" s="54">
        <f t="shared" si="67"/>
        <v>42700.922013468335</v>
      </c>
      <c r="BJ195" s="20"/>
    </row>
    <row r="196" spans="1:62" x14ac:dyDescent="0.3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K196">
        <v>192</v>
      </c>
      <c r="AL196">
        <v>96</v>
      </c>
      <c r="AN196" s="48">
        <f t="shared" si="68"/>
        <v>-30049.707072004221</v>
      </c>
      <c r="AO196" s="48">
        <f t="shared" si="69"/>
        <v>17159.473195456911</v>
      </c>
      <c r="AP196" s="20"/>
      <c r="AQ196" s="50">
        <f t="shared" si="70"/>
        <v>5315.4844759970247</v>
      </c>
      <c r="AR196" s="50">
        <f t="shared" si="71"/>
        <v>-984.50252048186223</v>
      </c>
      <c r="AS196" s="20"/>
      <c r="AT196" s="52">
        <f t="shared" si="72"/>
        <v>996.50594815372324</v>
      </c>
      <c r="AU196" s="52">
        <f t="shared" si="73"/>
        <v>-714.16010695238992</v>
      </c>
      <c r="AV196" s="20"/>
      <c r="AW196" s="20"/>
      <c r="AX196" s="20">
        <f t="shared" ref="AX196:AX259" si="74">Masse_1*(q_1x-AN196)/($BG196^2+Aarseth_1^2)^(3/2)</f>
        <v>186.96916079659746</v>
      </c>
      <c r="AY196" s="20">
        <f t="shared" ref="AY196:AY259" si="75">Masse_1*(q_1y-AO196)/($BG196^2+Aarseth_1^2)^(3/2)</f>
        <v>-36.084598746873034</v>
      </c>
      <c r="AZ196" s="20"/>
      <c r="BA196" s="20">
        <f t="shared" ref="BA196:BA259" si="76">Masse_2*(q_2x-AN196)/($BH196^2+Aarseth_2^2)^(3/2)</f>
        <v>632.16027280296476</v>
      </c>
      <c r="BB196" s="20">
        <f t="shared" ref="BB196:BB259" si="77">Masse_2*(q_2y-AO196)/($BH196^2+Aarseth_2^2)^(3/2)</f>
        <v>-450.35487063832829</v>
      </c>
      <c r="BC196" s="20"/>
      <c r="BD196" s="20">
        <f t="shared" ref="BD196:BD259" si="78">Masse_3*(q_3x-AN196)/($BI196^2+Aarseth_3^2)^(3/2)</f>
        <v>177.37651455416102</v>
      </c>
      <c r="BE196" s="20">
        <f t="shared" ref="BE196:BE259" si="79">Masse_3*(q_3y-AO196)/($BI196^2+Aarseth_3^2)^(3/2)</f>
        <v>-227.72063756718859</v>
      </c>
      <c r="BF196" s="20"/>
      <c r="BG196" s="54">
        <f t="shared" ref="BG196:BG259" si="80">SQRT((q_1x-AN196)^2+(q_1y-AO196)^2)</f>
        <v>50973.312629327716</v>
      </c>
      <c r="BH196" s="54">
        <f t="shared" ref="BH196:BH259" si="81">SQRT((q_2x-AN196)^2+(q_2y-AO196)^2)</f>
        <v>12339.151861840328</v>
      </c>
      <c r="BI196" s="54">
        <f t="shared" ref="BI196:BI259" si="82">SQRT((q_3x-AN196)^2+(q_3y-AO196)^2)</f>
        <v>40764.194345068689</v>
      </c>
      <c r="BJ196" s="20"/>
    </row>
    <row r="197" spans="1:62" x14ac:dyDescent="0.3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K197">
        <v>193</v>
      </c>
      <c r="AL197">
        <v>96.5</v>
      </c>
      <c r="AN197" s="48">
        <f t="shared" ref="AN197:AN260" si="83">AN196+(AQ196*bt)+(0.5*AT196)*bt^2</f>
        <v>-27267.401590486494</v>
      </c>
      <c r="AO197" s="48">
        <f t="shared" ref="AO197:AO260" si="84">AO196+(AR196*bt)+(0.5*AU196)*bt^2</f>
        <v>16577.951921846932</v>
      </c>
      <c r="AP197" s="20"/>
      <c r="AQ197" s="50">
        <f t="shared" ref="AQ197:AQ260" si="85">AQ196+(AT196*bt)</f>
        <v>5813.7374500738861</v>
      </c>
      <c r="AR197" s="50">
        <f t="shared" ref="AR197:AR260" si="86">AR196+(AU196*bt)</f>
        <v>-1341.5825739580573</v>
      </c>
      <c r="AS197" s="20"/>
      <c r="AT197" s="52">
        <f t="shared" si="72"/>
        <v>1138.566075228136</v>
      </c>
      <c r="AU197" s="52">
        <f t="shared" si="73"/>
        <v>-976.0683622286133</v>
      </c>
      <c r="AV197" s="20"/>
      <c r="AW197" s="20"/>
      <c r="AX197" s="20">
        <f t="shared" si="74"/>
        <v>208.32853317663071</v>
      </c>
      <c r="AY197" s="20">
        <f t="shared" si="75"/>
        <v>-40.010585403259988</v>
      </c>
      <c r="AZ197" s="20"/>
      <c r="BA197" s="20">
        <f t="shared" si="76"/>
        <v>746.8614243011051</v>
      </c>
      <c r="BB197" s="20">
        <f t="shared" si="77"/>
        <v>-676.00757714641702</v>
      </c>
      <c r="BC197" s="20"/>
      <c r="BD197" s="20">
        <f t="shared" si="78"/>
        <v>183.37611775040014</v>
      </c>
      <c r="BE197" s="20">
        <f t="shared" si="79"/>
        <v>-260.05019967893634</v>
      </c>
      <c r="BF197" s="20"/>
      <c r="BG197" s="54">
        <f t="shared" si="80"/>
        <v>48131.242080499957</v>
      </c>
      <c r="BH197" s="54">
        <f t="shared" si="81"/>
        <v>9802.2740914307924</v>
      </c>
      <c r="BI197" s="54">
        <f t="shared" si="82"/>
        <v>38639.412795363191</v>
      </c>
      <c r="BJ197" s="20"/>
    </row>
    <row r="198" spans="1:62" x14ac:dyDescent="0.3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K198">
        <v>194</v>
      </c>
      <c r="AL198">
        <v>97</v>
      </c>
      <c r="AN198" s="48">
        <f t="shared" si="83"/>
        <v>-24218.212106046034</v>
      </c>
      <c r="AO198" s="48">
        <f t="shared" si="84"/>
        <v>15785.152089589326</v>
      </c>
      <c r="AP198" s="20"/>
      <c r="AQ198" s="50">
        <f t="shared" si="85"/>
        <v>6383.0204876879543</v>
      </c>
      <c r="AR198" s="50">
        <f t="shared" si="86"/>
        <v>-1829.616755072364</v>
      </c>
      <c r="AS198" s="20"/>
      <c r="AT198" s="52">
        <f t="shared" si="72"/>
        <v>1179.7823602626347</v>
      </c>
      <c r="AU198" s="52">
        <f t="shared" si="73"/>
        <v>-1381.4144625673473</v>
      </c>
      <c r="AV198" s="20"/>
      <c r="AW198" s="20"/>
      <c r="AX198" s="20">
        <f t="shared" si="74"/>
        <v>236.53779039356883</v>
      </c>
      <c r="AY198" s="20">
        <f t="shared" si="75"/>
        <v>-44.320009222583622</v>
      </c>
      <c r="AZ198" s="20"/>
      <c r="BA198" s="20">
        <f t="shared" si="76"/>
        <v>754.60759414923825</v>
      </c>
      <c r="BB198" s="20">
        <f t="shared" si="77"/>
        <v>-1034.9218081886559</v>
      </c>
      <c r="BC198" s="20"/>
      <c r="BD198" s="20">
        <f t="shared" si="78"/>
        <v>188.63697571982769</v>
      </c>
      <c r="BE198" s="20">
        <f t="shared" si="79"/>
        <v>-302.17264515610782</v>
      </c>
      <c r="BF198" s="20"/>
      <c r="BG198" s="54">
        <f t="shared" si="80"/>
        <v>44987.709732802607</v>
      </c>
      <c r="BH198" s="54">
        <f t="shared" si="81"/>
        <v>7159.6995796802166</v>
      </c>
      <c r="BI198" s="54">
        <f t="shared" si="82"/>
        <v>36291.393824598701</v>
      </c>
      <c r="BJ198" s="20"/>
    </row>
    <row r="199" spans="1:62" x14ac:dyDescent="0.3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K199">
        <v>195</v>
      </c>
      <c r="AL199">
        <v>97.5</v>
      </c>
      <c r="AN199" s="48">
        <f t="shared" si="83"/>
        <v>-20879.229067169224</v>
      </c>
      <c r="AO199" s="48">
        <f t="shared" si="84"/>
        <v>14697.666904232226</v>
      </c>
      <c r="AP199" s="20"/>
      <c r="AQ199" s="50">
        <f t="shared" si="85"/>
        <v>6972.9116678192713</v>
      </c>
      <c r="AR199" s="50">
        <f t="shared" si="86"/>
        <v>-2520.3239863560375</v>
      </c>
      <c r="AS199" s="20"/>
      <c r="AT199" s="52">
        <f t="shared" si="72"/>
        <v>726.11022155899229</v>
      </c>
      <c r="AU199" s="52">
        <f t="shared" si="73"/>
        <v>-1792.6194909943108</v>
      </c>
      <c r="AV199" s="20"/>
      <c r="AW199" s="20"/>
      <c r="AX199" s="20">
        <f t="shared" si="74"/>
        <v>275.0114010720356</v>
      </c>
      <c r="AY199" s="20">
        <f t="shared" si="75"/>
        <v>-48.421668043941828</v>
      </c>
      <c r="AZ199" s="20"/>
      <c r="BA199" s="20">
        <f t="shared" si="76"/>
        <v>259.31948800034473</v>
      </c>
      <c r="BB199" s="20">
        <f t="shared" si="77"/>
        <v>-1385.5280971587808</v>
      </c>
      <c r="BC199" s="20"/>
      <c r="BD199" s="20">
        <f t="shared" si="78"/>
        <v>191.77933248661193</v>
      </c>
      <c r="BE199" s="20">
        <f t="shared" si="79"/>
        <v>-358.66972579158823</v>
      </c>
      <c r="BF199" s="20"/>
      <c r="BG199" s="54">
        <f t="shared" si="80"/>
        <v>41508.044738223616</v>
      </c>
      <c r="BH199" s="54">
        <f t="shared" si="81"/>
        <v>4779.2382338270245</v>
      </c>
      <c r="BI199" s="54">
        <f t="shared" si="82"/>
        <v>33676.421058692715</v>
      </c>
      <c r="BJ199" s="20"/>
    </row>
    <row r="200" spans="1:62" x14ac:dyDescent="0.3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K200">
        <v>196</v>
      </c>
      <c r="AL200">
        <v>98</v>
      </c>
      <c r="AN200" s="48">
        <f t="shared" si="83"/>
        <v>-17302.009455564716</v>
      </c>
      <c r="AO200" s="48">
        <f t="shared" si="84"/>
        <v>13213.427474679918</v>
      </c>
      <c r="AP200" s="20"/>
      <c r="AQ200" s="50">
        <f t="shared" si="85"/>
        <v>7335.9667785987676</v>
      </c>
      <c r="AR200" s="50">
        <f t="shared" si="86"/>
        <v>-3416.6337318531928</v>
      </c>
      <c r="AS200" s="20"/>
      <c r="AT200" s="52">
        <f t="shared" si="72"/>
        <v>-373.09525738432319</v>
      </c>
      <c r="AU200" s="52">
        <f t="shared" si="73"/>
        <v>-1547.8078146170269</v>
      </c>
      <c r="AV200" s="20"/>
      <c r="AW200" s="20"/>
      <c r="AX200" s="20">
        <f t="shared" si="74"/>
        <v>328.25991460914855</v>
      </c>
      <c r="AY200" s="20">
        <f t="shared" si="75"/>
        <v>-50.278503553491738</v>
      </c>
      <c r="AZ200" s="20"/>
      <c r="BA200" s="20">
        <f t="shared" si="76"/>
        <v>-891.39518648893966</v>
      </c>
      <c r="BB200" s="20">
        <f t="shared" si="77"/>
        <v>-1061.6915574329937</v>
      </c>
      <c r="BC200" s="20"/>
      <c r="BD200" s="20">
        <f t="shared" si="78"/>
        <v>190.040014495468</v>
      </c>
      <c r="BE200" s="20">
        <f t="shared" si="79"/>
        <v>-435.83775363054156</v>
      </c>
      <c r="BF200" s="20"/>
      <c r="BG200" s="54">
        <f t="shared" si="80"/>
        <v>37737.026418776913</v>
      </c>
      <c r="BH200" s="54">
        <f t="shared" si="81"/>
        <v>4195.8633334380611</v>
      </c>
      <c r="BI200" s="54">
        <f t="shared" si="82"/>
        <v>30778.838940314618</v>
      </c>
      <c r="BJ200" s="20"/>
    </row>
    <row r="201" spans="1:62" x14ac:dyDescent="0.3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K201">
        <v>197</v>
      </c>
      <c r="AL201">
        <v>98.5</v>
      </c>
      <c r="AN201" s="48">
        <f t="shared" si="83"/>
        <v>-13680.662973438371</v>
      </c>
      <c r="AO201" s="48">
        <f t="shared" si="84"/>
        <v>11311.634631926194</v>
      </c>
      <c r="AP201" s="20"/>
      <c r="AQ201" s="50">
        <f t="shared" si="85"/>
        <v>7149.4191499066064</v>
      </c>
      <c r="AR201" s="50">
        <f t="shared" si="86"/>
        <v>-4190.5376391617065</v>
      </c>
      <c r="AS201" s="20"/>
      <c r="AT201" s="52">
        <f t="shared" si="72"/>
        <v>-737.46607856789637</v>
      </c>
      <c r="AU201" s="52">
        <f t="shared" si="73"/>
        <v>-857.17470080923124</v>
      </c>
      <c r="AV201" s="20"/>
      <c r="AW201" s="20"/>
      <c r="AX201" s="20">
        <f t="shared" si="74"/>
        <v>399.55779667926055</v>
      </c>
      <c r="AY201" s="20">
        <f t="shared" si="75"/>
        <v>-45.217884709688008</v>
      </c>
      <c r="AZ201" s="20"/>
      <c r="BA201" s="20">
        <f t="shared" si="76"/>
        <v>-1314.8641562176156</v>
      </c>
      <c r="BB201" s="20">
        <f t="shared" si="77"/>
        <v>-272.91175582572299</v>
      </c>
      <c r="BC201" s="20"/>
      <c r="BD201" s="20">
        <f t="shared" si="78"/>
        <v>177.84028097045871</v>
      </c>
      <c r="BE201" s="20">
        <f t="shared" si="79"/>
        <v>-539.04506027382024</v>
      </c>
      <c r="BF201" s="20"/>
      <c r="BG201" s="54">
        <f t="shared" si="80"/>
        <v>33895.657788242461</v>
      </c>
      <c r="BH201" s="54">
        <f t="shared" si="81"/>
        <v>6454.0224560301094</v>
      </c>
      <c r="BI201" s="54">
        <f t="shared" si="82"/>
        <v>27706.606191708175</v>
      </c>
      <c r="BJ201" s="20"/>
    </row>
    <row r="202" spans="1:62" x14ac:dyDescent="0.3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K202">
        <v>198</v>
      </c>
      <c r="AL202">
        <v>99</v>
      </c>
      <c r="AN202" s="48">
        <f t="shared" si="83"/>
        <v>-10198.136658306055</v>
      </c>
      <c r="AO202" s="48">
        <f t="shared" si="84"/>
        <v>9109.2189747441862</v>
      </c>
      <c r="AP202" s="20"/>
      <c r="AQ202" s="50">
        <f t="shared" si="85"/>
        <v>6780.6861106226579</v>
      </c>
      <c r="AR202" s="50">
        <f t="shared" si="86"/>
        <v>-4619.1249895663223</v>
      </c>
      <c r="AS202" s="20"/>
      <c r="AT202" s="52">
        <f t="shared" si="72"/>
        <v>-365.49134774372828</v>
      </c>
      <c r="AU202" s="52">
        <f t="shared" si="73"/>
        <v>-604.96674627786751</v>
      </c>
      <c r="AV202" s="20"/>
      <c r="AW202" s="20"/>
      <c r="AX202" s="20">
        <f t="shared" si="74"/>
        <v>489.31637245031891</v>
      </c>
      <c r="AY202" s="20">
        <f t="shared" si="75"/>
        <v>-26.075025757705678</v>
      </c>
      <c r="AZ202" s="20"/>
      <c r="BA202" s="20">
        <f t="shared" si="76"/>
        <v>-999.19980496077562</v>
      </c>
      <c r="BB202" s="20">
        <f t="shared" si="77"/>
        <v>90.806022862235551</v>
      </c>
      <c r="BC202" s="20"/>
      <c r="BD202" s="20">
        <f t="shared" si="78"/>
        <v>144.39208476672846</v>
      </c>
      <c r="BE202" s="20">
        <f t="shared" si="79"/>
        <v>-669.69774338239745</v>
      </c>
      <c r="BF202" s="20"/>
      <c r="BG202" s="54">
        <f t="shared" si="80"/>
        <v>30240.982843525519</v>
      </c>
      <c r="BH202" s="54">
        <f t="shared" si="81"/>
        <v>9842.2566418580755</v>
      </c>
      <c r="BI202" s="54">
        <f t="shared" si="82"/>
        <v>24663.233046188216</v>
      </c>
      <c r="BJ202" s="20"/>
    </row>
    <row r="203" spans="1:62" x14ac:dyDescent="0.3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K203">
        <v>199</v>
      </c>
      <c r="AL203">
        <v>99.5</v>
      </c>
      <c r="AN203" s="48">
        <f t="shared" si="83"/>
        <v>-6853.480021462693</v>
      </c>
      <c r="AO203" s="48">
        <f t="shared" si="84"/>
        <v>6724.0356366762917</v>
      </c>
      <c r="AP203" s="20"/>
      <c r="AQ203" s="50">
        <f t="shared" si="85"/>
        <v>6597.9404367507941</v>
      </c>
      <c r="AR203" s="50">
        <f t="shared" si="86"/>
        <v>-4921.6083627052558</v>
      </c>
      <c r="AS203" s="20"/>
      <c r="AT203" s="52">
        <f t="shared" si="72"/>
        <v>1.5216956933034993</v>
      </c>
      <c r="AU203" s="52">
        <f t="shared" si="73"/>
        <v>-641.03549739571179</v>
      </c>
      <c r="AV203" s="20"/>
      <c r="AW203" s="20"/>
      <c r="AX203" s="20">
        <f t="shared" si="74"/>
        <v>596.92551396642011</v>
      </c>
      <c r="AY203" s="20">
        <f t="shared" si="75"/>
        <v>17.248897574035947</v>
      </c>
      <c r="AZ203" s="20"/>
      <c r="BA203" s="20">
        <f t="shared" si="76"/>
        <v>-665.72185154957265</v>
      </c>
      <c r="BB203" s="20">
        <f t="shared" si="77"/>
        <v>165.8903698562608</v>
      </c>
      <c r="BC203" s="20"/>
      <c r="BD203" s="20">
        <f t="shared" si="78"/>
        <v>70.318033276456035</v>
      </c>
      <c r="BE203" s="20">
        <f t="shared" si="79"/>
        <v>-824.17476482600853</v>
      </c>
      <c r="BF203" s="20"/>
      <c r="BG203" s="54">
        <f t="shared" si="80"/>
        <v>26864.688904884872</v>
      </c>
      <c r="BH203" s="54">
        <f t="shared" si="81"/>
        <v>13548.539775778328</v>
      </c>
      <c r="BI203" s="54">
        <f t="shared" si="82"/>
        <v>21802.961095537987</v>
      </c>
      <c r="BJ203" s="20"/>
    </row>
    <row r="204" spans="1:62" x14ac:dyDescent="0.3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K204">
        <v>200</v>
      </c>
      <c r="AL204">
        <v>100</v>
      </c>
      <c r="AN204" s="48">
        <f t="shared" si="83"/>
        <v>-3554.319591125633</v>
      </c>
      <c r="AO204" s="48">
        <f t="shared" si="84"/>
        <v>4183.1020181491995</v>
      </c>
      <c r="AP204" s="20"/>
      <c r="AQ204" s="50">
        <f t="shared" si="85"/>
        <v>6598.7012845974459</v>
      </c>
      <c r="AR204" s="50">
        <f t="shared" si="86"/>
        <v>-5242.1261114031113</v>
      </c>
      <c r="AS204" s="20"/>
      <c r="AT204" s="52">
        <f t="shared" si="72"/>
        <v>198.83077734146053</v>
      </c>
      <c r="AU204" s="52">
        <f t="shared" si="73"/>
        <v>-727.09628959588701</v>
      </c>
      <c r="AV204" s="20"/>
      <c r="AW204" s="20"/>
      <c r="AX204" s="20">
        <f t="shared" si="74"/>
        <v>717.87013111199224</v>
      </c>
      <c r="AY204" s="20">
        <f t="shared" si="75"/>
        <v>101.08982260788568</v>
      </c>
      <c r="AZ204" s="20"/>
      <c r="BA204" s="20">
        <f t="shared" si="76"/>
        <v>-444.76971291207025</v>
      </c>
      <c r="BB204" s="20">
        <f t="shared" si="77"/>
        <v>157.31669235348241</v>
      </c>
      <c r="BC204" s="20"/>
      <c r="BD204" s="20">
        <f t="shared" si="78"/>
        <v>-74.269640858461443</v>
      </c>
      <c r="BE204" s="20">
        <f t="shared" si="79"/>
        <v>-985.5028045572551</v>
      </c>
      <c r="BF204" s="20"/>
      <c r="BG204" s="54">
        <f t="shared" si="80"/>
        <v>23786.714435223937</v>
      </c>
      <c r="BH204" s="54">
        <f t="shared" si="81"/>
        <v>17444.102334086845</v>
      </c>
      <c r="BI204" s="54">
        <f t="shared" si="82"/>
        <v>19237.499704569796</v>
      </c>
      <c r="BJ204" s="20"/>
    </row>
    <row r="205" spans="1:62" x14ac:dyDescent="0.3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K205">
        <v>201</v>
      </c>
      <c r="AL205">
        <v>100.5</v>
      </c>
      <c r="AN205" s="48">
        <f t="shared" si="83"/>
        <v>-230.11510165922746</v>
      </c>
      <c r="AO205" s="48">
        <f t="shared" si="84"/>
        <v>1471.1519262481579</v>
      </c>
      <c r="AP205" s="20"/>
      <c r="AQ205" s="50">
        <f t="shared" si="85"/>
        <v>6698.1166732681759</v>
      </c>
      <c r="AR205" s="50">
        <f t="shared" si="86"/>
        <v>-5605.674256201055</v>
      </c>
      <c r="AS205" s="20"/>
      <c r="AT205" s="52">
        <f t="shared" si="72"/>
        <v>205.92195934381346</v>
      </c>
      <c r="AU205" s="52">
        <f t="shared" si="73"/>
        <v>-722.85998960159168</v>
      </c>
      <c r="AV205" s="20"/>
      <c r="AW205" s="20"/>
      <c r="AX205" s="20">
        <f t="shared" si="74"/>
        <v>831.15109561287466</v>
      </c>
      <c r="AY205" s="20">
        <f t="shared" si="75"/>
        <v>247.69427443205362</v>
      </c>
      <c r="AZ205" s="20"/>
      <c r="BA205" s="20">
        <f t="shared" si="76"/>
        <v>-305.94418250563768</v>
      </c>
      <c r="BB205" s="20">
        <f t="shared" si="77"/>
        <v>131.98617316470995</v>
      </c>
      <c r="BC205" s="20"/>
      <c r="BD205" s="20">
        <f t="shared" si="78"/>
        <v>-319.28495376342346</v>
      </c>
      <c r="BE205" s="20">
        <f t="shared" si="79"/>
        <v>-1102.5404371983552</v>
      </c>
      <c r="BF205" s="20"/>
      <c r="BG205" s="54">
        <f t="shared" si="80"/>
        <v>21109.347837457273</v>
      </c>
      <c r="BH205" s="54">
        <f t="shared" si="81"/>
        <v>21531.130912211349</v>
      </c>
      <c r="BI205" s="54">
        <f t="shared" si="82"/>
        <v>17147.905053415936</v>
      </c>
      <c r="BJ205" s="20"/>
    </row>
    <row r="206" spans="1:62" x14ac:dyDescent="0.3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K206">
        <v>202</v>
      </c>
      <c r="AL206">
        <v>101</v>
      </c>
      <c r="AN206" s="48">
        <f t="shared" si="83"/>
        <v>3144.6834798928371</v>
      </c>
      <c r="AO206" s="48">
        <f t="shared" si="84"/>
        <v>-1422.0427005525685</v>
      </c>
      <c r="AP206" s="20"/>
      <c r="AQ206" s="50">
        <f t="shared" si="85"/>
        <v>6801.0776529400828</v>
      </c>
      <c r="AR206" s="50">
        <f t="shared" si="86"/>
        <v>-5967.1042510018506</v>
      </c>
      <c r="AS206" s="20"/>
      <c r="AT206" s="52">
        <f t="shared" si="72"/>
        <v>17.146123605401954</v>
      </c>
      <c r="AU206" s="52">
        <f t="shared" si="73"/>
        <v>-507.4116617769032</v>
      </c>
      <c r="AV206" s="20"/>
      <c r="AW206" s="20"/>
      <c r="AX206" s="20">
        <f t="shared" si="74"/>
        <v>883.83971277182582</v>
      </c>
      <c r="AY206" s="20">
        <f t="shared" si="75"/>
        <v>467.84381939000292</v>
      </c>
      <c r="AZ206" s="20"/>
      <c r="BA206" s="20">
        <f t="shared" si="76"/>
        <v>-217.34912673953465</v>
      </c>
      <c r="BB206" s="20">
        <f t="shared" si="77"/>
        <v>107.26312194779133</v>
      </c>
      <c r="BC206" s="20"/>
      <c r="BD206" s="20">
        <f t="shared" si="78"/>
        <v>-649.34446242688921</v>
      </c>
      <c r="BE206" s="20">
        <f t="shared" si="79"/>
        <v>-1082.5186031146975</v>
      </c>
      <c r="BF206" s="20"/>
      <c r="BG206" s="54">
        <f t="shared" si="80"/>
        <v>19071.039325204089</v>
      </c>
      <c r="BH206" s="54">
        <f t="shared" si="81"/>
        <v>25809.677116106483</v>
      </c>
      <c r="BI206" s="54">
        <f t="shared" si="82"/>
        <v>15833.407511122079</v>
      </c>
      <c r="BJ206" s="20"/>
    </row>
    <row r="207" spans="1:62" x14ac:dyDescent="0.3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K207">
        <v>203</v>
      </c>
      <c r="AL207">
        <v>101.5</v>
      </c>
      <c r="AN207" s="48">
        <f t="shared" si="83"/>
        <v>6547.3655718135542</v>
      </c>
      <c r="AO207" s="48">
        <f t="shared" si="84"/>
        <v>-4469.0212837756062</v>
      </c>
      <c r="AP207" s="20"/>
      <c r="AQ207" s="50">
        <f t="shared" si="85"/>
        <v>6809.6507147427837</v>
      </c>
      <c r="AR207" s="50">
        <f t="shared" si="86"/>
        <v>-6220.8100818903022</v>
      </c>
      <c r="AS207" s="20"/>
      <c r="AT207" s="52">
        <f t="shared" si="72"/>
        <v>-300.02503928713145</v>
      </c>
      <c r="AU207" s="52">
        <f t="shared" si="73"/>
        <v>-59.153691079724126</v>
      </c>
      <c r="AV207" s="20"/>
      <c r="AW207" s="20"/>
      <c r="AX207" s="20">
        <f t="shared" si="74"/>
        <v>806.12539360867152</v>
      </c>
      <c r="AY207" s="20">
        <f t="shared" si="75"/>
        <v>717.2224923676082</v>
      </c>
      <c r="AZ207" s="20"/>
      <c r="BA207" s="20">
        <f t="shared" si="76"/>
        <v>-159.51327072876069</v>
      </c>
      <c r="BB207" s="20">
        <f t="shared" si="77"/>
        <v>86.938980931109782</v>
      </c>
      <c r="BC207" s="20"/>
      <c r="BD207" s="20">
        <f t="shared" si="78"/>
        <v>-946.63716216704233</v>
      </c>
      <c r="BE207" s="20">
        <f t="shared" si="79"/>
        <v>-863.31516437844209</v>
      </c>
      <c r="BF207" s="20"/>
      <c r="BG207" s="54">
        <f t="shared" si="80"/>
        <v>18006.411179074545</v>
      </c>
      <c r="BH207" s="54">
        <f t="shared" si="81"/>
        <v>30234.338023410786</v>
      </c>
      <c r="BI207" s="54">
        <f t="shared" si="82"/>
        <v>15628.28091540065</v>
      </c>
      <c r="BJ207" s="20"/>
    </row>
    <row r="208" spans="1:62" x14ac:dyDescent="0.3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K208">
        <v>204</v>
      </c>
      <c r="AL208">
        <v>102</v>
      </c>
      <c r="AN208" s="48">
        <f t="shared" si="83"/>
        <v>9914.6877992740538</v>
      </c>
      <c r="AO208" s="48">
        <f t="shared" si="84"/>
        <v>-7586.8205361057226</v>
      </c>
      <c r="AP208" s="20"/>
      <c r="AQ208" s="50">
        <f t="shared" si="85"/>
        <v>6659.6381950992181</v>
      </c>
      <c r="AR208" s="50">
        <f t="shared" si="86"/>
        <v>-6250.3869274301642</v>
      </c>
      <c r="AS208" s="20"/>
      <c r="AT208" s="52">
        <f t="shared" si="72"/>
        <v>-592.6187318542585</v>
      </c>
      <c r="AU208" s="52">
        <f t="shared" si="73"/>
        <v>429.78928081042352</v>
      </c>
      <c r="AV208" s="20"/>
      <c r="AW208" s="20"/>
      <c r="AX208" s="20">
        <f t="shared" si="74"/>
        <v>593.61883919618469</v>
      </c>
      <c r="AY208" s="20">
        <f t="shared" si="75"/>
        <v>888.00631210599477</v>
      </c>
      <c r="AZ208" s="20"/>
      <c r="BA208" s="20">
        <f t="shared" si="76"/>
        <v>-121.10289849383413</v>
      </c>
      <c r="BB208" s="20">
        <f t="shared" si="77"/>
        <v>71.196295161234261</v>
      </c>
      <c r="BC208" s="20"/>
      <c r="BD208" s="20">
        <f t="shared" si="78"/>
        <v>-1065.1346725566091</v>
      </c>
      <c r="BE208" s="20">
        <f t="shared" si="79"/>
        <v>-529.41332645680552</v>
      </c>
      <c r="BF208" s="20"/>
      <c r="BG208" s="54">
        <f t="shared" si="80"/>
        <v>18147.332478212134</v>
      </c>
      <c r="BH208" s="54">
        <f t="shared" si="81"/>
        <v>34701.366006214019</v>
      </c>
      <c r="BI208" s="54">
        <f t="shared" si="82"/>
        <v>16655.423798682463</v>
      </c>
      <c r="BJ208" s="20"/>
    </row>
    <row r="209" spans="1:62" x14ac:dyDescent="0.3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K209">
        <v>205</v>
      </c>
      <c r="AL209">
        <v>102.5</v>
      </c>
      <c r="AN209" s="48">
        <f t="shared" si="83"/>
        <v>13170.42955534188</v>
      </c>
      <c r="AO209" s="48">
        <f t="shared" si="84"/>
        <v>-10658.290339719502</v>
      </c>
      <c r="AP209" s="20"/>
      <c r="AQ209" s="50">
        <f t="shared" si="85"/>
        <v>6363.3288291720892</v>
      </c>
      <c r="AR209" s="50">
        <f t="shared" si="86"/>
        <v>-6035.492287024952</v>
      </c>
      <c r="AS209" s="20"/>
      <c r="AT209" s="52">
        <f t="shared" si="72"/>
        <v>-751.21102556120513</v>
      </c>
      <c r="AU209" s="52">
        <f t="shared" si="73"/>
        <v>734.82238336846638</v>
      </c>
      <c r="AV209" s="20"/>
      <c r="AW209" s="20"/>
      <c r="AX209" s="20">
        <f t="shared" si="74"/>
        <v>343.93798062522148</v>
      </c>
      <c r="AY209" s="20">
        <f t="shared" si="75"/>
        <v>914.45366317796675</v>
      </c>
      <c r="AZ209" s="20"/>
      <c r="BA209" s="20">
        <f t="shared" si="76"/>
        <v>-95.212070679215188</v>
      </c>
      <c r="BB209" s="20">
        <f t="shared" si="77"/>
        <v>59.297350872574476</v>
      </c>
      <c r="BC209" s="20"/>
      <c r="BD209" s="20">
        <f t="shared" si="78"/>
        <v>-999.93693550721139</v>
      </c>
      <c r="BE209" s="20">
        <f t="shared" si="79"/>
        <v>-238.92863068207484</v>
      </c>
      <c r="BF209" s="20"/>
      <c r="BG209" s="54">
        <f t="shared" si="80"/>
        <v>19400.168569373265</v>
      </c>
      <c r="BH209" s="54">
        <f t="shared" si="81"/>
        <v>39077.389327410885</v>
      </c>
      <c r="BI209" s="54">
        <f t="shared" si="82"/>
        <v>18681.9418958473</v>
      </c>
      <c r="BJ209" s="20"/>
    </row>
    <row r="210" spans="1:62" x14ac:dyDescent="0.3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K210">
        <v>206</v>
      </c>
      <c r="AL210">
        <v>103</v>
      </c>
      <c r="AN210" s="48">
        <f t="shared" si="83"/>
        <v>16258.192591732774</v>
      </c>
      <c r="AO210" s="48">
        <f t="shared" si="84"/>
        <v>-13584.183685310922</v>
      </c>
      <c r="AP210" s="20"/>
      <c r="AQ210" s="50">
        <f t="shared" si="85"/>
        <v>5987.7233163914862</v>
      </c>
      <c r="AR210" s="50">
        <f t="shared" si="86"/>
        <v>-5668.081095340719</v>
      </c>
      <c r="AS210" s="20"/>
      <c r="AT210" s="52">
        <f t="shared" ref="AT210:AT273" si="87">AX210+BA210+BD210</f>
        <v>-782.79580970159975</v>
      </c>
      <c r="AU210" s="52">
        <f t="shared" ref="AU210:AU273" si="88">AY210+BB210+BE210</f>
        <v>829.8004172241524</v>
      </c>
      <c r="AV210" s="20"/>
      <c r="AW210" s="20"/>
      <c r="AX210" s="20">
        <f t="shared" si="74"/>
        <v>148.42055618038336</v>
      </c>
      <c r="AY210" s="20">
        <f t="shared" si="75"/>
        <v>836.31409309554874</v>
      </c>
      <c r="AZ210" s="20"/>
      <c r="BA210" s="20">
        <f t="shared" si="76"/>
        <v>-77.408931968768712</v>
      </c>
      <c r="BB210" s="20">
        <f t="shared" si="77"/>
        <v>50.350730136819863</v>
      </c>
      <c r="BC210" s="20"/>
      <c r="BD210" s="20">
        <f t="shared" si="78"/>
        <v>-853.80743391321437</v>
      </c>
      <c r="BE210" s="20">
        <f t="shared" si="79"/>
        <v>-56.864406008216179</v>
      </c>
      <c r="BF210" s="20"/>
      <c r="BG210" s="54">
        <f t="shared" si="80"/>
        <v>21413.638746287252</v>
      </c>
      <c r="BH210" s="54">
        <f t="shared" si="81"/>
        <v>43253.557658551872</v>
      </c>
      <c r="BI210" s="54">
        <f t="shared" si="82"/>
        <v>21305.287796792185</v>
      </c>
      <c r="BJ210" s="20"/>
    </row>
    <row r="211" spans="1:62" x14ac:dyDescent="0.3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K211">
        <v>207</v>
      </c>
      <c r="AL211">
        <v>103.5</v>
      </c>
      <c r="AN211" s="48">
        <f t="shared" si="83"/>
        <v>19154.204773715814</v>
      </c>
      <c r="AO211" s="48">
        <f t="shared" si="84"/>
        <v>-16314.499180828261</v>
      </c>
      <c r="AP211" s="20"/>
      <c r="AQ211" s="50">
        <f t="shared" si="85"/>
        <v>5596.3254115406862</v>
      </c>
      <c r="AR211" s="50">
        <f t="shared" si="86"/>
        <v>-5253.1808867286427</v>
      </c>
      <c r="AS211" s="20"/>
      <c r="AT211" s="52">
        <f t="shared" si="87"/>
        <v>-744.36067148215363</v>
      </c>
      <c r="AU211" s="52">
        <f t="shared" si="88"/>
        <v>804.42454178333969</v>
      </c>
      <c r="AV211" s="20"/>
      <c r="AW211" s="20"/>
      <c r="AX211" s="20">
        <f t="shared" si="74"/>
        <v>25.659583991476744</v>
      </c>
      <c r="AY211" s="20">
        <f t="shared" si="75"/>
        <v>722.4800081102585</v>
      </c>
      <c r="AZ211" s="20"/>
      <c r="BA211" s="20">
        <f t="shared" si="76"/>
        <v>-64.824759709062562</v>
      </c>
      <c r="BB211" s="20">
        <f t="shared" si="77"/>
        <v>43.566996089437588</v>
      </c>
      <c r="BC211" s="20"/>
      <c r="BD211" s="20">
        <f t="shared" si="78"/>
        <v>-705.1954957645678</v>
      </c>
      <c r="BE211" s="20">
        <f t="shared" si="79"/>
        <v>38.377537583643672</v>
      </c>
      <c r="BF211" s="20"/>
      <c r="BG211" s="54">
        <f t="shared" si="80"/>
        <v>23829.514069709334</v>
      </c>
      <c r="BH211" s="54">
        <f t="shared" si="81"/>
        <v>47175.254303499853</v>
      </c>
      <c r="BI211" s="54">
        <f t="shared" si="82"/>
        <v>24189.946596613103</v>
      </c>
      <c r="BJ211" s="20"/>
    </row>
    <row r="212" spans="1:62" x14ac:dyDescent="0.3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K212">
        <v>208</v>
      </c>
      <c r="AL212">
        <v>104</v>
      </c>
      <c r="AN212" s="48">
        <f t="shared" si="83"/>
        <v>21859.322395550887</v>
      </c>
      <c r="AO212" s="48">
        <f t="shared" si="84"/>
        <v>-18840.536556469666</v>
      </c>
      <c r="AP212" s="20"/>
      <c r="AQ212" s="50">
        <f t="shared" si="85"/>
        <v>5224.145075799609</v>
      </c>
      <c r="AR212" s="50">
        <f t="shared" si="86"/>
        <v>-4850.9686158369732</v>
      </c>
      <c r="AS212" s="20"/>
      <c r="AT212" s="52">
        <f t="shared" si="87"/>
        <v>-680.52209692617305</v>
      </c>
      <c r="AU212" s="52">
        <f t="shared" si="88"/>
        <v>734.14485121689199</v>
      </c>
      <c r="AV212" s="20"/>
      <c r="AW212" s="20"/>
      <c r="AX212" s="20">
        <f t="shared" si="74"/>
        <v>-43.245034223519546</v>
      </c>
      <c r="AY212" s="20">
        <f t="shared" si="75"/>
        <v>612.64114689098994</v>
      </c>
      <c r="AZ212" s="20"/>
      <c r="BA212" s="20">
        <f t="shared" si="76"/>
        <v>-55.643410286486507</v>
      </c>
      <c r="BB212" s="20">
        <f t="shared" si="77"/>
        <v>38.337596421881464</v>
      </c>
      <c r="BC212" s="20"/>
      <c r="BD212" s="20">
        <f t="shared" si="78"/>
        <v>-581.63365241616702</v>
      </c>
      <c r="BE212" s="20">
        <f t="shared" si="79"/>
        <v>83.166107904020535</v>
      </c>
      <c r="BF212" s="20"/>
      <c r="BG212" s="54">
        <f t="shared" si="80"/>
        <v>26406.07782032977</v>
      </c>
      <c r="BH212" s="54">
        <f t="shared" si="81"/>
        <v>50832.857683586226</v>
      </c>
      <c r="BI212" s="54">
        <f t="shared" si="82"/>
        <v>27132.506714082305</v>
      </c>
      <c r="BJ212" s="20"/>
    </row>
    <row r="213" spans="1:62" x14ac:dyDescent="0.3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K213">
        <v>209</v>
      </c>
      <c r="AL213">
        <v>104.5</v>
      </c>
      <c r="AN213" s="48">
        <f t="shared" si="83"/>
        <v>24386.329671334919</v>
      </c>
      <c r="AO213" s="48">
        <f t="shared" si="84"/>
        <v>-21174.25275798604</v>
      </c>
      <c r="AP213" s="20"/>
      <c r="AQ213" s="50">
        <f t="shared" si="85"/>
        <v>4883.8840273365222</v>
      </c>
      <c r="AR213" s="50">
        <f t="shared" si="86"/>
        <v>-4483.8961902285273</v>
      </c>
      <c r="AS213" s="20"/>
      <c r="AT213" s="52">
        <f t="shared" si="87"/>
        <v>-613.58576077244288</v>
      </c>
      <c r="AU213" s="52">
        <f t="shared" si="88"/>
        <v>655.94953693666446</v>
      </c>
      <c r="AV213" s="20"/>
      <c r="AW213" s="20"/>
      <c r="AX213" s="20">
        <f t="shared" si="74"/>
        <v>-79.506413345585599</v>
      </c>
      <c r="AY213" s="20">
        <f t="shared" si="75"/>
        <v>519.74820931743011</v>
      </c>
      <c r="AZ213" s="20"/>
      <c r="BA213" s="20">
        <f t="shared" si="76"/>
        <v>-48.73283183300876</v>
      </c>
      <c r="BB213" s="20">
        <f t="shared" si="77"/>
        <v>34.226970971104237</v>
      </c>
      <c r="BC213" s="20"/>
      <c r="BD213" s="20">
        <f t="shared" si="78"/>
        <v>-485.34651559384849</v>
      </c>
      <c r="BE213" s="20">
        <f t="shared" si="79"/>
        <v>101.97435664813007</v>
      </c>
      <c r="BF213" s="20"/>
      <c r="BG213" s="54">
        <f t="shared" si="80"/>
        <v>29007.803419330172</v>
      </c>
      <c r="BH213" s="54">
        <f t="shared" si="81"/>
        <v>54240.024859057972</v>
      </c>
      <c r="BI213" s="54">
        <f t="shared" si="82"/>
        <v>30027.949791350678</v>
      </c>
      <c r="BJ213" s="20"/>
    </row>
    <row r="214" spans="1:62" x14ac:dyDescent="0.3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K214">
        <v>210</v>
      </c>
      <c r="AL214">
        <v>105</v>
      </c>
      <c r="AN214" s="48">
        <f t="shared" si="83"/>
        <v>26751.573464906625</v>
      </c>
      <c r="AO214" s="48">
        <f t="shared" si="84"/>
        <v>-23334.20716098322</v>
      </c>
      <c r="AP214" s="20"/>
      <c r="AQ214" s="50">
        <f t="shared" si="85"/>
        <v>4577.0911469503008</v>
      </c>
      <c r="AR214" s="50">
        <f t="shared" si="86"/>
        <v>-4155.9214217601948</v>
      </c>
      <c r="AS214" s="20"/>
      <c r="AT214" s="52">
        <f t="shared" si="87"/>
        <v>-552.15955001075884</v>
      </c>
      <c r="AU214" s="52">
        <f t="shared" si="88"/>
        <v>583.66774939394816</v>
      </c>
      <c r="AV214" s="20"/>
      <c r="AW214" s="20"/>
      <c r="AX214" s="20">
        <f t="shared" si="74"/>
        <v>-97.384634633669648</v>
      </c>
      <c r="AY214" s="20">
        <f t="shared" si="75"/>
        <v>444.75232539482704</v>
      </c>
      <c r="AZ214" s="20"/>
      <c r="BA214" s="20">
        <f t="shared" si="76"/>
        <v>-43.383404475984662</v>
      </c>
      <c r="BB214" s="20">
        <f t="shared" si="77"/>
        <v>30.932678516942989</v>
      </c>
      <c r="BC214" s="20"/>
      <c r="BD214" s="20">
        <f t="shared" si="78"/>
        <v>-411.39151090110454</v>
      </c>
      <c r="BE214" s="20">
        <f t="shared" si="79"/>
        <v>107.98274548217809</v>
      </c>
      <c r="BF214" s="20"/>
      <c r="BG214" s="54">
        <f t="shared" si="80"/>
        <v>31564.728345076252</v>
      </c>
      <c r="BH214" s="54">
        <f t="shared" si="81"/>
        <v>57418.455121118561</v>
      </c>
      <c r="BI214" s="54">
        <f t="shared" si="82"/>
        <v>32827.144659557991</v>
      </c>
      <c r="BJ214" s="20"/>
    </row>
    <row r="215" spans="1:62" x14ac:dyDescent="0.3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K215">
        <v>211</v>
      </c>
      <c r="AL215">
        <v>105.5</v>
      </c>
      <c r="AN215" s="48">
        <f t="shared" si="83"/>
        <v>28971.09909463043</v>
      </c>
      <c r="AO215" s="48">
        <f t="shared" si="84"/>
        <v>-25339.209403189077</v>
      </c>
      <c r="AP215" s="20"/>
      <c r="AQ215" s="50">
        <f t="shared" si="85"/>
        <v>4301.0113719449209</v>
      </c>
      <c r="AR215" s="50">
        <f t="shared" si="86"/>
        <v>-3864.0875470632209</v>
      </c>
      <c r="AS215" s="20"/>
      <c r="AT215" s="52">
        <f t="shared" si="87"/>
        <v>-498.58773361655574</v>
      </c>
      <c r="AU215" s="52">
        <f t="shared" si="88"/>
        <v>521.02567801637497</v>
      </c>
      <c r="AV215" s="20"/>
      <c r="AW215" s="20"/>
      <c r="AX215" s="20">
        <f t="shared" si="74"/>
        <v>-105.16237337859516</v>
      </c>
      <c r="AY215" s="20">
        <f t="shared" si="75"/>
        <v>384.95274261133437</v>
      </c>
      <c r="AZ215" s="20"/>
      <c r="BA215" s="20">
        <f t="shared" si="76"/>
        <v>-39.14079725456341</v>
      </c>
      <c r="BB215" s="20">
        <f t="shared" si="77"/>
        <v>28.245329509838378</v>
      </c>
      <c r="BC215" s="20"/>
      <c r="BD215" s="20">
        <f t="shared" si="78"/>
        <v>-354.28456298339717</v>
      </c>
      <c r="BE215" s="20">
        <f t="shared" si="79"/>
        <v>107.82760589520228</v>
      </c>
      <c r="BF215" s="20"/>
      <c r="BG215" s="54">
        <f t="shared" si="80"/>
        <v>34042.536527000753</v>
      </c>
      <c r="BH215" s="54">
        <f t="shared" si="81"/>
        <v>60390.630629084844</v>
      </c>
      <c r="BI215" s="54">
        <f t="shared" si="82"/>
        <v>35509.644109455592</v>
      </c>
      <c r="BJ215" s="20"/>
    </row>
    <row r="216" spans="1:62" x14ac:dyDescent="0.3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K216">
        <v>212</v>
      </c>
      <c r="AL216">
        <v>106</v>
      </c>
      <c r="AN216" s="48">
        <f t="shared" si="83"/>
        <v>31059.281313900821</v>
      </c>
      <c r="AO216" s="48">
        <f t="shared" si="84"/>
        <v>-27206.124966968644</v>
      </c>
      <c r="AP216" s="20"/>
      <c r="AQ216" s="50">
        <f t="shared" si="85"/>
        <v>4051.717505136643</v>
      </c>
      <c r="AR216" s="50">
        <f t="shared" si="86"/>
        <v>-3603.5747080550336</v>
      </c>
      <c r="AS216" s="20"/>
      <c r="AT216" s="52">
        <f t="shared" si="87"/>
        <v>-452.7667538727834</v>
      </c>
      <c r="AU216" s="52">
        <f t="shared" si="88"/>
        <v>467.99570880433839</v>
      </c>
      <c r="AV216" s="20"/>
      <c r="AW216" s="20"/>
      <c r="AX216" s="20">
        <f t="shared" si="74"/>
        <v>-107.4411036127223</v>
      </c>
      <c r="AY216" s="20">
        <f t="shared" si="75"/>
        <v>337.17058665333144</v>
      </c>
      <c r="AZ216" s="20"/>
      <c r="BA216" s="20">
        <f t="shared" si="76"/>
        <v>-35.705869388441393</v>
      </c>
      <c r="BB216" s="20">
        <f t="shared" si="77"/>
        <v>26.018326234430067</v>
      </c>
      <c r="BC216" s="20"/>
      <c r="BD216" s="20">
        <f t="shared" si="78"/>
        <v>-309.6197808716197</v>
      </c>
      <c r="BE216" s="20">
        <f t="shared" si="79"/>
        <v>104.80679591657687</v>
      </c>
      <c r="BF216" s="20"/>
      <c r="BG216" s="54">
        <f t="shared" si="80"/>
        <v>36425.579108681857</v>
      </c>
      <c r="BH216" s="54">
        <f t="shared" si="81"/>
        <v>63177.0998333237</v>
      </c>
      <c r="BI216" s="54">
        <f t="shared" si="82"/>
        <v>38069.164104092073</v>
      </c>
      <c r="BJ216" s="20"/>
    </row>
    <row r="217" spans="1:62" x14ac:dyDescent="0.3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K217">
        <v>213</v>
      </c>
      <c r="AL217">
        <v>106.5</v>
      </c>
      <c r="AN217" s="48">
        <f t="shared" si="83"/>
        <v>33028.544222235047</v>
      </c>
      <c r="AO217" s="48">
        <f t="shared" si="84"/>
        <v>-28949.412857395619</v>
      </c>
      <c r="AP217" s="20"/>
      <c r="AQ217" s="50">
        <f t="shared" si="85"/>
        <v>3825.3341282002511</v>
      </c>
      <c r="AR217" s="50">
        <f t="shared" si="86"/>
        <v>-3369.5768536528644</v>
      </c>
      <c r="AS217" s="20"/>
      <c r="AT217" s="52">
        <f t="shared" si="87"/>
        <v>-413.79344788430075</v>
      </c>
      <c r="AU217" s="52">
        <f t="shared" si="88"/>
        <v>423.38862203534705</v>
      </c>
      <c r="AV217" s="20"/>
      <c r="AW217" s="20"/>
      <c r="AX217" s="20">
        <f t="shared" si="74"/>
        <v>-106.75936438913548</v>
      </c>
      <c r="AY217" s="20">
        <f t="shared" si="75"/>
        <v>298.67620531015729</v>
      </c>
      <c r="AZ217" s="20"/>
      <c r="BA217" s="20">
        <f t="shared" si="76"/>
        <v>-32.875806960925793</v>
      </c>
      <c r="BB217" s="20">
        <f t="shared" si="77"/>
        <v>24.1472474329066</v>
      </c>
      <c r="BC217" s="20"/>
      <c r="BD217" s="20">
        <f t="shared" si="78"/>
        <v>-274.15827653423946</v>
      </c>
      <c r="BE217" s="20">
        <f t="shared" si="79"/>
        <v>100.56516929228313</v>
      </c>
      <c r="BF217" s="20"/>
      <c r="BG217" s="54">
        <f t="shared" si="80"/>
        <v>38707.914722955713</v>
      </c>
      <c r="BH217" s="54">
        <f t="shared" si="81"/>
        <v>65795.769349293216</v>
      </c>
      <c r="BI217" s="54">
        <f t="shared" si="82"/>
        <v>40506.250069940572</v>
      </c>
      <c r="BJ217" s="20"/>
    </row>
    <row r="218" spans="1:62" x14ac:dyDescent="0.3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K218">
        <v>214</v>
      </c>
      <c r="AL218">
        <v>107</v>
      </c>
      <c r="AN218" s="48">
        <f t="shared" si="83"/>
        <v>34889.487105349632</v>
      </c>
      <c r="AO218" s="48">
        <f t="shared" si="84"/>
        <v>-30581.27770646763</v>
      </c>
      <c r="AP218" s="20"/>
      <c r="AQ218" s="50">
        <f t="shared" si="85"/>
        <v>3618.4374042581007</v>
      </c>
      <c r="AR218" s="50">
        <f t="shared" si="86"/>
        <v>-3157.8825426351909</v>
      </c>
      <c r="AS218" s="20"/>
      <c r="AT218" s="52">
        <f t="shared" si="87"/>
        <v>-380.6141368259855</v>
      </c>
      <c r="AU218" s="52">
        <f t="shared" si="88"/>
        <v>385.81855551917954</v>
      </c>
      <c r="AV218" s="20"/>
      <c r="AW218" s="20"/>
      <c r="AX218" s="20">
        <f t="shared" si="74"/>
        <v>-104.52657094232543</v>
      </c>
      <c r="AY218" s="20">
        <f t="shared" si="75"/>
        <v>267.33663474071801</v>
      </c>
      <c r="AZ218" s="20"/>
      <c r="BA218" s="20">
        <f t="shared" si="76"/>
        <v>-30.509209178119942</v>
      </c>
      <c r="BB218" s="20">
        <f t="shared" si="77"/>
        <v>22.556280911965903</v>
      </c>
      <c r="BC218" s="20"/>
      <c r="BD218" s="20">
        <f t="shared" si="78"/>
        <v>-245.57835670554016</v>
      </c>
      <c r="BE218" s="20">
        <f t="shared" si="79"/>
        <v>95.925639866495601</v>
      </c>
      <c r="BF218" s="20"/>
      <c r="BG218" s="54">
        <f t="shared" si="80"/>
        <v>40888.635805288024</v>
      </c>
      <c r="BH218" s="54">
        <f t="shared" si="81"/>
        <v>68261.965214735726</v>
      </c>
      <c r="BI218" s="54">
        <f t="shared" si="82"/>
        <v>42824.612041370783</v>
      </c>
      <c r="BJ218" s="20"/>
    </row>
    <row r="219" spans="1:62" x14ac:dyDescent="0.3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K219">
        <v>215</v>
      </c>
      <c r="AL219">
        <v>107.5</v>
      </c>
      <c r="AN219" s="48">
        <f t="shared" si="83"/>
        <v>36651.129040375432</v>
      </c>
      <c r="AO219" s="48">
        <f t="shared" si="84"/>
        <v>-32111.991658345327</v>
      </c>
      <c r="AP219" s="20"/>
      <c r="AQ219" s="50">
        <f t="shared" si="85"/>
        <v>3428.1303358451078</v>
      </c>
      <c r="AR219" s="50">
        <f t="shared" si="86"/>
        <v>-2964.9732648756012</v>
      </c>
      <c r="AS219" s="20"/>
      <c r="AT219" s="52">
        <f t="shared" si="87"/>
        <v>-352.25519621475183</v>
      </c>
      <c r="AU219" s="52">
        <f t="shared" si="88"/>
        <v>354.02455143852308</v>
      </c>
      <c r="AV219" s="20"/>
      <c r="AW219" s="20"/>
      <c r="AX219" s="20">
        <f t="shared" si="74"/>
        <v>-101.53229709151219</v>
      </c>
      <c r="AY219" s="20">
        <f t="shared" si="75"/>
        <v>241.53896685860644</v>
      </c>
      <c r="AZ219" s="20"/>
      <c r="BA219" s="20">
        <f t="shared" si="76"/>
        <v>-28.504938328740337</v>
      </c>
      <c r="BB219" s="20">
        <f t="shared" si="77"/>
        <v>21.189334536757997</v>
      </c>
      <c r="BC219" s="20"/>
      <c r="BD219" s="20">
        <f t="shared" si="78"/>
        <v>-222.21796079449931</v>
      </c>
      <c r="BE219" s="20">
        <f t="shared" si="79"/>
        <v>91.296250043158622</v>
      </c>
      <c r="BF219" s="20"/>
      <c r="BG219" s="54">
        <f t="shared" si="80"/>
        <v>42969.407506504605</v>
      </c>
      <c r="BH219" s="54">
        <f t="shared" si="81"/>
        <v>70588.740341373254</v>
      </c>
      <c r="BI219" s="54">
        <f t="shared" si="82"/>
        <v>45029.288344957058</v>
      </c>
      <c r="BJ219" s="20"/>
    </row>
    <row r="220" spans="1:62" x14ac:dyDescent="0.3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K220">
        <v>216</v>
      </c>
      <c r="AL220">
        <v>108</v>
      </c>
      <c r="AN220" s="48">
        <f t="shared" si="83"/>
        <v>38321.162308771141</v>
      </c>
      <c r="AO220" s="48">
        <f t="shared" si="84"/>
        <v>-33550.22522185331</v>
      </c>
      <c r="AP220" s="20"/>
      <c r="AQ220" s="50">
        <f t="shared" si="85"/>
        <v>3252.0027377377319</v>
      </c>
      <c r="AR220" s="50">
        <f t="shared" si="86"/>
        <v>-2787.9609891563396</v>
      </c>
      <c r="AS220" s="20"/>
      <c r="AT220" s="52">
        <f t="shared" si="87"/>
        <v>-327.88733916604565</v>
      </c>
      <c r="AU220" s="52">
        <f t="shared" si="88"/>
        <v>326.95061879328279</v>
      </c>
      <c r="AV220" s="20"/>
      <c r="AW220" s="20"/>
      <c r="AX220" s="20">
        <f t="shared" si="74"/>
        <v>-98.221458605320677</v>
      </c>
      <c r="AY220" s="20">
        <f t="shared" si="75"/>
        <v>220.07408315121222</v>
      </c>
      <c r="AZ220" s="20"/>
      <c r="BA220" s="20">
        <f t="shared" si="76"/>
        <v>-26.788972878980971</v>
      </c>
      <c r="BB220" s="20">
        <f t="shared" si="77"/>
        <v>20.004158973462062</v>
      </c>
      <c r="BC220" s="20"/>
      <c r="BD220" s="20">
        <f t="shared" si="78"/>
        <v>-202.87690768174397</v>
      </c>
      <c r="BE220" s="20">
        <f t="shared" si="79"/>
        <v>86.87237666860851</v>
      </c>
      <c r="BF220" s="20"/>
      <c r="BG220" s="54">
        <f t="shared" si="80"/>
        <v>44953.153160920956</v>
      </c>
      <c r="BH220" s="54">
        <f t="shared" si="81"/>
        <v>72787.224771385372</v>
      </c>
      <c r="BI220" s="54">
        <f t="shared" si="82"/>
        <v>47125.725029588415</v>
      </c>
      <c r="BJ220" s="20"/>
    </row>
    <row r="221" spans="1:62" x14ac:dyDescent="0.3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K221">
        <v>217</v>
      </c>
      <c r="AL221">
        <v>108.5</v>
      </c>
      <c r="AN221" s="48">
        <f t="shared" si="83"/>
        <v>39906.177760244245</v>
      </c>
      <c r="AO221" s="48">
        <f t="shared" si="84"/>
        <v>-34903.336889082326</v>
      </c>
      <c r="AP221" s="20"/>
      <c r="AQ221" s="50">
        <f t="shared" si="85"/>
        <v>3088.0590681547092</v>
      </c>
      <c r="AR221" s="50">
        <f t="shared" si="86"/>
        <v>-2624.4856797596981</v>
      </c>
      <c r="AS221" s="20"/>
      <c r="AT221" s="52">
        <f t="shared" si="87"/>
        <v>-306.82778898808283</v>
      </c>
      <c r="AU221" s="52">
        <f t="shared" si="88"/>
        <v>303.74128132231471</v>
      </c>
      <c r="AV221" s="20"/>
      <c r="AW221" s="20"/>
      <c r="AX221" s="20">
        <f t="shared" si="74"/>
        <v>-94.844359298983392</v>
      </c>
      <c r="AY221" s="20">
        <f t="shared" si="75"/>
        <v>202.03362834506382</v>
      </c>
      <c r="AZ221" s="20"/>
      <c r="BA221" s="20">
        <f t="shared" si="76"/>
        <v>-25.306014774379854</v>
      </c>
      <c r="BB221" s="20">
        <f t="shared" si="77"/>
        <v>18.968402746071646</v>
      </c>
      <c r="BC221" s="20"/>
      <c r="BD221" s="20">
        <f t="shared" si="78"/>
        <v>-186.67741491471961</v>
      </c>
      <c r="BE221" s="20">
        <f t="shared" si="79"/>
        <v>82.73925023117927</v>
      </c>
      <c r="BF221" s="20"/>
      <c r="BG221" s="54">
        <f t="shared" si="80"/>
        <v>46843.344162767164</v>
      </c>
      <c r="BH221" s="54">
        <f t="shared" si="81"/>
        <v>74866.947297298044</v>
      </c>
      <c r="BI221" s="54">
        <f t="shared" si="82"/>
        <v>49119.320235065956</v>
      </c>
      <c r="BJ221" s="20"/>
    </row>
    <row r="222" spans="1:62" x14ac:dyDescent="0.3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K222">
        <v>218</v>
      </c>
      <c r="AL222">
        <v>109</v>
      </c>
      <c r="AN222" s="48">
        <f t="shared" si="83"/>
        <v>41411.853820698088</v>
      </c>
      <c r="AO222" s="48">
        <f t="shared" si="84"/>
        <v>-36177.612068796887</v>
      </c>
      <c r="AP222" s="20"/>
      <c r="AQ222" s="50">
        <f t="shared" si="85"/>
        <v>2934.6451736606678</v>
      </c>
      <c r="AR222" s="50">
        <f t="shared" si="86"/>
        <v>-2472.6150390985408</v>
      </c>
      <c r="AS222" s="20"/>
      <c r="AT222" s="52">
        <f t="shared" si="87"/>
        <v>-288.52215278019918</v>
      </c>
      <c r="AU222" s="52">
        <f t="shared" si="88"/>
        <v>283.71220317388588</v>
      </c>
      <c r="AV222" s="20"/>
      <c r="AW222" s="20"/>
      <c r="AX222" s="20">
        <f t="shared" si="74"/>
        <v>-91.5398325885253</v>
      </c>
      <c r="AY222" s="20">
        <f t="shared" si="75"/>
        <v>186.73027240543081</v>
      </c>
      <c r="AZ222" s="20"/>
      <c r="BA222" s="20">
        <f t="shared" si="76"/>
        <v>-24.013992159409188</v>
      </c>
      <c r="BB222" s="20">
        <f t="shared" si="77"/>
        <v>18.056918089428915</v>
      </c>
      <c r="BC222" s="20"/>
      <c r="BD222" s="20">
        <f t="shared" si="78"/>
        <v>-172.96832803226468</v>
      </c>
      <c r="BE222" s="20">
        <f t="shared" si="79"/>
        <v>78.925012679026196</v>
      </c>
      <c r="BF222" s="20"/>
      <c r="BG222" s="54">
        <f t="shared" si="80"/>
        <v>48643.614997975375</v>
      </c>
      <c r="BH222" s="54">
        <f t="shared" si="81"/>
        <v>76836.108998771437</v>
      </c>
      <c r="BI222" s="54">
        <f t="shared" si="82"/>
        <v>51015.207811105691</v>
      </c>
      <c r="BJ222" s="20"/>
    </row>
    <row r="223" spans="1:62" x14ac:dyDescent="0.3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K223">
        <v>219</v>
      </c>
      <c r="AL223">
        <v>109.5</v>
      </c>
      <c r="AN223" s="48">
        <f t="shared" si="83"/>
        <v>42843.111138430897</v>
      </c>
      <c r="AO223" s="48">
        <f t="shared" si="84"/>
        <v>-37378.455562949421</v>
      </c>
      <c r="AP223" s="20"/>
      <c r="AQ223" s="50">
        <f t="shared" si="85"/>
        <v>2790.384097270568</v>
      </c>
      <c r="AR223" s="50">
        <f t="shared" si="86"/>
        <v>-2330.7589375115977</v>
      </c>
      <c r="AS223" s="20"/>
      <c r="AT223" s="52">
        <f t="shared" si="87"/>
        <v>-272.52216446404174</v>
      </c>
      <c r="AU223" s="52">
        <f t="shared" si="88"/>
        <v>266.31752132402823</v>
      </c>
      <c r="AV223" s="20"/>
      <c r="AW223" s="20"/>
      <c r="AX223" s="20">
        <f t="shared" si="74"/>
        <v>-88.382149110173117</v>
      </c>
      <c r="AY223" s="20">
        <f t="shared" si="75"/>
        <v>173.63897270218033</v>
      </c>
      <c r="AZ223" s="20"/>
      <c r="BA223" s="20">
        <f t="shared" si="76"/>
        <v>-22.880370909807233</v>
      </c>
      <c r="BB223" s="20">
        <f t="shared" si="77"/>
        <v>17.249888122600822</v>
      </c>
      <c r="BC223" s="20"/>
      <c r="BD223" s="20">
        <f t="shared" si="78"/>
        <v>-161.25964444406139</v>
      </c>
      <c r="BE223" s="20">
        <f t="shared" si="79"/>
        <v>75.428660499247101</v>
      </c>
      <c r="BF223" s="20"/>
      <c r="BG223" s="54">
        <f t="shared" si="80"/>
        <v>50357.556535224496</v>
      </c>
      <c r="BH223" s="54">
        <f t="shared" si="81"/>
        <v>78701.808550296671</v>
      </c>
      <c r="BI223" s="54">
        <f t="shared" si="82"/>
        <v>52818.165026694674</v>
      </c>
      <c r="BJ223" s="20"/>
    </row>
    <row r="224" spans="1:62" x14ac:dyDescent="0.3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K224">
        <v>220</v>
      </c>
      <c r="AL224">
        <v>110</v>
      </c>
      <c r="AN224" s="48">
        <f t="shared" si="83"/>
        <v>44204.237916508173</v>
      </c>
      <c r="AO224" s="48">
        <f t="shared" si="84"/>
        <v>-38510.545341539713</v>
      </c>
      <c r="AP224" s="20"/>
      <c r="AQ224" s="50">
        <f t="shared" si="85"/>
        <v>2654.1230150385472</v>
      </c>
      <c r="AR224" s="50">
        <f t="shared" si="86"/>
        <v>-2197.6001768495835</v>
      </c>
      <c r="AS224" s="20"/>
      <c r="AT224" s="52">
        <f t="shared" si="87"/>
        <v>-258.46506432035903</v>
      </c>
      <c r="AU224" s="52">
        <f t="shared" si="88"/>
        <v>251.12091679003964</v>
      </c>
      <c r="AV224" s="20"/>
      <c r="AW224" s="20"/>
      <c r="AX224" s="20">
        <f t="shared" si="74"/>
        <v>-85.407948311502551</v>
      </c>
      <c r="AY224" s="20">
        <f t="shared" si="75"/>
        <v>162.35447246343966</v>
      </c>
      <c r="AZ224" s="20"/>
      <c r="BA224" s="20">
        <f t="shared" si="76"/>
        <v>-21.879624301234031</v>
      </c>
      <c r="BB224" s="20">
        <f t="shared" si="77"/>
        <v>16.531502298977724</v>
      </c>
      <c r="BC224" s="20"/>
      <c r="BD224" s="20">
        <f t="shared" si="78"/>
        <v>-151.17749170762244</v>
      </c>
      <c r="BE224" s="20">
        <f t="shared" si="79"/>
        <v>72.234942027622267</v>
      </c>
      <c r="BF224" s="20"/>
      <c r="BG224" s="54">
        <f t="shared" si="80"/>
        <v>51988.60851902861</v>
      </c>
      <c r="BH224" s="54">
        <f t="shared" si="81"/>
        <v>80470.225399045376</v>
      </c>
      <c r="BI224" s="54">
        <f t="shared" si="82"/>
        <v>54532.584490384601</v>
      </c>
      <c r="BJ224" s="20"/>
    </row>
    <row r="225" spans="1:62" x14ac:dyDescent="0.3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K225">
        <v>221</v>
      </c>
      <c r="AL225">
        <v>110.5</v>
      </c>
      <c r="AN225" s="48">
        <f t="shared" si="83"/>
        <v>45498.991290987404</v>
      </c>
      <c r="AO225" s="48">
        <f t="shared" si="84"/>
        <v>-39577.955315365747</v>
      </c>
      <c r="AP225" s="20"/>
      <c r="AQ225" s="50">
        <f t="shared" si="85"/>
        <v>2524.8904828783679</v>
      </c>
      <c r="AR225" s="50">
        <f t="shared" si="86"/>
        <v>-2072.0397184545636</v>
      </c>
      <c r="AS225" s="20"/>
      <c r="AT225" s="52">
        <f t="shared" si="87"/>
        <v>-246.05625385342012</v>
      </c>
      <c r="AU225" s="52">
        <f t="shared" si="88"/>
        <v>237.77200430953101</v>
      </c>
      <c r="AV225" s="20"/>
      <c r="AW225" s="20"/>
      <c r="AX225" s="20">
        <f t="shared" si="74"/>
        <v>-82.63194428041534</v>
      </c>
      <c r="AY225" s="20">
        <f t="shared" si="75"/>
        <v>152.56066155958698</v>
      </c>
      <c r="AZ225" s="20"/>
      <c r="BA225" s="20">
        <f t="shared" si="76"/>
        <v>-20.991461579357573</v>
      </c>
      <c r="BB225" s="20">
        <f t="shared" si="77"/>
        <v>15.889004146065496</v>
      </c>
      <c r="BC225" s="20"/>
      <c r="BD225" s="20">
        <f t="shared" si="78"/>
        <v>-142.43284799364719</v>
      </c>
      <c r="BE225" s="20">
        <f t="shared" si="79"/>
        <v>69.322338603878535</v>
      </c>
      <c r="BF225" s="20"/>
      <c r="BG225" s="54">
        <f t="shared" si="80"/>
        <v>53540.007784211477</v>
      </c>
      <c r="BH225" s="54">
        <f t="shared" si="81"/>
        <v>82146.768125040966</v>
      </c>
      <c r="BI225" s="54">
        <f t="shared" si="82"/>
        <v>56162.478656940861</v>
      </c>
      <c r="BJ225" s="20"/>
    </row>
    <row r="226" spans="1:62" x14ac:dyDescent="0.3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K226">
        <v>222</v>
      </c>
      <c r="AL226">
        <v>111</v>
      </c>
      <c r="AN226" s="48">
        <f t="shared" si="83"/>
        <v>46730.679500694911</v>
      </c>
      <c r="AO226" s="48">
        <f t="shared" si="84"/>
        <v>-40584.253674054336</v>
      </c>
      <c r="AP226" s="20"/>
      <c r="AQ226" s="50">
        <f t="shared" si="85"/>
        <v>2401.8623559516577</v>
      </c>
      <c r="AR226" s="50">
        <f t="shared" si="86"/>
        <v>-1953.1537162997981</v>
      </c>
      <c r="AS226" s="20"/>
      <c r="AT226" s="52">
        <f t="shared" si="87"/>
        <v>-235.05530780794962</v>
      </c>
      <c r="AU226" s="52">
        <f t="shared" si="88"/>
        <v>225.98772941945722</v>
      </c>
      <c r="AV226" s="20"/>
      <c r="AW226" s="20"/>
      <c r="AX226" s="20">
        <f t="shared" si="74"/>
        <v>-80.056204102999871</v>
      </c>
      <c r="AY226" s="20">
        <f t="shared" si="75"/>
        <v>144.00841647779444</v>
      </c>
      <c r="AZ226" s="20"/>
      <c r="BA226" s="20">
        <f t="shared" si="76"/>
        <v>-20.199564639424786</v>
      </c>
      <c r="BB226" s="20">
        <f t="shared" si="77"/>
        <v>15.311996063452055</v>
      </c>
      <c r="BC226" s="20"/>
      <c r="BD226" s="20">
        <f t="shared" si="78"/>
        <v>-134.79953906552495</v>
      </c>
      <c r="BE226" s="20">
        <f t="shared" si="79"/>
        <v>66.667316878210727</v>
      </c>
      <c r="BF226" s="20"/>
      <c r="BG226" s="54">
        <f t="shared" si="80"/>
        <v>55014.767817011452</v>
      </c>
      <c r="BH226" s="54">
        <f t="shared" si="81"/>
        <v>83736.194721192966</v>
      </c>
      <c r="BI226" s="54">
        <f t="shared" si="82"/>
        <v>57711.500046888228</v>
      </c>
      <c r="BJ226" s="20"/>
    </row>
    <row r="227" spans="1:62" x14ac:dyDescent="0.3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K227">
        <v>223</v>
      </c>
      <c r="AL227">
        <v>111.5</v>
      </c>
      <c r="AN227" s="48">
        <f t="shared" si="83"/>
        <v>47902.228765194748</v>
      </c>
      <c r="AO227" s="48">
        <f t="shared" si="84"/>
        <v>-41532.582066026807</v>
      </c>
      <c r="AP227" s="20"/>
      <c r="AQ227" s="50">
        <f t="shared" si="85"/>
        <v>2284.3347020476831</v>
      </c>
      <c r="AR227" s="50">
        <f t="shared" si="86"/>
        <v>-1840.1598515900696</v>
      </c>
      <c r="AS227" s="20"/>
      <c r="AT227" s="52">
        <f t="shared" si="87"/>
        <v>-225.26490992239081</v>
      </c>
      <c r="AU227" s="52">
        <f t="shared" si="88"/>
        <v>215.53793323125979</v>
      </c>
      <c r="AV227" s="20"/>
      <c r="AW227" s="20"/>
      <c r="AX227" s="20">
        <f t="shared" si="74"/>
        <v>-77.67568182068257</v>
      </c>
      <c r="AY227" s="20">
        <f t="shared" si="75"/>
        <v>136.49946301630581</v>
      </c>
      <c r="AZ227" s="20"/>
      <c r="BA227" s="20">
        <f t="shared" si="76"/>
        <v>-19.490671727020636</v>
      </c>
      <c r="BB227" s="20">
        <f t="shared" si="77"/>
        <v>14.791924485540838</v>
      </c>
      <c r="BC227" s="20"/>
      <c r="BD227" s="20">
        <f t="shared" si="78"/>
        <v>-128.0985563746876</v>
      </c>
      <c r="BE227" s="20">
        <f t="shared" si="79"/>
        <v>64.246545729413143</v>
      </c>
      <c r="BF227" s="20"/>
      <c r="BG227" s="54">
        <f t="shared" si="80"/>
        <v>56415.67578365888</v>
      </c>
      <c r="BH227" s="54">
        <f t="shared" si="81"/>
        <v>85242.71045475165</v>
      </c>
      <c r="BI227" s="54">
        <f t="shared" si="82"/>
        <v>59182.968153138841</v>
      </c>
      <c r="BJ227" s="20"/>
    </row>
    <row r="228" spans="1:62" x14ac:dyDescent="0.3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K228">
        <v>224</v>
      </c>
      <c r="AL228">
        <v>112</v>
      </c>
      <c r="AN228" s="48">
        <f t="shared" si="83"/>
        <v>49016.238002478291</v>
      </c>
      <c r="AO228" s="48">
        <f t="shared" si="84"/>
        <v>-42425.719750167933</v>
      </c>
      <c r="AP228" s="20"/>
      <c r="AQ228" s="50">
        <f t="shared" si="85"/>
        <v>2171.7022470864877</v>
      </c>
      <c r="AR228" s="50">
        <f t="shared" si="86"/>
        <v>-1732.3908849744398</v>
      </c>
      <c r="AS228" s="20"/>
      <c r="AT228" s="52">
        <f t="shared" si="87"/>
        <v>-216.52217227519566</v>
      </c>
      <c r="AU228" s="52">
        <f t="shared" si="88"/>
        <v>206.23421125104122</v>
      </c>
      <c r="AV228" s="20"/>
      <c r="AW228" s="20"/>
      <c r="AX228" s="20">
        <f t="shared" si="74"/>
        <v>-75.481537175980023</v>
      </c>
      <c r="AY228" s="20">
        <f t="shared" si="75"/>
        <v>129.87452305285041</v>
      </c>
      <c r="AZ228" s="20"/>
      <c r="BA228" s="20">
        <f t="shared" si="76"/>
        <v>-18.853902515482719</v>
      </c>
      <c r="BB228" s="20">
        <f t="shared" si="77"/>
        <v>14.321693533023199</v>
      </c>
      <c r="BC228" s="20"/>
      <c r="BD228" s="20">
        <f t="shared" si="78"/>
        <v>-122.18673258373293</v>
      </c>
      <c r="BE228" s="20">
        <f t="shared" si="79"/>
        <v>62.037994665167609</v>
      </c>
      <c r="BF228" s="20"/>
      <c r="BG228" s="54">
        <f t="shared" si="80"/>
        <v>57745.299032811097</v>
      </c>
      <c r="BH228" s="54">
        <f t="shared" si="81"/>
        <v>86670.047878940721</v>
      </c>
      <c r="BI228" s="54">
        <f t="shared" si="82"/>
        <v>60579.898248141122</v>
      </c>
      <c r="BJ228" s="20"/>
    </row>
    <row r="229" spans="1:62" x14ac:dyDescent="0.3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K229">
        <v>225</v>
      </c>
      <c r="AL229">
        <v>112.5</v>
      </c>
      <c r="AN229" s="48">
        <f t="shared" si="83"/>
        <v>50075.023854487139</v>
      </c>
      <c r="AO229" s="48">
        <f t="shared" si="84"/>
        <v>-43266.135916248772</v>
      </c>
      <c r="AP229" s="20"/>
      <c r="AQ229" s="50">
        <f t="shared" si="85"/>
        <v>2063.4411609488898</v>
      </c>
      <c r="AR229" s="50">
        <f t="shared" si="86"/>
        <v>-1629.2737793489191</v>
      </c>
      <c r="AS229" s="20"/>
      <c r="AT229" s="52">
        <f t="shared" si="87"/>
        <v>-208.69183894028643</v>
      </c>
      <c r="AU229" s="52">
        <f t="shared" si="88"/>
        <v>197.9213149693949</v>
      </c>
      <c r="AV229" s="20"/>
      <c r="AW229" s="20"/>
      <c r="AX229" s="20">
        <f t="shared" si="74"/>
        <v>-73.463126470348257</v>
      </c>
      <c r="AY229" s="20">
        <f t="shared" si="75"/>
        <v>124.00452552491814</v>
      </c>
      <c r="AZ229" s="20"/>
      <c r="BA229" s="20">
        <f t="shared" si="76"/>
        <v>-18.28025392487196</v>
      </c>
      <c r="BB229" s="20">
        <f t="shared" si="77"/>
        <v>13.895371511649074</v>
      </c>
      <c r="BC229" s="20"/>
      <c r="BD229" s="20">
        <f t="shared" si="78"/>
        <v>-116.94845854506622</v>
      </c>
      <c r="BE229" s="20">
        <f t="shared" si="79"/>
        <v>60.021417932827681</v>
      </c>
      <c r="BF229" s="20"/>
      <c r="BG229" s="54">
        <f t="shared" si="80"/>
        <v>59005.996438624898</v>
      </c>
      <c r="BH229" s="54">
        <f t="shared" si="81"/>
        <v>88021.532613646472</v>
      </c>
      <c r="BI229" s="54">
        <f t="shared" si="82"/>
        <v>61905.029619637338</v>
      </c>
      <c r="BJ229" s="20"/>
    </row>
    <row r="230" spans="1:62" x14ac:dyDescent="0.3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K230">
        <v>226</v>
      </c>
      <c r="AL230">
        <v>113</v>
      </c>
      <c r="AN230" s="48">
        <f t="shared" si="83"/>
        <v>51080.657955094044</v>
      </c>
      <c r="AO230" s="48">
        <f t="shared" si="84"/>
        <v>-44056.032641552061</v>
      </c>
      <c r="AP230" s="20"/>
      <c r="AQ230" s="50">
        <f t="shared" si="85"/>
        <v>1959.0952414787466</v>
      </c>
      <c r="AR230" s="50">
        <f t="shared" si="86"/>
        <v>-1530.3131218642216</v>
      </c>
      <c r="AS230" s="20"/>
      <c r="AT230" s="52">
        <f t="shared" si="87"/>
        <v>-201.66095779558299</v>
      </c>
      <c r="AU230" s="52">
        <f t="shared" si="88"/>
        <v>190.47049637298704</v>
      </c>
      <c r="AV230" s="20"/>
      <c r="AW230" s="20"/>
      <c r="AX230" s="20">
        <f t="shared" si="74"/>
        <v>-71.609188946496815</v>
      </c>
      <c r="AY230" s="20">
        <f t="shared" si="75"/>
        <v>118.78402600404306</v>
      </c>
      <c r="AZ230" s="20"/>
      <c r="BA230" s="20">
        <f t="shared" si="76"/>
        <v>-17.762218602365028</v>
      </c>
      <c r="BB230" s="20">
        <f t="shared" si="77"/>
        <v>13.507965404068367</v>
      </c>
      <c r="BC230" s="20"/>
      <c r="BD230" s="20">
        <f t="shared" si="78"/>
        <v>-112.28955024672116</v>
      </c>
      <c r="BE230" s="20">
        <f t="shared" si="79"/>
        <v>58.178504964875621</v>
      </c>
      <c r="BF230" s="20"/>
      <c r="BG230" s="54">
        <f t="shared" si="80"/>
        <v>60199.931899117066</v>
      </c>
      <c r="BH230" s="54">
        <f t="shared" si="81"/>
        <v>89300.13773938769</v>
      </c>
      <c r="BI230" s="54">
        <f t="shared" si="82"/>
        <v>63160.852033068644</v>
      </c>
      <c r="BJ230" s="20"/>
    </row>
    <row r="231" spans="1:62" x14ac:dyDescent="0.3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K231">
        <v>227</v>
      </c>
      <c r="AL231">
        <v>113.5</v>
      </c>
      <c r="AN231" s="48">
        <f t="shared" si="83"/>
        <v>52034.997956108971</v>
      </c>
      <c r="AO231" s="48">
        <f t="shared" si="84"/>
        <v>-44797.380390437553</v>
      </c>
      <c r="AP231" s="20"/>
      <c r="AQ231" s="50">
        <f t="shared" si="85"/>
        <v>1858.2647625809552</v>
      </c>
      <c r="AR231" s="50">
        <f t="shared" si="86"/>
        <v>-1435.0778736777281</v>
      </c>
      <c r="AS231" s="20"/>
      <c r="AT231" s="52">
        <f t="shared" si="87"/>
        <v>-195.33468944001709</v>
      </c>
      <c r="AU231" s="52">
        <f t="shared" si="88"/>
        <v>183.77433249528792</v>
      </c>
      <c r="AV231" s="20"/>
      <c r="AW231" s="20"/>
      <c r="AX231" s="20">
        <f t="shared" si="74"/>
        <v>-69.908542029005275</v>
      </c>
      <c r="AY231" s="20">
        <f t="shared" si="75"/>
        <v>114.12623219270679</v>
      </c>
      <c r="AZ231" s="20"/>
      <c r="BA231" s="20">
        <f t="shared" si="76"/>
        <v>-17.2934927902783</v>
      </c>
      <c r="BB231" s="20">
        <f t="shared" si="77"/>
        <v>13.155245777692208</v>
      </c>
      <c r="BC231" s="20"/>
      <c r="BD231" s="20">
        <f t="shared" si="78"/>
        <v>-108.1326546207335</v>
      </c>
      <c r="BE231" s="20">
        <f t="shared" si="79"/>
        <v>56.492854524888926</v>
      </c>
      <c r="BF231" s="20"/>
      <c r="BG231" s="54">
        <f t="shared" si="80"/>
        <v>61329.088447082177</v>
      </c>
      <c r="BH231" s="54">
        <f t="shared" si="81"/>
        <v>90508.529035615938</v>
      </c>
      <c r="BI231" s="54">
        <f t="shared" si="82"/>
        <v>64349.629913355267</v>
      </c>
      <c r="BJ231" s="20"/>
    </row>
    <row r="232" spans="1:62" x14ac:dyDescent="0.3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K232">
        <v>228</v>
      </c>
      <c r="AL232">
        <v>114</v>
      </c>
      <c r="AN232" s="48">
        <f t="shared" si="83"/>
        <v>52939.713501219449</v>
      </c>
      <c r="AO232" s="48">
        <f t="shared" si="84"/>
        <v>-45491.947535714506</v>
      </c>
      <c r="AP232" s="20"/>
      <c r="AQ232" s="50">
        <f t="shared" si="85"/>
        <v>1760.5974178609467</v>
      </c>
      <c r="AR232" s="50">
        <f t="shared" si="86"/>
        <v>-1343.1907074300841</v>
      </c>
      <c r="AS232" s="20"/>
      <c r="AT232" s="52">
        <f t="shared" si="87"/>
        <v>-189.63299582851397</v>
      </c>
      <c r="AU232" s="52">
        <f t="shared" si="88"/>
        <v>177.74267849869861</v>
      </c>
      <c r="AV232" s="20"/>
      <c r="AW232" s="20"/>
      <c r="AX232" s="20">
        <f t="shared" si="74"/>
        <v>-68.350475431375003</v>
      </c>
      <c r="AY232" s="20">
        <f t="shared" si="75"/>
        <v>109.9592079927009</v>
      </c>
      <c r="AZ232" s="20"/>
      <c r="BA232" s="20">
        <f t="shared" si="76"/>
        <v>-16.86875019908576</v>
      </c>
      <c r="BB232" s="20">
        <f t="shared" si="77"/>
        <v>12.833609512670909</v>
      </c>
      <c r="BC232" s="20"/>
      <c r="BD232" s="20">
        <f t="shared" si="78"/>
        <v>-104.41377019805323</v>
      </c>
      <c r="BE232" s="20">
        <f t="shared" si="79"/>
        <v>54.949860993326816</v>
      </c>
      <c r="BF232" s="20"/>
      <c r="BG232" s="54">
        <f t="shared" si="80"/>
        <v>62395.282106665225</v>
      </c>
      <c r="BH232" s="54">
        <f t="shared" si="81"/>
        <v>91649.102815829392</v>
      </c>
      <c r="BI232" s="54">
        <f t="shared" si="82"/>
        <v>65473.424113331334</v>
      </c>
      <c r="BJ232" s="20"/>
    </row>
    <row r="233" spans="1:62" x14ac:dyDescent="0.3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K233">
        <v>229</v>
      </c>
      <c r="AL233">
        <v>114.5</v>
      </c>
      <c r="AN233" s="48">
        <f t="shared" si="83"/>
        <v>53796.308085671357</v>
      </c>
      <c r="AO233" s="48">
        <f t="shared" si="84"/>
        <v>-46141.325054617213</v>
      </c>
      <c r="AP233" s="20"/>
      <c r="AQ233" s="50">
        <f t="shared" si="85"/>
        <v>1665.7809199466897</v>
      </c>
      <c r="AR233" s="50">
        <f t="shared" si="86"/>
        <v>-1254.3193681807347</v>
      </c>
      <c r="AS233" s="20"/>
      <c r="AT233" s="52">
        <f t="shared" si="87"/>
        <v>-184.48801067730807</v>
      </c>
      <c r="AU233" s="52">
        <f t="shared" si="88"/>
        <v>172.29948413673415</v>
      </c>
      <c r="AV233" s="20"/>
      <c r="AW233" s="20"/>
      <c r="AX233" s="20">
        <f t="shared" si="74"/>
        <v>-66.924960618678384</v>
      </c>
      <c r="AY233" s="20">
        <f t="shared" si="75"/>
        <v>106.22295067596492</v>
      </c>
      <c r="AZ233" s="20"/>
      <c r="BA233" s="20">
        <f t="shared" si="76"/>
        <v>-16.483465218806678</v>
      </c>
      <c r="BB233" s="20">
        <f t="shared" si="77"/>
        <v>12.539971211041969</v>
      </c>
      <c r="BC233" s="20"/>
      <c r="BD233" s="20">
        <f t="shared" si="78"/>
        <v>-101.079584839823</v>
      </c>
      <c r="BE233" s="20">
        <f t="shared" si="79"/>
        <v>53.536562249727254</v>
      </c>
      <c r="BF233" s="20"/>
      <c r="BG233" s="54">
        <f t="shared" si="80"/>
        <v>63400.175030016435</v>
      </c>
      <c r="BH233" s="54">
        <f t="shared" si="81"/>
        <v>92724.017740623793</v>
      </c>
      <c r="BI233" s="54">
        <f t="shared" si="82"/>
        <v>66534.111331425418</v>
      </c>
      <c r="BJ233" s="20"/>
    </row>
    <row r="234" spans="1:62" x14ac:dyDescent="0.3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K234">
        <v>230</v>
      </c>
      <c r="AL234">
        <v>115</v>
      </c>
      <c r="AN234" s="48">
        <f t="shared" si="83"/>
        <v>54606.137544310033</v>
      </c>
      <c r="AO234" s="48">
        <f t="shared" si="84"/>
        <v>-46746.947303190485</v>
      </c>
      <c r="AP234" s="20"/>
      <c r="AQ234" s="50">
        <f t="shared" si="85"/>
        <v>1573.5369146080357</v>
      </c>
      <c r="AR234" s="50">
        <f t="shared" si="86"/>
        <v>-1168.1696261123677</v>
      </c>
      <c r="AS234" s="20"/>
      <c r="AT234" s="52">
        <f t="shared" si="87"/>
        <v>-179.84194006887486</v>
      </c>
      <c r="AU234" s="52">
        <f t="shared" si="88"/>
        <v>167.38027387564517</v>
      </c>
      <c r="AV234" s="20"/>
      <c r="AW234" s="20"/>
      <c r="AX234" s="20">
        <f t="shared" si="74"/>
        <v>-65.622747675018601</v>
      </c>
      <c r="AY234" s="20">
        <f t="shared" si="75"/>
        <v>102.86712091053948</v>
      </c>
      <c r="AZ234" s="20"/>
      <c r="BA234" s="20">
        <f t="shared" si="76"/>
        <v>-16.133773431889516</v>
      </c>
      <c r="BB234" s="20">
        <f t="shared" si="77"/>
        <v>12.271676578851043</v>
      </c>
      <c r="BC234" s="20"/>
      <c r="BD234" s="20">
        <f t="shared" si="78"/>
        <v>-98.085418961966766</v>
      </c>
      <c r="BE234" s="20">
        <f t="shared" si="79"/>
        <v>52.241476386254661</v>
      </c>
      <c r="BF234" s="20"/>
      <c r="BG234" s="54">
        <f t="shared" si="80"/>
        <v>64345.287686440803</v>
      </c>
      <c r="BH234" s="54">
        <f t="shared" si="81"/>
        <v>93735.221701938615</v>
      </c>
      <c r="BI234" s="54">
        <f t="shared" si="82"/>
        <v>67533.40133610004</v>
      </c>
      <c r="BJ234" s="20"/>
    </row>
    <row r="235" spans="1:62" x14ac:dyDescent="0.3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K235">
        <v>231</v>
      </c>
      <c r="AL235">
        <v>115.5</v>
      </c>
      <c r="AN235" s="48">
        <f t="shared" si="83"/>
        <v>55370.425759105441</v>
      </c>
      <c r="AO235" s="48">
        <f t="shared" si="84"/>
        <v>-47310.109582012214</v>
      </c>
      <c r="AP235" s="20"/>
      <c r="AQ235" s="50">
        <f t="shared" si="85"/>
        <v>1483.6159445735982</v>
      </c>
      <c r="AR235" s="50">
        <f t="shared" si="86"/>
        <v>-1084.4794891745451</v>
      </c>
      <c r="AS235" s="20"/>
      <c r="AT235" s="52">
        <f t="shared" si="87"/>
        <v>-175.64537725645178</v>
      </c>
      <c r="AU235" s="52">
        <f t="shared" si="88"/>
        <v>162.93013999533872</v>
      </c>
      <c r="AV235" s="20"/>
      <c r="AW235" s="20"/>
      <c r="AX235" s="20">
        <f t="shared" si="74"/>
        <v>-64.435394429092597</v>
      </c>
      <c r="AY235" s="20">
        <f t="shared" si="75"/>
        <v>99.84926541941816</v>
      </c>
      <c r="AZ235" s="20"/>
      <c r="BA235" s="20">
        <f t="shared" si="76"/>
        <v>-15.816360627640552</v>
      </c>
      <c r="BB235" s="20">
        <f t="shared" si="77"/>
        <v>12.026432803442106</v>
      </c>
      <c r="BC235" s="20"/>
      <c r="BD235" s="20">
        <f t="shared" si="78"/>
        <v>-95.393622199718635</v>
      </c>
      <c r="BE235" s="20">
        <f t="shared" si="79"/>
        <v>51.054441772478455</v>
      </c>
      <c r="BF235" s="20"/>
      <c r="BG235" s="54">
        <f t="shared" si="80"/>
        <v>65232.010016345324</v>
      </c>
      <c r="BH235" s="54">
        <f t="shared" si="81"/>
        <v>94684.474648228759</v>
      </c>
      <c r="BI235" s="54">
        <f t="shared" si="82"/>
        <v>68472.852193678176</v>
      </c>
      <c r="BJ235" s="20"/>
    </row>
    <row r="236" spans="1:62" x14ac:dyDescent="0.3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K236">
        <v>232</v>
      </c>
      <c r="AL236">
        <v>116</v>
      </c>
      <c r="AN236" s="48">
        <f t="shared" si="83"/>
        <v>56090.278059235185</v>
      </c>
      <c r="AO236" s="48">
        <f t="shared" si="84"/>
        <v>-47831.983059100065</v>
      </c>
      <c r="AP236" s="20"/>
      <c r="AQ236" s="50">
        <f t="shared" si="85"/>
        <v>1395.7932559453723</v>
      </c>
      <c r="AR236" s="50">
        <f t="shared" si="86"/>
        <v>-1003.0144191768757</v>
      </c>
      <c r="AS236" s="20"/>
      <c r="AT236" s="52">
        <f t="shared" si="87"/>
        <v>-171.85594273016756</v>
      </c>
      <c r="AU236" s="52">
        <f t="shared" si="88"/>
        <v>158.90213459438314</v>
      </c>
      <c r="AV236" s="20"/>
      <c r="AW236" s="20"/>
      <c r="AX236" s="20">
        <f t="shared" si="74"/>
        <v>-63.35525586848059</v>
      </c>
      <c r="AY236" s="20">
        <f t="shared" si="75"/>
        <v>97.133414673780081</v>
      </c>
      <c r="AZ236" s="20"/>
      <c r="BA236" s="20">
        <f t="shared" si="76"/>
        <v>-15.528373811390095</v>
      </c>
      <c r="BB236" s="20">
        <f t="shared" si="77"/>
        <v>11.802252194381213</v>
      </c>
      <c r="BC236" s="20"/>
      <c r="BD236" s="20">
        <f t="shared" si="78"/>
        <v>-92.972313050296862</v>
      </c>
      <c r="BE236" s="20">
        <f t="shared" si="79"/>
        <v>49.966467726221865</v>
      </c>
      <c r="BF236" s="20"/>
      <c r="BG236" s="54">
        <f t="shared" si="80"/>
        <v>66061.611542903265</v>
      </c>
      <c r="BH236" s="54">
        <f t="shared" si="81"/>
        <v>95573.368046123418</v>
      </c>
      <c r="BI236" s="54">
        <f t="shared" si="82"/>
        <v>69353.883704863314</v>
      </c>
      <c r="BJ236" s="20"/>
    </row>
    <row r="237" spans="1:62" x14ac:dyDescent="0.3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K237">
        <v>233</v>
      </c>
      <c r="AL237">
        <v>116.5</v>
      </c>
      <c r="AN237" s="48">
        <f t="shared" si="83"/>
        <v>56766.692694366604</v>
      </c>
      <c r="AO237" s="48">
        <f t="shared" si="84"/>
        <v>-48313.627501864205</v>
      </c>
      <c r="AP237" s="20"/>
      <c r="AQ237" s="50">
        <f t="shared" si="85"/>
        <v>1309.8652845802885</v>
      </c>
      <c r="AR237" s="50">
        <f t="shared" si="86"/>
        <v>-923.56335187968409</v>
      </c>
      <c r="AS237" s="20"/>
      <c r="AT237" s="52">
        <f t="shared" si="87"/>
        <v>-168.43718113527197</v>
      </c>
      <c r="AU237" s="52">
        <f t="shared" si="88"/>
        <v>155.25597374241312</v>
      </c>
      <c r="AV237" s="20"/>
      <c r="AW237" s="20"/>
      <c r="AX237" s="20">
        <f t="shared" si="74"/>
        <v>-62.375451372830909</v>
      </c>
      <c r="AY237" s="20">
        <f t="shared" si="75"/>
        <v>94.688968548896682</v>
      </c>
      <c r="AZ237" s="20"/>
      <c r="BA237" s="20">
        <f t="shared" si="76"/>
        <v>-15.267349346251304</v>
      </c>
      <c r="BB237" s="20">
        <f t="shared" si="77"/>
        <v>11.597406263972882</v>
      </c>
      <c r="BC237" s="20"/>
      <c r="BD237" s="20">
        <f t="shared" si="78"/>
        <v>-90.794380416189753</v>
      </c>
      <c r="BE237" s="20">
        <f t="shared" si="79"/>
        <v>48.969598929543544</v>
      </c>
      <c r="BF237" s="20"/>
      <c r="BG237" s="54">
        <f t="shared" si="80"/>
        <v>66835.250479061142</v>
      </c>
      <c r="BH237" s="54">
        <f t="shared" si="81"/>
        <v>96403.341537819593</v>
      </c>
      <c r="BI237" s="54">
        <f t="shared" si="82"/>
        <v>70177.789247975626</v>
      </c>
      <c r="BJ237" s="20"/>
    </row>
    <row r="238" spans="1:62" x14ac:dyDescent="0.3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K238">
        <v>234</v>
      </c>
      <c r="AL238">
        <v>117</v>
      </c>
      <c r="AN238" s="48">
        <f t="shared" si="83"/>
        <v>57400.570689014836</v>
      </c>
      <c r="AO238" s="48">
        <f t="shared" si="84"/>
        <v>-48756.002181086245</v>
      </c>
      <c r="AP238" s="20"/>
      <c r="AQ238" s="50">
        <f t="shared" si="85"/>
        <v>1225.6466940126525</v>
      </c>
      <c r="AR238" s="50">
        <f t="shared" si="86"/>
        <v>-845.93536500847756</v>
      </c>
      <c r="AS238" s="20"/>
      <c r="AT238" s="52">
        <f t="shared" si="87"/>
        <v>-165.3576622088363</v>
      </c>
      <c r="AU238" s="52">
        <f t="shared" si="88"/>
        <v>151.95698745742979</v>
      </c>
      <c r="AV238" s="20"/>
      <c r="AW238" s="20"/>
      <c r="AX238" s="20">
        <f t="shared" si="74"/>
        <v>-61.489820694496096</v>
      </c>
      <c r="AY238" s="20">
        <f t="shared" si="75"/>
        <v>92.489804924826728</v>
      </c>
      <c r="AZ238" s="20"/>
      <c r="BA238" s="20">
        <f t="shared" si="76"/>
        <v>-15.031154558600154</v>
      </c>
      <c r="BB238" s="20">
        <f t="shared" si="77"/>
        <v>11.410388091036392</v>
      </c>
      <c r="BC238" s="20"/>
      <c r="BD238" s="20">
        <f t="shared" si="78"/>
        <v>-88.836686955740035</v>
      </c>
      <c r="BE238" s="20">
        <f t="shared" si="79"/>
        <v>48.056794441566666</v>
      </c>
      <c r="BF238" s="20"/>
      <c r="BG238" s="54">
        <f t="shared" si="80"/>
        <v>67553.981890502764</v>
      </c>
      <c r="BH238" s="54">
        <f t="shared" si="81"/>
        <v>97175.697246219919</v>
      </c>
      <c r="BI238" s="54">
        <f t="shared" si="82"/>
        <v>70945.746211906444</v>
      </c>
      <c r="BJ238" s="20"/>
    </row>
    <row r="239" spans="1:62" x14ac:dyDescent="0.3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K239">
        <v>235</v>
      </c>
      <c r="AL239">
        <v>117.5</v>
      </c>
      <c r="AN239" s="48">
        <f t="shared" si="83"/>
        <v>57992.724328245058</v>
      </c>
      <c r="AO239" s="48">
        <f t="shared" si="84"/>
        <v>-49159.97524015831</v>
      </c>
      <c r="AP239" s="20"/>
      <c r="AQ239" s="50">
        <f t="shared" si="85"/>
        <v>1142.9678629082343</v>
      </c>
      <c r="AR239" s="50">
        <f t="shared" si="86"/>
        <v>-769.95687127976271</v>
      </c>
      <c r="AS239" s="20"/>
      <c r="AT239" s="52">
        <f t="shared" si="87"/>
        <v>-162.59024474578899</v>
      </c>
      <c r="AU239" s="52">
        <f t="shared" si="88"/>
        <v>148.97526452800605</v>
      </c>
      <c r="AV239" s="20"/>
      <c r="AW239" s="20"/>
      <c r="AX239" s="20">
        <f t="shared" si="74"/>
        <v>-60.692875443338139</v>
      </c>
      <c r="AY239" s="20">
        <f t="shared" si="75"/>
        <v>90.513562285318685</v>
      </c>
      <c r="AZ239" s="20"/>
      <c r="BA239" s="20">
        <f t="shared" si="76"/>
        <v>-14.817940013619971</v>
      </c>
      <c r="BB239" s="20">
        <f t="shared" si="77"/>
        <v>11.239881307729076</v>
      </c>
      <c r="BC239" s="20"/>
      <c r="BD239" s="20">
        <f t="shared" si="78"/>
        <v>-87.079429288830866</v>
      </c>
      <c r="BE239" s="20">
        <f t="shared" si="79"/>
        <v>47.221820934958295</v>
      </c>
      <c r="BF239" s="20"/>
      <c r="BG239" s="54">
        <f t="shared" si="80"/>
        <v>68218.764985137153</v>
      </c>
      <c r="BH239" s="54">
        <f t="shared" si="81"/>
        <v>97891.612094999102</v>
      </c>
      <c r="BI239" s="54">
        <f t="shared" si="82"/>
        <v>71658.825183661116</v>
      </c>
      <c r="BJ239" s="20"/>
    </row>
    <row r="240" spans="1:62" x14ac:dyDescent="0.3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K240">
        <v>236</v>
      </c>
      <c r="AL240">
        <v>118</v>
      </c>
      <c r="AN240" s="48">
        <f t="shared" si="83"/>
        <v>58543.884479105953</v>
      </c>
      <c r="AO240" s="48">
        <f t="shared" si="84"/>
        <v>-49526.33176773219</v>
      </c>
      <c r="AP240" s="20"/>
      <c r="AQ240" s="50">
        <f t="shared" si="85"/>
        <v>1061.6727405353399</v>
      </c>
      <c r="AR240" s="50">
        <f t="shared" si="86"/>
        <v>-695.46923901575974</v>
      </c>
      <c r="AS240" s="20"/>
      <c r="AT240" s="52">
        <f t="shared" si="87"/>
        <v>-160.11147164402786</v>
      </c>
      <c r="AU240" s="52">
        <f t="shared" si="88"/>
        <v>146.28495277470239</v>
      </c>
      <c r="AV240" s="20"/>
      <c r="AW240" s="20"/>
      <c r="AX240" s="20">
        <f t="shared" si="74"/>
        <v>-59.979750188896574</v>
      </c>
      <c r="AY240" s="20">
        <f t="shared" si="75"/>
        <v>88.741059180785825</v>
      </c>
      <c r="AZ240" s="20"/>
      <c r="BA240" s="20">
        <f t="shared" si="76"/>
        <v>-14.626100315797212</v>
      </c>
      <c r="BB240" s="20">
        <f t="shared" si="77"/>
        <v>11.084734421276075</v>
      </c>
      <c r="BC240" s="20"/>
      <c r="BD240" s="20">
        <f t="shared" si="78"/>
        <v>-85.505621139334053</v>
      </c>
      <c r="BE240" s="20">
        <f t="shared" si="79"/>
        <v>46.459159172640483</v>
      </c>
      <c r="BF240" s="20"/>
      <c r="BG240" s="54">
        <f t="shared" si="80"/>
        <v>68830.469601929392</v>
      </c>
      <c r="BH240" s="54">
        <f t="shared" si="81"/>
        <v>98552.148443295053</v>
      </c>
      <c r="BI240" s="54">
        <f t="shared" si="82"/>
        <v>72317.998036653895</v>
      </c>
      <c r="BJ240" s="20"/>
    </row>
    <row r="241" spans="1:62" x14ac:dyDescent="0.3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K241">
        <v>237</v>
      </c>
      <c r="AL241">
        <v>118.5</v>
      </c>
      <c r="AN241" s="48">
        <f t="shared" si="83"/>
        <v>59054.706915418123</v>
      </c>
      <c r="AO241" s="48">
        <f t="shared" si="84"/>
        <v>-49855.780768143231</v>
      </c>
      <c r="AP241" s="20"/>
      <c r="AQ241" s="50">
        <f t="shared" si="85"/>
        <v>981.61700471332597</v>
      </c>
      <c r="AR241" s="50">
        <f t="shared" si="86"/>
        <v>-622.32676262840857</v>
      </c>
      <c r="AS241" s="20"/>
      <c r="AT241" s="52">
        <f t="shared" si="87"/>
        <v>-157.90107100672927</v>
      </c>
      <c r="AU241" s="52">
        <f t="shared" si="88"/>
        <v>143.86368412348568</v>
      </c>
      <c r="AV241" s="20"/>
      <c r="AW241" s="20"/>
      <c r="AX241" s="20">
        <f t="shared" si="74"/>
        <v>-59.346155618453665</v>
      </c>
      <c r="AY241" s="20">
        <f t="shared" si="75"/>
        <v>87.15582217672106</v>
      </c>
      <c r="AZ241" s="20"/>
      <c r="BA241" s="20">
        <f t="shared" si="76"/>
        <v>-14.454241774529777</v>
      </c>
      <c r="BB241" s="20">
        <f t="shared" si="77"/>
        <v>10.943939463992333</v>
      </c>
      <c r="BC241" s="20"/>
      <c r="BD241" s="20">
        <f t="shared" si="78"/>
        <v>-84.100673613745826</v>
      </c>
      <c r="BE241" s="20">
        <f t="shared" si="79"/>
        <v>45.763922482772287</v>
      </c>
      <c r="BF241" s="20"/>
      <c r="BG241" s="54">
        <f t="shared" si="80"/>
        <v>69389.881969726091</v>
      </c>
      <c r="BH241" s="54">
        <f t="shared" si="81"/>
        <v>99158.263280710409</v>
      </c>
      <c r="BI241" s="54">
        <f t="shared" si="82"/>
        <v>72924.145047967337</v>
      </c>
      <c r="BJ241" s="20"/>
    </row>
    <row r="242" spans="1:62" x14ac:dyDescent="0.3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K242">
        <v>238</v>
      </c>
      <c r="AL242">
        <v>119</v>
      </c>
      <c r="AN242" s="48">
        <f t="shared" si="83"/>
        <v>59525.777783898942</v>
      </c>
      <c r="AO242" s="48">
        <f t="shared" si="84"/>
        <v>-50148.961188941998</v>
      </c>
      <c r="AP242" s="20"/>
      <c r="AQ242" s="50">
        <f t="shared" si="85"/>
        <v>902.66646920996129</v>
      </c>
      <c r="AR242" s="50">
        <f t="shared" si="86"/>
        <v>-550.39492056666575</v>
      </c>
      <c r="AS242" s="20"/>
      <c r="AT242" s="52">
        <f t="shared" si="87"/>
        <v>-155.94154361738012</v>
      </c>
      <c r="AU242" s="52">
        <f t="shared" si="88"/>
        <v>141.6921005605019</v>
      </c>
      <c r="AV242" s="20"/>
      <c r="AW242" s="20"/>
      <c r="AX242" s="20">
        <f t="shared" si="74"/>
        <v>-58.788335133180432</v>
      </c>
      <c r="AY242" s="20">
        <f t="shared" si="75"/>
        <v>85.743700452513252</v>
      </c>
      <c r="AZ242" s="20"/>
      <c r="BA242" s="20">
        <f t="shared" si="76"/>
        <v>-14.30115564150312</v>
      </c>
      <c r="BB242" s="20">
        <f t="shared" si="77"/>
        <v>10.816614179810626</v>
      </c>
      <c r="BC242" s="20"/>
      <c r="BD242" s="20">
        <f t="shared" si="78"/>
        <v>-82.852052842696565</v>
      </c>
      <c r="BE242" s="20">
        <f t="shared" si="79"/>
        <v>45.131785928178033</v>
      </c>
      <c r="BF242" s="20"/>
      <c r="BG242" s="54">
        <f t="shared" si="80"/>
        <v>69897.709802155179</v>
      </c>
      <c r="BH242" s="54">
        <f t="shared" si="81"/>
        <v>99710.816184819807</v>
      </c>
      <c r="BI242" s="54">
        <f t="shared" si="82"/>
        <v>73478.061156231241</v>
      </c>
      <c r="BJ242" s="20"/>
    </row>
    <row r="243" spans="1:62" x14ac:dyDescent="0.3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K243">
        <v>239</v>
      </c>
      <c r="AL243">
        <v>119.5</v>
      </c>
      <c r="AN243" s="48">
        <f t="shared" si="83"/>
        <v>59957.618325551746</v>
      </c>
      <c r="AO243" s="48">
        <f t="shared" si="84"/>
        <v>-50406.447136655268</v>
      </c>
      <c r="AP243" s="20"/>
      <c r="AQ243" s="50">
        <f t="shared" si="85"/>
        <v>824.69569740127122</v>
      </c>
      <c r="AR243" s="50">
        <f t="shared" si="86"/>
        <v>-479.5488702864148</v>
      </c>
      <c r="AS243" s="20"/>
      <c r="AT243" s="52">
        <f t="shared" si="87"/>
        <v>-154.21782123772789</v>
      </c>
      <c r="AU243" s="52">
        <f t="shared" si="88"/>
        <v>139.75346217715864</v>
      </c>
      <c r="AV243" s="20"/>
      <c r="AW243" s="20"/>
      <c r="AX243" s="20">
        <f t="shared" si="74"/>
        <v>-58.303025604822977</v>
      </c>
      <c r="AY243" s="20">
        <f t="shared" si="75"/>
        <v>84.492550146158436</v>
      </c>
      <c r="AZ243" s="20"/>
      <c r="BA243" s="20">
        <f t="shared" si="76"/>
        <v>-14.165795905765078</v>
      </c>
      <c r="BB243" s="20">
        <f t="shared" si="77"/>
        <v>10.701987120804366</v>
      </c>
      <c r="BC243" s="20"/>
      <c r="BD243" s="20">
        <f t="shared" si="78"/>
        <v>-81.748999727139818</v>
      </c>
      <c r="BE243" s="20">
        <f t="shared" si="79"/>
        <v>44.558924910195849</v>
      </c>
      <c r="BF243" s="20"/>
      <c r="BG243" s="54">
        <f t="shared" si="80"/>
        <v>70354.586788927409</v>
      </c>
      <c r="BH243" s="54">
        <f t="shared" si="81"/>
        <v>100210.5762081435</v>
      </c>
      <c r="BI243" s="54">
        <f t="shared" si="82"/>
        <v>73980.461456852383</v>
      </c>
      <c r="BJ243" s="20"/>
    </row>
    <row r="244" spans="1:62" x14ac:dyDescent="0.3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K244">
        <v>240</v>
      </c>
      <c r="AL244">
        <v>120</v>
      </c>
      <c r="AN244" s="48">
        <f t="shared" si="83"/>
        <v>60350.688946597664</v>
      </c>
      <c r="AO244" s="48">
        <f t="shared" si="84"/>
        <v>-50628.752389026326</v>
      </c>
      <c r="AP244" s="20"/>
      <c r="AQ244" s="50">
        <f t="shared" si="85"/>
        <v>747.58678678240722</v>
      </c>
      <c r="AR244" s="50">
        <f t="shared" si="86"/>
        <v>-409.67213919783546</v>
      </c>
      <c r="AS244" s="20"/>
      <c r="AT244" s="52">
        <f t="shared" si="87"/>
        <v>-152.71698340099505</v>
      </c>
      <c r="AU244" s="52">
        <f t="shared" si="88"/>
        <v>138.03332248425335</v>
      </c>
      <c r="AV244" s="20"/>
      <c r="AW244" s="20"/>
      <c r="AX244" s="20">
        <f t="shared" si="74"/>
        <v>-57.887422611073433</v>
      </c>
      <c r="AY244" s="20">
        <f t="shared" si="75"/>
        <v>83.391975285758747</v>
      </c>
      <c r="AZ244" s="20"/>
      <c r="BA244" s="20">
        <f t="shared" si="76"/>
        <v>-14.047260847130161</v>
      </c>
      <c r="BB244" s="20">
        <f t="shared" si="77"/>
        <v>10.599385155374968</v>
      </c>
      <c r="BC244" s="20"/>
      <c r="BD244" s="20">
        <f t="shared" si="78"/>
        <v>-80.78229994279144</v>
      </c>
      <c r="BE244" s="20">
        <f t="shared" si="79"/>
        <v>44.041962043119625</v>
      </c>
      <c r="BF244" s="20"/>
      <c r="BG244" s="54">
        <f t="shared" si="80"/>
        <v>70761.076537668734</v>
      </c>
      <c r="BH244" s="54">
        <f t="shared" si="81"/>
        <v>100658.22783281433</v>
      </c>
      <c r="BI244" s="54">
        <f t="shared" si="82"/>
        <v>74431.986018065596</v>
      </c>
      <c r="BJ244" s="20"/>
    </row>
    <row r="245" spans="1:62" x14ac:dyDescent="0.3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K245">
        <v>241</v>
      </c>
      <c r="AL245">
        <v>120.5</v>
      </c>
      <c r="AN245" s="48">
        <f t="shared" si="83"/>
        <v>60705.392717063747</v>
      </c>
      <c r="AO245" s="48">
        <f t="shared" si="84"/>
        <v>-50816.334293314714</v>
      </c>
      <c r="AP245" s="20"/>
      <c r="AQ245" s="50">
        <f t="shared" si="85"/>
        <v>671.22829508190966</v>
      </c>
      <c r="AR245" s="50">
        <f t="shared" si="86"/>
        <v>-340.65547795570876</v>
      </c>
      <c r="AS245" s="20"/>
      <c r="AT245" s="52">
        <f t="shared" si="87"/>
        <v>-151.4280229000434</v>
      </c>
      <c r="AU245" s="52">
        <f t="shared" si="88"/>
        <v>136.51925926060107</v>
      </c>
      <c r="AV245" s="20"/>
      <c r="AW245" s="20"/>
      <c r="AX245" s="20">
        <f t="shared" si="74"/>
        <v>-57.539150228355822</v>
      </c>
      <c r="AY245" s="20">
        <f t="shared" si="75"/>
        <v>82.433115017299315</v>
      </c>
      <c r="AZ245" s="20"/>
      <c r="BA245" s="20">
        <f t="shared" si="76"/>
        <v>-13.944777715025033</v>
      </c>
      <c r="BB245" s="20">
        <f t="shared" si="77"/>
        <v>10.50822298995663</v>
      </c>
      <c r="BC245" s="20"/>
      <c r="BD245" s="20">
        <f t="shared" si="78"/>
        <v>-79.944094956662568</v>
      </c>
      <c r="BE245" s="20">
        <f t="shared" si="79"/>
        <v>43.577921253345139</v>
      </c>
      <c r="BF245" s="20"/>
      <c r="BG245" s="54">
        <f t="shared" si="80"/>
        <v>71117.676014195094</v>
      </c>
      <c r="BH245" s="54">
        <f t="shared" si="81"/>
        <v>101054.37610757732</v>
      </c>
      <c r="BI245" s="54">
        <f t="shared" si="82"/>
        <v>74833.204089588762</v>
      </c>
      <c r="BJ245" s="20"/>
    </row>
    <row r="246" spans="1:62" x14ac:dyDescent="0.3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K246">
        <v>242</v>
      </c>
      <c r="AL246">
        <v>121</v>
      </c>
      <c r="AN246" s="48">
        <f t="shared" si="83"/>
        <v>61022.078361742191</v>
      </c>
      <c r="AO246" s="48">
        <f t="shared" si="84"/>
        <v>-50969.597124884989</v>
      </c>
      <c r="AP246" s="20"/>
      <c r="AQ246" s="50">
        <f t="shared" si="85"/>
        <v>595.51428363188802</v>
      </c>
      <c r="AR246" s="50">
        <f t="shared" si="86"/>
        <v>-272.39584832540822</v>
      </c>
      <c r="AS246" s="20"/>
      <c r="AT246" s="52">
        <f t="shared" si="87"/>
        <v>-150.34165216680486</v>
      </c>
      <c r="AU246" s="52">
        <f t="shared" si="88"/>
        <v>135.20065161885029</v>
      </c>
      <c r="AV246" s="20"/>
      <c r="AW246" s="20"/>
      <c r="AX246" s="20">
        <f t="shared" si="74"/>
        <v>-57.256235327997906</v>
      </c>
      <c r="AY246" s="20">
        <f t="shared" si="75"/>
        <v>81.6084690540157</v>
      </c>
      <c r="AZ246" s="20"/>
      <c r="BA246" s="20">
        <f t="shared" si="76"/>
        <v>-13.857690030160574</v>
      </c>
      <c r="BB246" s="20">
        <f t="shared" si="77"/>
        <v>10.427994385038854</v>
      </c>
      <c r="BC246" s="20"/>
      <c r="BD246" s="20">
        <f t="shared" si="78"/>
        <v>-79.227726808646366</v>
      </c>
      <c r="BE246" s="20">
        <f t="shared" si="79"/>
        <v>43.16418817979573</v>
      </c>
      <c r="BF246" s="20"/>
      <c r="BG246" s="54">
        <f t="shared" si="80"/>
        <v>71424.818523138558</v>
      </c>
      <c r="BH246" s="54">
        <f t="shared" si="81"/>
        <v>101399.55106225607</v>
      </c>
      <c r="BI246" s="54">
        <f t="shared" si="82"/>
        <v>75184.617765408388</v>
      </c>
      <c r="BJ246" s="20"/>
    </row>
    <row r="247" spans="1:62" x14ac:dyDescent="0.3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K247">
        <v>243</v>
      </c>
      <c r="AL247">
        <v>121.5</v>
      </c>
      <c r="AN247" s="48">
        <f t="shared" si="83"/>
        <v>61301.042797037284</v>
      </c>
      <c r="AO247" s="48">
        <f t="shared" si="84"/>
        <v>-51088.894967595341</v>
      </c>
      <c r="AP247" s="20"/>
      <c r="AQ247" s="50">
        <f t="shared" si="85"/>
        <v>520.34345754848562</v>
      </c>
      <c r="AR247" s="50">
        <f t="shared" si="86"/>
        <v>-204.79552251598307</v>
      </c>
      <c r="AS247" s="20"/>
      <c r="AT247" s="52">
        <f t="shared" si="87"/>
        <v>-149.45014432923421</v>
      </c>
      <c r="AU247" s="52">
        <f t="shared" si="88"/>
        <v>134.06849587867737</v>
      </c>
      <c r="AV247" s="20"/>
      <c r="AW247" s="20"/>
      <c r="AX247" s="20">
        <f t="shared" si="74"/>
        <v>-57.037086258024026</v>
      </c>
      <c r="AY247" s="20">
        <f t="shared" si="75"/>
        <v>80.911754999773606</v>
      </c>
      <c r="AZ247" s="20"/>
      <c r="BA247" s="20">
        <f t="shared" si="76"/>
        <v>-13.78544710928978</v>
      </c>
      <c r="BB247" s="20">
        <f t="shared" si="77"/>
        <v>10.358264809014637</v>
      </c>
      <c r="BC247" s="20"/>
      <c r="BD247" s="20">
        <f t="shared" si="78"/>
        <v>-78.627610961920411</v>
      </c>
      <c r="BE247" s="20">
        <f t="shared" si="79"/>
        <v>42.798476069889105</v>
      </c>
      <c r="BF247" s="20"/>
      <c r="BG247" s="54">
        <f t="shared" si="80"/>
        <v>71682.876265162689</v>
      </c>
      <c r="BH247" s="54">
        <f t="shared" si="81"/>
        <v>101694.21147856738</v>
      </c>
      <c r="BI247" s="54">
        <f t="shared" si="82"/>
        <v>75486.665153235488</v>
      </c>
      <c r="BJ247" s="20"/>
    </row>
    <row r="248" spans="1:62" x14ac:dyDescent="0.3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K248">
        <v>244</v>
      </c>
      <c r="AL248">
        <v>122</v>
      </c>
      <c r="AN248" s="48">
        <f t="shared" si="83"/>
        <v>61542.533257770374</v>
      </c>
      <c r="AO248" s="48">
        <f t="shared" si="84"/>
        <v>-51174.5341668685</v>
      </c>
      <c r="AP248" s="20"/>
      <c r="AQ248" s="50">
        <f t="shared" si="85"/>
        <v>445.61838538386849</v>
      </c>
      <c r="AR248" s="50">
        <f t="shared" si="86"/>
        <v>-137.76127457664438</v>
      </c>
      <c r="AS248" s="20"/>
      <c r="AT248" s="52">
        <f t="shared" si="87"/>
        <v>-148.74720400996483</v>
      </c>
      <c r="AU248" s="52">
        <f t="shared" si="88"/>
        <v>133.11525435594396</v>
      </c>
      <c r="AV248" s="20"/>
      <c r="AW248" s="20"/>
      <c r="AX248" s="20">
        <f t="shared" si="74"/>
        <v>-56.880475773946401</v>
      </c>
      <c r="AY248" s="20">
        <f t="shared" si="75"/>
        <v>80.337792558712081</v>
      </c>
      <c r="AZ248" s="20"/>
      <c r="BA248" s="20">
        <f t="shared" si="76"/>
        <v>-13.727595495407609</v>
      </c>
      <c r="BB248" s="20">
        <f t="shared" si="77"/>
        <v>10.298665323630209</v>
      </c>
      <c r="BC248" s="20"/>
      <c r="BD248" s="20">
        <f t="shared" si="78"/>
        <v>-78.139132740610805</v>
      </c>
      <c r="BE248" s="20">
        <f t="shared" si="79"/>
        <v>42.478796473601669</v>
      </c>
      <c r="BF248" s="20"/>
      <c r="BG248" s="54">
        <f t="shared" si="80"/>
        <v>71892.162501707906</v>
      </c>
      <c r="BH248" s="54">
        <f t="shared" si="81"/>
        <v>101938.7480825027</v>
      </c>
      <c r="BI248" s="54">
        <f t="shared" si="82"/>
        <v>75739.723095291367</v>
      </c>
      <c r="BJ248" s="20"/>
    </row>
    <row r="249" spans="1:62" x14ac:dyDescent="0.3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K249">
        <v>245</v>
      </c>
      <c r="AL249">
        <v>122.5</v>
      </c>
      <c r="AN249" s="48">
        <f t="shared" si="83"/>
        <v>61746.749049961065</v>
      </c>
      <c r="AO249" s="48">
        <f t="shared" si="84"/>
        <v>-51226.775397362326</v>
      </c>
      <c r="AP249" s="20"/>
      <c r="AQ249" s="50">
        <f t="shared" si="85"/>
        <v>371.24478337888604</v>
      </c>
      <c r="AR249" s="50">
        <f t="shared" si="86"/>
        <v>-71.203647398672402</v>
      </c>
      <c r="AS249" s="20"/>
      <c r="AT249" s="52">
        <f t="shared" si="87"/>
        <v>-148.22786396930712</v>
      </c>
      <c r="AU249" s="52">
        <f t="shared" si="88"/>
        <v>132.3347323971058</v>
      </c>
      <c r="AV249" s="20"/>
      <c r="AW249" s="20"/>
      <c r="AX249" s="20">
        <f t="shared" si="74"/>
        <v>-56.78552809237312</v>
      </c>
      <c r="AY249" s="20">
        <f t="shared" si="75"/>
        <v>79.882410726411152</v>
      </c>
      <c r="AZ249" s="20"/>
      <c r="BA249" s="20">
        <f t="shared" si="76"/>
        <v>-13.683772042003673</v>
      </c>
      <c r="BB249" s="20">
        <f t="shared" si="77"/>
        <v>10.248887535483759</v>
      </c>
      <c r="BC249" s="20"/>
      <c r="BD249" s="20">
        <f t="shared" si="78"/>
        <v>-77.758563834930314</v>
      </c>
      <c r="BE249" s="20">
        <f t="shared" si="79"/>
        <v>42.203434135210877</v>
      </c>
      <c r="BF249" s="20"/>
      <c r="BG249" s="54">
        <f t="shared" si="80"/>
        <v>72052.933353283166</v>
      </c>
      <c r="BH249" s="54">
        <f t="shared" si="81"/>
        <v>102133.48621189999</v>
      </c>
      <c r="BI249" s="54">
        <f t="shared" si="82"/>
        <v>75944.109478151207</v>
      </c>
      <c r="BJ249" s="20"/>
    </row>
    <row r="250" spans="1:62" x14ac:dyDescent="0.3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K250">
        <v>246</v>
      </c>
      <c r="AL250">
        <v>123</v>
      </c>
      <c r="AN250" s="48">
        <f t="shared" si="83"/>
        <v>61913.84295865435</v>
      </c>
      <c r="AO250" s="48">
        <f t="shared" si="84"/>
        <v>-51245.83537951202</v>
      </c>
      <c r="AP250" s="20"/>
      <c r="AQ250" s="50">
        <f t="shared" si="85"/>
        <v>297.13085139423248</v>
      </c>
      <c r="AR250" s="50">
        <f t="shared" si="86"/>
        <v>-5.0362812001195039</v>
      </c>
      <c r="AS250" s="20"/>
      <c r="AT250" s="52">
        <f t="shared" si="87"/>
        <v>-147.8884045504675</v>
      </c>
      <c r="AU250" s="52">
        <f t="shared" si="88"/>
        <v>131.72197998137563</v>
      </c>
      <c r="AV250" s="20"/>
      <c r="AW250" s="20"/>
      <c r="AX250" s="20">
        <f t="shared" si="74"/>
        <v>-56.751709971291689</v>
      </c>
      <c r="AY250" s="20">
        <f t="shared" si="75"/>
        <v>79.542374932502454</v>
      </c>
      <c r="AZ250" s="20"/>
      <c r="BA250" s="20">
        <f t="shared" si="76"/>
        <v>-13.653698454193872</v>
      </c>
      <c r="BB250" s="20">
        <f t="shared" si="77"/>
        <v>10.208679481307453</v>
      </c>
      <c r="BC250" s="20"/>
      <c r="BD250" s="20">
        <f t="shared" si="78"/>
        <v>-77.482996124981952</v>
      </c>
      <c r="BE250" s="20">
        <f t="shared" si="79"/>
        <v>41.970925567565722</v>
      </c>
      <c r="BF250" s="20"/>
      <c r="BG250" s="54">
        <f t="shared" si="80"/>
        <v>72165.389252739886</v>
      </c>
      <c r="BH250" s="54">
        <f t="shared" si="81"/>
        <v>102278.68800287464</v>
      </c>
      <c r="BI250" s="54">
        <f t="shared" si="82"/>
        <v>76100.08516325157</v>
      </c>
      <c r="BJ250" s="20"/>
    </row>
    <row r="251" spans="1:62" x14ac:dyDescent="0.3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K251">
        <v>247</v>
      </c>
      <c r="AL251">
        <v>123.5</v>
      </c>
      <c r="AN251" s="48">
        <f t="shared" si="83"/>
        <v>62043.922333782655</v>
      </c>
      <c r="AO251" s="48">
        <f t="shared" si="84"/>
        <v>-51231.888272614407</v>
      </c>
      <c r="AP251" s="20"/>
      <c r="AQ251" s="50">
        <f t="shared" si="85"/>
        <v>223.18664911899873</v>
      </c>
      <c r="AR251" s="50">
        <f t="shared" si="86"/>
        <v>60.824708790568309</v>
      </c>
      <c r="AS251" s="20"/>
      <c r="AT251" s="52">
        <f t="shared" si="87"/>
        <v>-147.72629360107825</v>
      </c>
      <c r="AU251" s="52">
        <f t="shared" si="88"/>
        <v>131.2732150332323</v>
      </c>
      <c r="AV251" s="20"/>
      <c r="AW251" s="20"/>
      <c r="AX251" s="20">
        <f t="shared" si="74"/>
        <v>-56.778825764527042</v>
      </c>
      <c r="AY251" s="20">
        <f t="shared" si="75"/>
        <v>79.315331823191016</v>
      </c>
      <c r="AZ251" s="20"/>
      <c r="BA251" s="20">
        <f t="shared" si="76"/>
        <v>-13.637177134643753</v>
      </c>
      <c r="BB251" s="20">
        <f t="shared" si="77"/>
        <v>10.177842342363531</v>
      </c>
      <c r="BC251" s="20"/>
      <c r="BD251" s="20">
        <f t="shared" si="78"/>
        <v>-77.310290701907462</v>
      </c>
      <c r="BE251" s="20">
        <f t="shared" si="79"/>
        <v>41.780040867677748</v>
      </c>
      <c r="BF251" s="20"/>
      <c r="BG251" s="54">
        <f t="shared" si="80"/>
        <v>72229.67607068448</v>
      </c>
      <c r="BH251" s="54">
        <f t="shared" si="81"/>
        <v>102374.55413012403</v>
      </c>
      <c r="BI251" s="54">
        <f t="shared" si="82"/>
        <v>76207.855564223137</v>
      </c>
      <c r="BJ251" s="20"/>
    </row>
    <row r="252" spans="1:62" x14ac:dyDescent="0.3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K252">
        <v>248</v>
      </c>
      <c r="AL252">
        <v>124</v>
      </c>
      <c r="AN252" s="48">
        <f t="shared" si="83"/>
        <v>62137.049871642019</v>
      </c>
      <c r="AO252" s="48">
        <f t="shared" si="84"/>
        <v>-51185.066766339973</v>
      </c>
      <c r="AP252" s="20"/>
      <c r="AQ252" s="50">
        <f t="shared" si="85"/>
        <v>149.32350231845959</v>
      </c>
      <c r="AR252" s="50">
        <f t="shared" si="86"/>
        <v>126.46131630718446</v>
      </c>
      <c r="AS252" s="20"/>
      <c r="AT252" s="52">
        <f t="shared" si="87"/>
        <v>-147.74014515737082</v>
      </c>
      <c r="AU252" s="52">
        <f t="shared" si="88"/>
        <v>130.98576627749085</v>
      </c>
      <c r="AV252" s="20"/>
      <c r="AW252" s="20"/>
      <c r="AX252" s="20">
        <f t="shared" si="74"/>
        <v>-56.8670164517129</v>
      </c>
      <c r="AY252" s="20">
        <f t="shared" si="75"/>
        <v>79.199769975288916</v>
      </c>
      <c r="AZ252" s="20"/>
      <c r="BA252" s="20">
        <f t="shared" si="76"/>
        <v>-13.634088220439978</v>
      </c>
      <c r="BB252" s="20">
        <f t="shared" si="77"/>
        <v>10.156227906522357</v>
      </c>
      <c r="BC252" s="20"/>
      <c r="BD252" s="20">
        <f t="shared" si="78"/>
        <v>-77.239040485217927</v>
      </c>
      <c r="BE252" s="20">
        <f t="shared" si="79"/>
        <v>41.629768395679577</v>
      </c>
      <c r="BF252" s="20"/>
      <c r="BG252" s="54">
        <f t="shared" si="80"/>
        <v>72245.885926155184</v>
      </c>
      <c r="BH252" s="54">
        <f t="shared" si="81"/>
        <v>102421.22512847662</v>
      </c>
      <c r="BI252" s="54">
        <f t="shared" si="82"/>
        <v>76267.571892330685</v>
      </c>
      <c r="BJ252" s="20"/>
    </row>
    <row r="253" spans="1:62" x14ac:dyDescent="0.3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K253">
        <v>249</v>
      </c>
      <c r="AL253">
        <v>124.5</v>
      </c>
      <c r="AN253" s="48">
        <f t="shared" si="83"/>
        <v>62193.244104656573</v>
      </c>
      <c r="AO253" s="48">
        <f t="shared" si="84"/>
        <v>-51105.4628874017</v>
      </c>
      <c r="AP253" s="20"/>
      <c r="AQ253" s="50">
        <f t="shared" si="85"/>
        <v>75.45342973977418</v>
      </c>
      <c r="AR253" s="50">
        <f t="shared" si="86"/>
        <v>191.95419944592987</v>
      </c>
      <c r="AS253" s="20"/>
      <c r="AT253" s="52">
        <f t="shared" si="87"/>
        <v>-147.92969571433741</v>
      </c>
      <c r="AU253" s="52">
        <f t="shared" si="88"/>
        <v>130.85803406268957</v>
      </c>
      <c r="AV253" s="20"/>
      <c r="AW253" s="20"/>
      <c r="AX253" s="20">
        <f t="shared" si="74"/>
        <v>-57.016762707622249</v>
      </c>
      <c r="AY253" s="20">
        <f t="shared" si="75"/>
        <v>79.194995353594251</v>
      </c>
      <c r="AZ253" s="20"/>
      <c r="BA253" s="20">
        <f t="shared" si="76"/>
        <v>-13.644387730316678</v>
      </c>
      <c r="BB253" s="20">
        <f t="shared" si="77"/>
        <v>10.143736716542982</v>
      </c>
      <c r="BC253" s="20"/>
      <c r="BD253" s="20">
        <f t="shared" si="78"/>
        <v>-77.26854527639847</v>
      </c>
      <c r="BE253" s="20">
        <f t="shared" si="79"/>
        <v>41.519301992552336</v>
      </c>
      <c r="BF253" s="20"/>
      <c r="BG253" s="54">
        <f t="shared" si="80"/>
        <v>72214.057691849404</v>
      </c>
      <c r="BH253" s="54">
        <f t="shared" si="81"/>
        <v>102418.78231619086</v>
      </c>
      <c r="BI253" s="54">
        <f t="shared" si="82"/>
        <v>76279.332086886454</v>
      </c>
      <c r="BJ253" s="20"/>
    </row>
    <row r="254" spans="1:62" x14ac:dyDescent="0.3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K254">
        <v>250</v>
      </c>
      <c r="AL254">
        <v>125</v>
      </c>
      <c r="AN254" s="48">
        <f t="shared" si="83"/>
        <v>62212.479607562171</v>
      </c>
      <c r="AO254" s="48">
        <f t="shared" si="84"/>
        <v>-50993.128533420902</v>
      </c>
      <c r="AP254" s="20"/>
      <c r="AQ254" s="50">
        <f t="shared" si="85"/>
        <v>1.4885818826054731</v>
      </c>
      <c r="AR254" s="50">
        <f t="shared" si="86"/>
        <v>257.38321647727469</v>
      </c>
      <c r="AS254" s="20"/>
      <c r="AT254" s="52">
        <f t="shared" si="87"/>
        <v>-148.29579739093157</v>
      </c>
      <c r="AU254" s="52">
        <f t="shared" si="88"/>
        <v>130.88946810406139</v>
      </c>
      <c r="AV254" s="20"/>
      <c r="AW254" s="20"/>
      <c r="AX254" s="20">
        <f t="shared" si="74"/>
        <v>-57.228892145463668</v>
      </c>
      <c r="AY254" s="20">
        <f t="shared" si="75"/>
        <v>79.301120787280141</v>
      </c>
      <c r="AZ254" s="20"/>
      <c r="BA254" s="20">
        <f t="shared" si="76"/>
        <v>-13.668106771403295</v>
      </c>
      <c r="BB254" s="20">
        <f t="shared" si="77"/>
        <v>10.140316860605175</v>
      </c>
      <c r="BC254" s="20"/>
      <c r="BD254" s="20">
        <f t="shared" si="78"/>
        <v>-77.398798474064606</v>
      </c>
      <c r="BE254" s="20">
        <f t="shared" si="79"/>
        <v>41.448030456176056</v>
      </c>
      <c r="BF254" s="20"/>
      <c r="BG254" s="54">
        <f t="shared" si="80"/>
        <v>72134.177199481186</v>
      </c>
      <c r="BH254" s="54">
        <f t="shared" si="81"/>
        <v>102367.248334212</v>
      </c>
      <c r="BI254" s="54">
        <f t="shared" si="82"/>
        <v>76243.181443459704</v>
      </c>
      <c r="BJ254" s="20"/>
    </row>
    <row r="255" spans="1:62" x14ac:dyDescent="0.3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K255">
        <v>251</v>
      </c>
      <c r="AL255">
        <v>125.5</v>
      </c>
      <c r="AN255" s="48">
        <f t="shared" si="83"/>
        <v>62194.686923829606</v>
      </c>
      <c r="AO255" s="48">
        <f t="shared" si="84"/>
        <v>-50848.075741669258</v>
      </c>
      <c r="AP255" s="20"/>
      <c r="AQ255" s="50">
        <f t="shared" si="85"/>
        <v>-72.659316812860311</v>
      </c>
      <c r="AR255" s="50">
        <f t="shared" si="86"/>
        <v>322.82795052930538</v>
      </c>
      <c r="AS255" s="20"/>
      <c r="AT255" s="52">
        <f t="shared" si="87"/>
        <v>-148.84042775460415</v>
      </c>
      <c r="AU255" s="52">
        <f t="shared" si="88"/>
        <v>131.08056157892054</v>
      </c>
      <c r="AV255" s="20"/>
      <c r="AW255" s="20"/>
      <c r="AX255" s="20">
        <f t="shared" si="74"/>
        <v>-57.504590948524623</v>
      </c>
      <c r="AY255" s="20">
        <f t="shared" si="75"/>
        <v>79.519069171320595</v>
      </c>
      <c r="AZ255" s="20"/>
      <c r="BA255" s="20">
        <f t="shared" si="76"/>
        <v>-13.705351782225256</v>
      </c>
      <c r="BB255" s="20">
        <f t="shared" si="77"/>
        <v>10.145963376974551</v>
      </c>
      <c r="BC255" s="20"/>
      <c r="BD255" s="20">
        <f t="shared" si="78"/>
        <v>-77.630485023854277</v>
      </c>
      <c r="BE255" s="20">
        <f t="shared" si="79"/>
        <v>41.415529030625386</v>
      </c>
      <c r="BF255" s="20"/>
      <c r="BG255" s="54">
        <f t="shared" si="80"/>
        <v>72006.17714721126</v>
      </c>
      <c r="BH255" s="54">
        <f t="shared" si="81"/>
        <v>102266.5873096892</v>
      </c>
      <c r="BI255" s="54">
        <f t="shared" si="82"/>
        <v>76159.112948956623</v>
      </c>
      <c r="BJ255" s="20"/>
    </row>
    <row r="256" spans="1:62" x14ac:dyDescent="0.3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K256">
        <v>252</v>
      </c>
      <c r="AL256">
        <v>126</v>
      </c>
      <c r="AN256" s="48">
        <f t="shared" si="83"/>
        <v>62139.752211953848</v>
      </c>
      <c r="AO256" s="48">
        <f t="shared" si="84"/>
        <v>-50670.276696207242</v>
      </c>
      <c r="AP256" s="20"/>
      <c r="AQ256" s="50">
        <f t="shared" si="85"/>
        <v>-147.07953069016239</v>
      </c>
      <c r="AR256" s="50">
        <f t="shared" si="86"/>
        <v>388.36823131876565</v>
      </c>
      <c r="AS256" s="20"/>
      <c r="AT256" s="52">
        <f t="shared" si="87"/>
        <v>-149.56671651329401</v>
      </c>
      <c r="AU256" s="52">
        <f t="shared" si="88"/>
        <v>131.43286146625081</v>
      </c>
      <c r="AV256" s="20"/>
      <c r="AW256" s="20"/>
      <c r="AX256" s="20">
        <f t="shared" si="74"/>
        <v>-57.845420194760329</v>
      </c>
      <c r="AY256" s="20">
        <f t="shared" si="75"/>
        <v>79.850590516359532</v>
      </c>
      <c r="AZ256" s="20"/>
      <c r="BA256" s="20">
        <f t="shared" si="76"/>
        <v>-13.756305815217599</v>
      </c>
      <c r="BB256" s="20">
        <f t="shared" si="77"/>
        <v>10.160718259452414</v>
      </c>
      <c r="BC256" s="20"/>
      <c r="BD256" s="20">
        <f t="shared" si="78"/>
        <v>-77.964990503316102</v>
      </c>
      <c r="BE256" s="20">
        <f t="shared" si="79"/>
        <v>41.421552690438858</v>
      </c>
      <c r="BF256" s="20"/>
      <c r="BG256" s="54">
        <f t="shared" si="80"/>
        <v>71829.936707463276</v>
      </c>
      <c r="BH256" s="54">
        <f t="shared" si="81"/>
        <v>102116.70464637765</v>
      </c>
      <c r="BI256" s="54">
        <f t="shared" si="82"/>
        <v>76027.067329120007</v>
      </c>
      <c r="BJ256" s="20"/>
    </row>
    <row r="257" spans="1:62" x14ac:dyDescent="0.3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K257">
        <v>253</v>
      </c>
      <c r="AL257">
        <v>126.5</v>
      </c>
      <c r="AN257" s="48">
        <f t="shared" si="83"/>
        <v>62047.516607044607</v>
      </c>
      <c r="AO257" s="48">
        <f t="shared" si="84"/>
        <v>-50459.66347286458</v>
      </c>
      <c r="AP257" s="20"/>
      <c r="AQ257" s="50">
        <f t="shared" si="85"/>
        <v>-221.86288894680939</v>
      </c>
      <c r="AR257" s="50">
        <f t="shared" si="86"/>
        <v>454.08466205189109</v>
      </c>
      <c r="AS257" s="20"/>
      <c r="AT257" s="52">
        <f t="shared" si="87"/>
        <v>-150.47898973357709</v>
      </c>
      <c r="AU257" s="52">
        <f t="shared" si="88"/>
        <v>131.94899547876759</v>
      </c>
      <c r="AV257" s="20"/>
      <c r="AW257" s="20"/>
      <c r="AX257" s="20">
        <f t="shared" si="74"/>
        <v>-58.253337281896066</v>
      </c>
      <c r="AY257" s="20">
        <f t="shared" si="75"/>
        <v>80.298293394675824</v>
      </c>
      <c r="AZ257" s="20"/>
      <c r="BA257" s="20">
        <f t="shared" si="76"/>
        <v>-13.821230888589247</v>
      </c>
      <c r="BB257" s="20">
        <f t="shared" si="77"/>
        <v>10.184671064536763</v>
      </c>
      <c r="BC257" s="20"/>
      <c r="BD257" s="20">
        <f t="shared" si="78"/>
        <v>-78.404421563091788</v>
      </c>
      <c r="BE257" s="20">
        <f t="shared" si="79"/>
        <v>41.466031019555011</v>
      </c>
      <c r="BF257" s="20"/>
      <c r="BG257" s="54">
        <f t="shared" si="80"/>
        <v>71605.280829750292</v>
      </c>
      <c r="BH257" s="54">
        <f t="shared" si="81"/>
        <v>101917.44643894536</v>
      </c>
      <c r="BI257" s="54">
        <f t="shared" si="82"/>
        <v>75846.932810633356</v>
      </c>
      <c r="BJ257" s="20"/>
    </row>
    <row r="258" spans="1:62" x14ac:dyDescent="0.3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K258">
        <v>254</v>
      </c>
      <c r="AL258">
        <v>127</v>
      </c>
      <c r="AN258" s="48">
        <f t="shared" si="83"/>
        <v>61917.775288854507</v>
      </c>
      <c r="AO258" s="48">
        <f t="shared" si="84"/>
        <v>-50216.127517403795</v>
      </c>
      <c r="AP258" s="20"/>
      <c r="AQ258" s="50">
        <f t="shared" si="85"/>
        <v>-297.10238381359795</v>
      </c>
      <c r="AR258" s="50">
        <f t="shared" si="86"/>
        <v>520.05915979127485</v>
      </c>
      <c r="AS258" s="20"/>
      <c r="AT258" s="52">
        <f t="shared" si="87"/>
        <v>-151.58283271955818</v>
      </c>
      <c r="AU258" s="52">
        <f t="shared" si="88"/>
        <v>132.63271640978465</v>
      </c>
      <c r="AV258" s="20"/>
      <c r="AW258" s="20"/>
      <c r="AX258" s="20">
        <f t="shared" si="74"/>
        <v>-58.730722979307572</v>
      </c>
      <c r="AY258" s="20">
        <f t="shared" si="75"/>
        <v>80.865691781221997</v>
      </c>
      <c r="AZ258" s="20"/>
      <c r="BA258" s="20">
        <f t="shared" si="76"/>
        <v>-13.900471465090922</v>
      </c>
      <c r="BB258" s="20">
        <f t="shared" si="77"/>
        <v>10.217960135543768</v>
      </c>
      <c r="BC258" s="20"/>
      <c r="BD258" s="20">
        <f t="shared" si="78"/>
        <v>-78.951638275159695</v>
      </c>
      <c r="BE258" s="20">
        <f t="shared" si="79"/>
        <v>41.549064493018896</v>
      </c>
      <c r="BF258" s="20"/>
      <c r="BG258" s="54">
        <f t="shared" si="80"/>
        <v>71331.979229319841</v>
      </c>
      <c r="BH258" s="54">
        <f t="shared" si="81"/>
        <v>101668.59850252436</v>
      </c>
      <c r="BI258" s="54">
        <f t="shared" si="82"/>
        <v>75618.544596756634</v>
      </c>
      <c r="BJ258" s="20"/>
    </row>
    <row r="259" spans="1:62" x14ac:dyDescent="0.3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K259">
        <v>255</v>
      </c>
      <c r="AL259">
        <v>127.5</v>
      </c>
      <c r="AN259" s="48">
        <f t="shared" si="83"/>
        <v>61750.276242857763</v>
      </c>
      <c r="AO259" s="48">
        <f t="shared" si="84"/>
        <v>-49939.518847956933</v>
      </c>
      <c r="AP259" s="20"/>
      <c r="AQ259" s="50">
        <f t="shared" si="85"/>
        <v>-372.89380017337703</v>
      </c>
      <c r="AR259" s="50">
        <f t="shared" si="86"/>
        <v>586.37551799616722</v>
      </c>
      <c r="AS259" s="20"/>
      <c r="AT259" s="52">
        <f t="shared" si="87"/>
        <v>-152.88517320818084</v>
      </c>
      <c r="AU259" s="52">
        <f t="shared" si="88"/>
        <v>133.48896523023433</v>
      </c>
      <c r="AV259" s="20"/>
      <c r="AW259" s="20"/>
      <c r="AX259" s="20">
        <f t="shared" si="74"/>
        <v>-59.280414771268482</v>
      </c>
      <c r="AY259" s="20">
        <f t="shared" si="75"/>
        <v>81.55726878936477</v>
      </c>
      <c r="AZ259" s="20"/>
      <c r="BA259" s="20">
        <f t="shared" si="76"/>
        <v>-13.994459145247438</v>
      </c>
      <c r="BB259" s="20">
        <f t="shared" si="77"/>
        <v>10.260774473857596</v>
      </c>
      <c r="BC259" s="20"/>
      <c r="BD259" s="20">
        <f t="shared" si="78"/>
        <v>-79.61029929166493</v>
      </c>
      <c r="BE259" s="20">
        <f t="shared" si="79"/>
        <v>41.670921967011978</v>
      </c>
      <c r="BF259" s="20"/>
      <c r="BG259" s="54">
        <f t="shared" si="80"/>
        <v>71009.745048406796</v>
      </c>
      <c r="BH259" s="54">
        <f t="shared" si="81"/>
        <v>101369.88500293437</v>
      </c>
      <c r="BI259" s="54">
        <f t="shared" si="82"/>
        <v>75341.684052220124</v>
      </c>
      <c r="BJ259" s="20"/>
    </row>
    <row r="260" spans="1:62" x14ac:dyDescent="0.3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K260">
        <v>256</v>
      </c>
      <c r="AL260">
        <v>128</v>
      </c>
      <c r="AN260" s="48">
        <f t="shared" si="83"/>
        <v>61544.71869612005</v>
      </c>
      <c r="AO260" s="48">
        <f t="shared" si="84"/>
        <v>-49629.644968305067</v>
      </c>
      <c r="AP260" s="20"/>
      <c r="AQ260" s="50">
        <f t="shared" si="85"/>
        <v>-449.33638677746745</v>
      </c>
      <c r="AR260" s="50">
        <f t="shared" si="86"/>
        <v>653.12000061128435</v>
      </c>
      <c r="AS260" s="20"/>
      <c r="AT260" s="52">
        <f t="shared" si="87"/>
        <v>-154.39438712529852</v>
      </c>
      <c r="AU260" s="52">
        <f t="shared" si="88"/>
        <v>134.52395484713861</v>
      </c>
      <c r="AV260" s="20"/>
      <c r="AW260" s="20"/>
      <c r="AX260" s="20">
        <f t="shared" ref="AX260:AX323" si="89">Masse_1*(q_1x-AN260)/($BG260^2+Aarseth_1^2)^(3/2)</f>
        <v>-59.905747318972196</v>
      </c>
      <c r="AY260" s="20">
        <f t="shared" ref="AY260:AY323" si="90">Masse_1*(q_1y-AO260)/($BG260^2+Aarseth_1^2)^(3/2)</f>
        <v>82.378559376633817</v>
      </c>
      <c r="AZ260" s="20"/>
      <c r="BA260" s="20">
        <f t="shared" ref="BA260:BA323" si="91">Masse_2*(q_2x-AN260)/($BH260^2+Aarseth_2^2)^(3/2)</f>
        <v>-14.103718696203291</v>
      </c>
      <c r="BB260" s="20">
        <f t="shared" ref="BB260:BB323" si="92">Masse_2*(q_2y-AO260)/($BH260^2+Aarseth_2^2)^(3/2)</f>
        <v>10.313356303569712</v>
      </c>
      <c r="BC260" s="20"/>
      <c r="BD260" s="20">
        <f t="shared" ref="BD260:BD323" si="93">Masse_3*(q_3x-AN260)/($BI260^2+Aarseth_3^2)^(3/2)</f>
        <v>-80.384921110123017</v>
      </c>
      <c r="BE260" s="20">
        <f t="shared" ref="BE260:BE323" si="94">Masse_3*(q_3y-AO260)/($BI260^2+Aarseth_3^2)^(3/2)</f>
        <v>41.832039166935083</v>
      </c>
      <c r="BF260" s="20"/>
      <c r="BG260" s="54">
        <f t="shared" ref="BG260:BG323" si="95">SQRT((q_1x-AN260)^2+(q_1y-AO260)^2)</f>
        <v>70638.233172583889</v>
      </c>
      <c r="BH260" s="54">
        <f t="shared" ref="BH260:BH323" si="96">SQRT((q_2x-AN260)^2+(q_2y-AO260)^2)</f>
        <v>101020.9666667047</v>
      </c>
      <c r="BI260" s="54">
        <f t="shared" ref="BI260:BI323" si="97">SQRT((q_3x-AN260)^2+(q_3y-AO260)^2)</f>
        <v>75016.077589918059</v>
      </c>
      <c r="BJ260" s="20"/>
    </row>
    <row r="261" spans="1:62" x14ac:dyDescent="0.3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K261">
        <v>257</v>
      </c>
      <c r="AL261">
        <v>128.5</v>
      </c>
      <c r="AN261" s="48">
        <f t="shared" ref="AN261:AN324" si="98">AN260+(AQ260*bt)+(0.5*AT260)*bt^2</f>
        <v>61300.75120434066</v>
      </c>
      <c r="AO261" s="48">
        <f t="shared" ref="AO261:AO324" si="99">AO260+(AR260*bt)+(0.5*AU260)*bt^2</f>
        <v>-49286.269473643537</v>
      </c>
      <c r="AP261" s="20"/>
      <c r="AQ261" s="50">
        <f t="shared" ref="AQ261:AQ324" si="100">AQ260+(AT260*bt)</f>
        <v>-526.53358034011671</v>
      </c>
      <c r="AR261" s="50">
        <f t="shared" ref="AR261:AR324" si="101">AR260+(AU260*bt)</f>
        <v>720.38197803485366</v>
      </c>
      <c r="AS261" s="20"/>
      <c r="AT261" s="52">
        <f t="shared" si="87"/>
        <v>-156.12042982942125</v>
      </c>
      <c r="AU261" s="52">
        <f t="shared" si="88"/>
        <v>135.74527710195662</v>
      </c>
      <c r="AV261" s="20"/>
      <c r="AW261" s="20"/>
      <c r="AX261" s="20">
        <f t="shared" si="89"/>
        <v>-60.610601062029886</v>
      </c>
      <c r="AY261" s="20">
        <f t="shared" si="90"/>
        <v>83.336254777520836</v>
      </c>
      <c r="AZ261" s="20"/>
      <c r="BA261" s="20">
        <f t="shared" si="91"/>
        <v>-14.22887557600087</v>
      </c>
      <c r="BB261" s="20">
        <f t="shared" si="92"/>
        <v>10.376004393680114</v>
      </c>
      <c r="BC261" s="20"/>
      <c r="BD261" s="20">
        <f t="shared" si="93"/>
        <v>-81.280953191390481</v>
      </c>
      <c r="BE261" s="20">
        <f t="shared" si="94"/>
        <v>42.033017930755655</v>
      </c>
      <c r="BF261" s="20"/>
      <c r="BG261" s="54">
        <f t="shared" si="95"/>
        <v>70217.03818003225</v>
      </c>
      <c r="BH261" s="54">
        <f t="shared" si="96"/>
        <v>100621.43854314336</v>
      </c>
      <c r="BI261" s="54">
        <f t="shared" si="97"/>
        <v>74641.395248743705</v>
      </c>
      <c r="BJ261" s="20"/>
    </row>
    <row r="262" spans="1:62" x14ac:dyDescent="0.3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K262">
        <v>258</v>
      </c>
      <c r="AL262">
        <v>129</v>
      </c>
      <c r="AN262" s="48">
        <f t="shared" si="98"/>
        <v>61017.96936044193</v>
      </c>
      <c r="AO262" s="48">
        <f t="shared" si="99"/>
        <v>-48909.110324988367</v>
      </c>
      <c r="AP262" s="20"/>
      <c r="AQ262" s="50">
        <f t="shared" si="100"/>
        <v>-604.59379525482734</v>
      </c>
      <c r="AR262" s="50">
        <f t="shared" si="101"/>
        <v>788.25461658583197</v>
      </c>
      <c r="AS262" s="20"/>
      <c r="AT262" s="52">
        <f t="shared" si="87"/>
        <v>-158.0749965782008</v>
      </c>
      <c r="AU262" s="52">
        <f t="shared" si="88"/>
        <v>137.16203638010404</v>
      </c>
      <c r="AV262" s="20"/>
      <c r="AW262" s="20"/>
      <c r="AX262" s="20">
        <f t="shared" si="89"/>
        <v>-61.399460211416994</v>
      </c>
      <c r="AY262" s="20">
        <f t="shared" si="90"/>
        <v>84.438332247153411</v>
      </c>
      <c r="AZ262" s="20"/>
      <c r="BA262" s="20">
        <f t="shared" si="91"/>
        <v>-14.370665158686144</v>
      </c>
      <c r="BB262" s="20">
        <f t="shared" si="92"/>
        <v>10.4490782225141</v>
      </c>
      <c r="BC262" s="20"/>
      <c r="BD262" s="20">
        <f t="shared" si="93"/>
        <v>-82.304871208097666</v>
      </c>
      <c r="BE262" s="20">
        <f t="shared" si="94"/>
        <v>42.274625910436519</v>
      </c>
      <c r="BF262" s="20"/>
      <c r="BG262" s="54">
        <f t="shared" si="95"/>
        <v>69745.691896423697</v>
      </c>
      <c r="BH262" s="54">
        <f t="shared" si="96"/>
        <v>100170.82728305261</v>
      </c>
      <c r="BI262" s="54">
        <f t="shared" si="97"/>
        <v>74217.24894866746</v>
      </c>
      <c r="BJ262" s="20"/>
    </row>
    <row r="263" spans="1:62" x14ac:dyDescent="0.3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K263">
        <v>259</v>
      </c>
      <c r="AL263">
        <v>129.5</v>
      </c>
      <c r="AN263" s="48">
        <f t="shared" si="98"/>
        <v>60695.91308824224</v>
      </c>
      <c r="AO263" s="48">
        <f t="shared" si="99"/>
        <v>-48497.837762147938</v>
      </c>
      <c r="AP263" s="20"/>
      <c r="AQ263" s="50">
        <f t="shared" si="100"/>
        <v>-683.63129354392777</v>
      </c>
      <c r="AR263" s="50">
        <f t="shared" si="101"/>
        <v>856.83563477588405</v>
      </c>
      <c r="AS263" s="20"/>
      <c r="AT263" s="52">
        <f t="shared" si="87"/>
        <v>-160.27171692575806</v>
      </c>
      <c r="AU263" s="52">
        <f t="shared" si="88"/>
        <v>138.78501416500256</v>
      </c>
      <c r="AV263" s="20"/>
      <c r="AW263" s="20"/>
      <c r="AX263" s="20">
        <f t="shared" si="89"/>
        <v>-62.277481664200465</v>
      </c>
      <c r="AY263" s="20">
        <f t="shared" si="90"/>
        <v>85.694214721394545</v>
      </c>
      <c r="AZ263" s="20"/>
      <c r="BA263" s="20">
        <f t="shared" si="91"/>
        <v>-14.529943920381745</v>
      </c>
      <c r="BB263" s="20">
        <f t="shared" si="92"/>
        <v>10.533003092958914</v>
      </c>
      <c r="BC263" s="20"/>
      <c r="BD263" s="20">
        <f t="shared" si="93"/>
        <v>-83.464291341175851</v>
      </c>
      <c r="BE263" s="20">
        <f t="shared" si="94"/>
        <v>42.557796350649127</v>
      </c>
      <c r="BF263" s="20"/>
      <c r="BG263" s="54">
        <f t="shared" si="95"/>
        <v>69223.660522408143</v>
      </c>
      <c r="BH263" s="54">
        <f t="shared" si="96"/>
        <v>99668.587890025447</v>
      </c>
      <c r="BI263" s="54">
        <f t="shared" si="97"/>
        <v>73743.190405874499</v>
      </c>
      <c r="BJ263" s="20"/>
    </row>
    <row r="264" spans="1:62" x14ac:dyDescent="0.3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K264">
        <v>260</v>
      </c>
      <c r="AL264">
        <v>130</v>
      </c>
      <c r="AN264" s="48">
        <f t="shared" si="98"/>
        <v>60334.06347685455</v>
      </c>
      <c r="AO264" s="48">
        <f t="shared" si="99"/>
        <v>-48052.071817989374</v>
      </c>
      <c r="AP264" s="20"/>
      <c r="AQ264" s="50">
        <f t="shared" si="100"/>
        <v>-763.76715200680678</v>
      </c>
      <c r="AR264" s="50">
        <f t="shared" si="101"/>
        <v>926.22814185838536</v>
      </c>
      <c r="AS264" s="20"/>
      <c r="AT264" s="52">
        <f t="shared" si="87"/>
        <v>-162.72638894623788</v>
      </c>
      <c r="AU264" s="52">
        <f t="shared" si="88"/>
        <v>140.6268700571693</v>
      </c>
      <c r="AV264" s="20"/>
      <c r="AW264" s="20"/>
      <c r="AX264" s="20">
        <f t="shared" si="89"/>
        <v>-63.250576707133682</v>
      </c>
      <c r="AY264" s="20">
        <f t="shared" si="90"/>
        <v>87.114966281050556</v>
      </c>
      <c r="AZ264" s="20"/>
      <c r="BA264" s="20">
        <f t="shared" si="91"/>
        <v>-14.707702913255153</v>
      </c>
      <c r="BB264" s="20">
        <f t="shared" si="92"/>
        <v>10.628276335653503</v>
      </c>
      <c r="BC264" s="20"/>
      <c r="BD264" s="20">
        <f t="shared" si="93"/>
        <v>-84.768109325849053</v>
      </c>
      <c r="BE264" s="20">
        <f t="shared" si="94"/>
        <v>42.88362744046524</v>
      </c>
      <c r="BF264" s="20"/>
      <c r="BG264" s="54">
        <f t="shared" si="95"/>
        <v>68650.341294315367</v>
      </c>
      <c r="BH264" s="54">
        <f t="shared" si="96"/>
        <v>99114.099890299622</v>
      </c>
      <c r="BI264" s="54">
        <f t="shared" si="97"/>
        <v>73218.708687460385</v>
      </c>
      <c r="BJ264" s="20"/>
    </row>
    <row r="265" spans="1:62" x14ac:dyDescent="0.3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K265">
        <v>261</v>
      </c>
      <c r="AL265">
        <v>130.5</v>
      </c>
      <c r="AN265" s="48">
        <f t="shared" si="98"/>
        <v>59931.839102232865</v>
      </c>
      <c r="AO265" s="48">
        <f t="shared" si="99"/>
        <v>-47571.37938830303</v>
      </c>
      <c r="AP265" s="20"/>
      <c r="AQ265" s="50">
        <f t="shared" si="100"/>
        <v>-845.13034647992572</v>
      </c>
      <c r="AR265" s="50">
        <f t="shared" si="101"/>
        <v>996.54157688697001</v>
      </c>
      <c r="AS265" s="20"/>
      <c r="AT265" s="52">
        <f t="shared" si="87"/>
        <v>-165.45726064332382</v>
      </c>
      <c r="AU265" s="52">
        <f t="shared" si="88"/>
        <v>142.70238626406419</v>
      </c>
      <c r="AV265" s="20"/>
      <c r="AW265" s="20"/>
      <c r="AX265" s="20">
        <f t="shared" si="89"/>
        <v>-64.325507785072503</v>
      </c>
      <c r="AY265" s="20">
        <f t="shared" si="90"/>
        <v>88.713530937243576</v>
      </c>
      <c r="AZ265" s="20"/>
      <c r="BA265" s="20">
        <f t="shared" si="91"/>
        <v>-14.905083936841775</v>
      </c>
      <c r="BB265" s="20">
        <f t="shared" si="92"/>
        <v>10.735474771760236</v>
      </c>
      <c r="BC265" s="20"/>
      <c r="BD265" s="20">
        <f t="shared" si="93"/>
        <v>-86.226668921409527</v>
      </c>
      <c r="BE265" s="20">
        <f t="shared" si="94"/>
        <v>43.253380555060367</v>
      </c>
      <c r="BF265" s="20"/>
      <c r="BG265" s="54">
        <f t="shared" si="95"/>
        <v>68025.058631485357</v>
      </c>
      <c r="BH265" s="54">
        <f t="shared" si="96"/>
        <v>98506.662855550865</v>
      </c>
      <c r="BI265" s="54">
        <f t="shared" si="97"/>
        <v>72643.227381876612</v>
      </c>
      <c r="BJ265" s="20"/>
    </row>
    <row r="266" spans="1:62" x14ac:dyDescent="0.3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AK266">
        <v>262</v>
      </c>
      <c r="AL266">
        <v>131</v>
      </c>
      <c r="AN266" s="48">
        <f t="shared" si="98"/>
        <v>59488.591771412488</v>
      </c>
      <c r="AO266" s="48">
        <f t="shared" si="99"/>
        <v>-47055.270801576538</v>
      </c>
      <c r="AP266" s="20"/>
      <c r="AQ266" s="50">
        <f t="shared" si="100"/>
        <v>-927.85897680158769</v>
      </c>
      <c r="AR266" s="50">
        <f t="shared" si="101"/>
        <v>1067.892770019002</v>
      </c>
      <c r="AS266" s="20"/>
      <c r="AT266" s="52">
        <f t="shared" si="87"/>
        <v>-168.48536772753732</v>
      </c>
      <c r="AU266" s="52">
        <f t="shared" si="88"/>
        <v>145.02876444631221</v>
      </c>
      <c r="AV266" s="20"/>
      <c r="AW266" s="20"/>
      <c r="AX266" s="20">
        <f t="shared" si="89"/>
        <v>-65.510003107784257</v>
      </c>
      <c r="AY266" s="20">
        <f t="shared" si="90"/>
        <v>90.505024348439918</v>
      </c>
      <c r="AZ266" s="20"/>
      <c r="BA266" s="20">
        <f t="shared" si="91"/>
        <v>-15.123398919317571</v>
      </c>
      <c r="BB266" s="20">
        <f t="shared" si="92"/>
        <v>10.855263649195241</v>
      </c>
      <c r="BC266" s="20"/>
      <c r="BD266" s="20">
        <f t="shared" si="93"/>
        <v>-87.851965700435514</v>
      </c>
      <c r="BE266" s="20">
        <f t="shared" si="94"/>
        <v>43.66847644867704</v>
      </c>
      <c r="BF266" s="20"/>
      <c r="BG266" s="54">
        <f t="shared" si="95"/>
        <v>67347.059715496231</v>
      </c>
      <c r="BH266" s="54">
        <f t="shared" si="96"/>
        <v>97845.49119935726</v>
      </c>
      <c r="BI266" s="54">
        <f t="shared" si="97"/>
        <v>72016.101358115018</v>
      </c>
      <c r="BJ266" s="20"/>
    </row>
    <row r="267" spans="1:62" x14ac:dyDescent="0.3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AK267">
        <v>263</v>
      </c>
      <c r="AL267">
        <v>131.5</v>
      </c>
      <c r="AN267" s="48">
        <f t="shared" si="98"/>
        <v>59003.601612045757</v>
      </c>
      <c r="AO267" s="48">
        <f t="shared" si="99"/>
        <v>-46503.19582101125</v>
      </c>
      <c r="AP267" s="20"/>
      <c r="AQ267" s="50">
        <f t="shared" si="100"/>
        <v>-1012.1016606653563</v>
      </c>
      <c r="AR267" s="50">
        <f t="shared" si="101"/>
        <v>1140.4071522421582</v>
      </c>
      <c r="AS267" s="20"/>
      <c r="AT267" s="52">
        <f t="shared" si="87"/>
        <v>-171.83493922748841</v>
      </c>
      <c r="AU267" s="52">
        <f t="shared" si="88"/>
        <v>147.62598620999512</v>
      </c>
      <c r="AV267" s="20"/>
      <c r="AW267" s="20"/>
      <c r="AX267" s="20">
        <f t="shared" si="89"/>
        <v>-66.812892474983812</v>
      </c>
      <c r="AY267" s="20">
        <f t="shared" si="90"/>
        <v>92.50709079595363</v>
      </c>
      <c r="AZ267" s="20"/>
      <c r="BA267" s="20">
        <f t="shared" si="91"/>
        <v>-15.364153151434849</v>
      </c>
      <c r="BB267" s="20">
        <f t="shared" si="92"/>
        <v>10.988407318473019</v>
      </c>
      <c r="BC267" s="20"/>
      <c r="BD267" s="20">
        <f t="shared" si="93"/>
        <v>-89.657893601069745</v>
      </c>
      <c r="BE267" s="20">
        <f t="shared" si="94"/>
        <v>44.130488095568452</v>
      </c>
      <c r="BF267" s="20"/>
      <c r="BG267" s="54">
        <f t="shared" si="95"/>
        <v>66615.509437319968</v>
      </c>
      <c r="BH267" s="54">
        <f t="shared" si="96"/>
        <v>97129.708151843952</v>
      </c>
      <c r="BI267" s="54">
        <f t="shared" si="97"/>
        <v>71336.613083678472</v>
      </c>
      <c r="BJ267" s="20"/>
    </row>
    <row r="268" spans="1:62" x14ac:dyDescent="0.3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AK268">
        <v>264</v>
      </c>
      <c r="AL268">
        <v>132</v>
      </c>
      <c r="AN268" s="48">
        <f t="shared" si="98"/>
        <v>58476.071414309641</v>
      </c>
      <c r="AO268" s="48">
        <f t="shared" si="99"/>
        <v>-45914.538996613919</v>
      </c>
      <c r="AP268" s="20"/>
      <c r="AQ268" s="50">
        <f t="shared" si="100"/>
        <v>-1098.0191302791006</v>
      </c>
      <c r="AR268" s="50">
        <f t="shared" si="101"/>
        <v>1214.2201453471557</v>
      </c>
      <c r="AS268" s="20"/>
      <c r="AT268" s="52">
        <f t="shared" si="87"/>
        <v>-175.53388528334168</v>
      </c>
      <c r="AU268" s="52">
        <f t="shared" si="88"/>
        <v>150.51725163791991</v>
      </c>
      <c r="AV268" s="20"/>
      <c r="AW268" s="20"/>
      <c r="AX268" s="20">
        <f t="shared" si="89"/>
        <v>-68.24426843748887</v>
      </c>
      <c r="AY268" s="20">
        <f t="shared" si="90"/>
        <v>94.740341301943261</v>
      </c>
      <c r="AZ268" s="20"/>
      <c r="BA268" s="20">
        <f t="shared" si="91"/>
        <v>-15.62907318150847</v>
      </c>
      <c r="BB268" s="20">
        <f t="shared" si="92"/>
        <v>11.13578197963971</v>
      </c>
      <c r="BC268" s="20"/>
      <c r="BD268" s="20">
        <f t="shared" si="93"/>
        <v>-91.660543664344331</v>
      </c>
      <c r="BE268" s="20">
        <f t="shared" si="94"/>
        <v>44.641128356336928</v>
      </c>
      <c r="BF268" s="20"/>
      <c r="BG268" s="54">
        <f t="shared" si="95"/>
        <v>65829.48463796328</v>
      </c>
      <c r="BH268" s="54">
        <f t="shared" si="96"/>
        <v>96358.338797572083</v>
      </c>
      <c r="BI268" s="54">
        <f t="shared" si="97"/>
        <v>70603.968468972758</v>
      </c>
      <c r="BJ268" s="20"/>
    </row>
    <row r="269" spans="1:62" x14ac:dyDescent="0.3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AK269">
        <v>265</v>
      </c>
      <c r="AL269">
        <v>132.5</v>
      </c>
      <c r="AN269" s="48">
        <f t="shared" si="98"/>
        <v>57905.120113509671</v>
      </c>
      <c r="AO269" s="48">
        <f t="shared" si="99"/>
        <v>-45288.614267485602</v>
      </c>
      <c r="AP269" s="20"/>
      <c r="AQ269" s="50">
        <f t="shared" si="100"/>
        <v>-1185.7860729207714</v>
      </c>
      <c r="AR269" s="50">
        <f t="shared" si="101"/>
        <v>1289.4787711661156</v>
      </c>
      <c r="AS269" s="20"/>
      <c r="AT269" s="52">
        <f t="shared" si="87"/>
        <v>-179.61438512776084</v>
      </c>
      <c r="AU269" s="52">
        <f t="shared" si="88"/>
        <v>153.72951429425916</v>
      </c>
      <c r="AV269" s="20"/>
      <c r="AW269" s="20"/>
      <c r="AX269" s="20">
        <f t="shared" si="89"/>
        <v>-69.815677808284491</v>
      </c>
      <c r="AY269" s="20">
        <f t="shared" si="90"/>
        <v>97.228893474236855</v>
      </c>
      <c r="AZ269" s="20"/>
      <c r="BA269" s="20">
        <f t="shared" si="91"/>
        <v>-15.920140392556874</v>
      </c>
      <c r="BB269" s="20">
        <f t="shared" si="92"/>
        <v>11.298390914047973</v>
      </c>
      <c r="BC269" s="20"/>
      <c r="BD269" s="20">
        <f t="shared" si="93"/>
        <v>-93.87856692691949</v>
      </c>
      <c r="BE269" s="20">
        <f t="shared" si="94"/>
        <v>45.202229905974349</v>
      </c>
      <c r="BF269" s="20"/>
      <c r="BG269" s="54">
        <f t="shared" si="95"/>
        <v>64987.967556317526</v>
      </c>
      <c r="BH269" s="54">
        <f t="shared" si="96"/>
        <v>95530.302038249545</v>
      </c>
      <c r="BI269" s="54">
        <f t="shared" si="97"/>
        <v>69817.292204292855</v>
      </c>
      <c r="BJ269" s="20"/>
    </row>
    <row r="270" spans="1:62" x14ac:dyDescent="0.3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AK270">
        <v>266</v>
      </c>
      <c r="AL270">
        <v>133</v>
      </c>
      <c r="AN270" s="48">
        <f t="shared" si="98"/>
        <v>57289.77527890831</v>
      </c>
      <c r="AO270" s="48">
        <f t="shared" si="99"/>
        <v>-44624.658692615762</v>
      </c>
      <c r="AP270" s="20"/>
      <c r="AQ270" s="50">
        <f t="shared" si="100"/>
        <v>-1275.5932654846517</v>
      </c>
      <c r="AR270" s="50">
        <f t="shared" si="101"/>
        <v>1366.3435283132453</v>
      </c>
      <c r="AS270" s="20"/>
      <c r="AT270" s="52">
        <f t="shared" si="87"/>
        <v>-184.11359792250553</v>
      </c>
      <c r="AU270" s="52">
        <f t="shared" si="88"/>
        <v>157.29413644605552</v>
      </c>
      <c r="AV270" s="20"/>
      <c r="AW270" s="20"/>
      <c r="AX270" s="20">
        <f t="shared" si="89"/>
        <v>-71.540349618165564</v>
      </c>
      <c r="AY270" s="20">
        <f t="shared" si="90"/>
        <v>100.00103992867115</v>
      </c>
      <c r="AZ270" s="20"/>
      <c r="BA270" s="20">
        <f t="shared" si="91"/>
        <v>-16.239631558144438</v>
      </c>
      <c r="BB270" s="20">
        <f t="shared" si="92"/>
        <v>11.477382719206188</v>
      </c>
      <c r="BC270" s="20"/>
      <c r="BD270" s="20">
        <f t="shared" si="93"/>
        <v>-96.333616746195531</v>
      </c>
      <c r="BE270" s="20">
        <f t="shared" si="94"/>
        <v>45.815713798178173</v>
      </c>
      <c r="BF270" s="20"/>
      <c r="BG270" s="54">
        <f t="shared" si="95"/>
        <v>64089.838384670351</v>
      </c>
      <c r="BH270" s="54">
        <f t="shared" si="96"/>
        <v>94644.401313278489</v>
      </c>
      <c r="BI270" s="54">
        <f t="shared" si="97"/>
        <v>68975.62255573248</v>
      </c>
      <c r="BJ270" s="20"/>
    </row>
    <row r="271" spans="1:62" x14ac:dyDescent="0.3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AK271">
        <v>267</v>
      </c>
      <c r="AL271">
        <v>133.5</v>
      </c>
      <c r="AN271" s="48">
        <f t="shared" si="98"/>
        <v>56628.964446425671</v>
      </c>
      <c r="AO271" s="48">
        <f t="shared" si="99"/>
        <v>-43921.825161403387</v>
      </c>
      <c r="AP271" s="20"/>
      <c r="AQ271" s="50">
        <f t="shared" si="100"/>
        <v>-1367.6500644459045</v>
      </c>
      <c r="AR271" s="50">
        <f t="shared" si="101"/>
        <v>1444.9905965362732</v>
      </c>
      <c r="AS271" s="20"/>
      <c r="AT271" s="52">
        <f t="shared" si="87"/>
        <v>-189.07452508987032</v>
      </c>
      <c r="AU271" s="52">
        <f t="shared" si="88"/>
        <v>161.24769528020093</v>
      </c>
      <c r="AV271" s="20"/>
      <c r="AW271" s="20"/>
      <c r="AX271" s="20">
        <f t="shared" si="89"/>
        <v>-73.433466900904818</v>
      </c>
      <c r="AY271" s="20">
        <f t="shared" si="90"/>
        <v>103.09008056990015</v>
      </c>
      <c r="AZ271" s="20"/>
      <c r="BA271" s="20">
        <f t="shared" si="91"/>
        <v>-16.590168033123927</v>
      </c>
      <c r="BB271" s="20">
        <f t="shared" si="92"/>
        <v>11.674073198598979</v>
      </c>
      <c r="BC271" s="20"/>
      <c r="BD271" s="20">
        <f t="shared" si="93"/>
        <v>-99.050890155841572</v>
      </c>
      <c r="BE271" s="20">
        <f t="shared" si="94"/>
        <v>46.483541511701794</v>
      </c>
      <c r="BF271" s="20"/>
      <c r="BG271" s="54">
        <f t="shared" si="95"/>
        <v>63133.866817639595</v>
      </c>
      <c r="BH271" s="54">
        <f t="shared" si="96"/>
        <v>93699.313876188695</v>
      </c>
      <c r="BI271" s="54">
        <f t="shared" si="97"/>
        <v>68077.90558915268</v>
      </c>
      <c r="BJ271" s="20"/>
    </row>
    <row r="272" spans="1:62" x14ac:dyDescent="0.3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AK272">
        <v>268</v>
      </c>
      <c r="AL272">
        <v>134</v>
      </c>
      <c r="AN272" s="48">
        <f t="shared" si="98"/>
        <v>55921.505098566486</v>
      </c>
      <c r="AO272" s="48">
        <f t="shared" si="99"/>
        <v>-43179.173901225229</v>
      </c>
      <c r="AP272" s="20"/>
      <c r="AQ272" s="50">
        <f t="shared" si="100"/>
        <v>-1462.1873269908397</v>
      </c>
      <c r="AR272" s="50">
        <f t="shared" si="101"/>
        <v>1525.6144441763736</v>
      </c>
      <c r="AS272" s="20"/>
      <c r="AT272" s="52">
        <f t="shared" si="87"/>
        <v>-194.54706045042309</v>
      </c>
      <c r="AU272" s="52">
        <f t="shared" si="88"/>
        <v>165.63298029888972</v>
      </c>
      <c r="AV272" s="20"/>
      <c r="AW272" s="20"/>
      <c r="AX272" s="20">
        <f t="shared" si="89"/>
        <v>-75.512491205396699</v>
      </c>
      <c r="AY272" s="20">
        <f t="shared" si="90"/>
        <v>106.53536545899799</v>
      </c>
      <c r="AZ272" s="20"/>
      <c r="BA272" s="20">
        <f t="shared" si="91"/>
        <v>-16.974775709129968</v>
      </c>
      <c r="BB272" s="20">
        <f t="shared" si="92"/>
        <v>11.889971730646854</v>
      </c>
      <c r="BC272" s="20"/>
      <c r="BD272" s="20">
        <f t="shared" si="93"/>
        <v>-102.05979353589643</v>
      </c>
      <c r="BE272" s="20">
        <f t="shared" si="94"/>
        <v>47.20764310924487</v>
      </c>
      <c r="BF272" s="20"/>
      <c r="BG272" s="54">
        <f t="shared" si="95"/>
        <v>62118.702464370312</v>
      </c>
      <c r="BH272" s="54">
        <f t="shared" si="96"/>
        <v>92693.578381937608</v>
      </c>
      <c r="BI272" s="54">
        <f t="shared" si="97"/>
        <v>67122.988798400169</v>
      </c>
      <c r="BJ272" s="20"/>
    </row>
    <row r="273" spans="1:62" x14ac:dyDescent="0.3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AK273">
        <v>269</v>
      </c>
      <c r="AL273">
        <v>134.5</v>
      </c>
      <c r="AN273" s="48">
        <f t="shared" si="98"/>
        <v>55166.093052514763</v>
      </c>
      <c r="AO273" s="48">
        <f t="shared" si="99"/>
        <v>-42395.66255659968</v>
      </c>
      <c r="AP273" s="20"/>
      <c r="AQ273" s="50">
        <f t="shared" si="100"/>
        <v>-1559.4608572160512</v>
      </c>
      <c r="AR273" s="50">
        <f t="shared" si="101"/>
        <v>1608.4309343258185</v>
      </c>
      <c r="AS273" s="20"/>
      <c r="AT273" s="52">
        <f t="shared" si="87"/>
        <v>-200.58927436119069</v>
      </c>
      <c r="AU273" s="52">
        <f t="shared" si="88"/>
        <v>170.50023476268669</v>
      </c>
      <c r="AV273" s="20"/>
      <c r="AW273" s="20"/>
      <c r="AX273" s="20">
        <f t="shared" si="89"/>
        <v>-77.797550451526661</v>
      </c>
      <c r="AY273" s="20">
        <f t="shared" si="90"/>
        <v>110.38361069177188</v>
      </c>
      <c r="AZ273" s="20"/>
      <c r="BA273" s="20">
        <f t="shared" si="91"/>
        <v>-17.396958494055156</v>
      </c>
      <c r="BB273" s="20">
        <f t="shared" si="92"/>
        <v>12.126813164665187</v>
      </c>
      <c r="BC273" s="20"/>
      <c r="BD273" s="20">
        <f t="shared" si="93"/>
        <v>-105.39476541560889</v>
      </c>
      <c r="BE273" s="20">
        <f t="shared" si="94"/>
        <v>47.989810906249637</v>
      </c>
      <c r="BF273" s="20"/>
      <c r="BG273" s="54">
        <f t="shared" si="95"/>
        <v>61042.863977210232</v>
      </c>
      <c r="BH273" s="54">
        <f t="shared" si="96"/>
        <v>91625.580486697989</v>
      </c>
      <c r="BI273" s="54">
        <f t="shared" si="97"/>
        <v>66109.614127741981</v>
      </c>
      <c r="BJ273" s="20"/>
    </row>
    <row r="274" spans="1:62" x14ac:dyDescent="0.3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AK274">
        <v>270</v>
      </c>
      <c r="AL274">
        <v>135</v>
      </c>
      <c r="AN274" s="48">
        <f t="shared" si="98"/>
        <v>54361.288964611587</v>
      </c>
      <c r="AO274" s="48">
        <f t="shared" si="99"/>
        <v>-41570.134560091436</v>
      </c>
      <c r="AP274" s="20"/>
      <c r="AQ274" s="50">
        <f t="shared" si="100"/>
        <v>-1659.7554943966466</v>
      </c>
      <c r="AR274" s="50">
        <f t="shared" si="101"/>
        <v>1693.6810517071619</v>
      </c>
      <c r="AS274" s="20"/>
      <c r="AT274" s="52">
        <f t="shared" ref="AT274:AT337" si="102">AX274+BA274+BD274</f>
        <v>-207.26899079124419</v>
      </c>
      <c r="AU274" s="52">
        <f t="shared" ref="AU274:AU337" si="103">AY274+BB274+BE274</f>
        <v>175.90871132430732</v>
      </c>
      <c r="AV274" s="20"/>
      <c r="AW274" s="20"/>
      <c r="AX274" s="20">
        <f t="shared" si="89"/>
        <v>-80.311902595184947</v>
      </c>
      <c r="AY274" s="20">
        <f t="shared" si="90"/>
        <v>114.69057145037252</v>
      </c>
      <c r="AZ274" s="20"/>
      <c r="BA274" s="20">
        <f t="shared" si="91"/>
        <v>-17.860788918813935</v>
      </c>
      <c r="BB274" s="20">
        <f t="shared" si="92"/>
        <v>12.386596584292217</v>
      </c>
      <c r="BC274" s="20"/>
      <c r="BD274" s="20">
        <f t="shared" si="93"/>
        <v>-109.09629927724531</v>
      </c>
      <c r="BE274" s="20">
        <f t="shared" si="94"/>
        <v>48.831543289642589</v>
      </c>
      <c r="BF274" s="20"/>
      <c r="BG274" s="54">
        <f t="shared" si="95"/>
        <v>59904.726733831434</v>
      </c>
      <c r="BH274" s="54">
        <f t="shared" si="96"/>
        <v>90493.53609526153</v>
      </c>
      <c r="BI274" s="54">
        <f t="shared" si="97"/>
        <v>65036.410402800386</v>
      </c>
      <c r="BJ274" s="20"/>
    </row>
    <row r="275" spans="1:62" x14ac:dyDescent="0.3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AK275">
        <v>271</v>
      </c>
      <c r="AL275">
        <v>135.5</v>
      </c>
      <c r="AN275" s="48">
        <f t="shared" si="98"/>
        <v>53505.502593564357</v>
      </c>
      <c r="AO275" s="48">
        <f t="shared" si="99"/>
        <v>-40701.305445322316</v>
      </c>
      <c r="AP275" s="20"/>
      <c r="AQ275" s="50">
        <f t="shared" si="100"/>
        <v>-1763.3899897922686</v>
      </c>
      <c r="AR275" s="50">
        <f t="shared" si="101"/>
        <v>1781.6354073693155</v>
      </c>
      <c r="AS275" s="20"/>
      <c r="AT275" s="52">
        <f t="shared" si="102"/>
        <v>-214.66573268540895</v>
      </c>
      <c r="AU275" s="52">
        <f t="shared" si="103"/>
        <v>181.92863574747847</v>
      </c>
      <c r="AV275" s="20"/>
      <c r="AW275" s="20"/>
      <c r="AX275" s="20">
        <f t="shared" si="89"/>
        <v>-83.082489342771723</v>
      </c>
      <c r="AY275" s="20">
        <f t="shared" si="90"/>
        <v>119.52318681940572</v>
      </c>
      <c r="AZ275" s="20"/>
      <c r="BA275" s="20">
        <f t="shared" si="91"/>
        <v>-18.371020617880198</v>
      </c>
      <c r="BB275" s="20">
        <f t="shared" si="92"/>
        <v>12.67163266455929</v>
      </c>
      <c r="BC275" s="20"/>
      <c r="BD275" s="20">
        <f t="shared" si="93"/>
        <v>-113.21222272475701</v>
      </c>
      <c r="BE275" s="20">
        <f t="shared" si="94"/>
        <v>49.733816263513468</v>
      </c>
      <c r="BF275" s="20"/>
      <c r="BG275" s="54">
        <f t="shared" si="95"/>
        <v>58702.508895962928</v>
      </c>
      <c r="BH275" s="54">
        <f t="shared" si="96"/>
        <v>89295.47180788267</v>
      </c>
      <c r="BI275" s="54">
        <f t="shared" si="97"/>
        <v>63901.885225080179</v>
      </c>
      <c r="BJ275" s="20"/>
    </row>
    <row r="276" spans="1:62" x14ac:dyDescent="0.3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AK276">
        <v>272</v>
      </c>
      <c r="AL276">
        <v>136</v>
      </c>
      <c r="AN276" s="48">
        <f t="shared" si="98"/>
        <v>52596.974382082546</v>
      </c>
      <c r="AO276" s="48">
        <f t="shared" si="99"/>
        <v>-39787.746662169222</v>
      </c>
      <c r="AP276" s="20"/>
      <c r="AQ276" s="50">
        <f t="shared" si="100"/>
        <v>-1870.722856134973</v>
      </c>
      <c r="AR276" s="50">
        <f t="shared" si="101"/>
        <v>1872.5997252430548</v>
      </c>
      <c r="AS276" s="20"/>
      <c r="AT276" s="52">
        <f t="shared" si="102"/>
        <v>-222.87313201992444</v>
      </c>
      <c r="AU276" s="52">
        <f t="shared" si="103"/>
        <v>188.64370559588781</v>
      </c>
      <c r="AV276" s="20"/>
      <c r="AW276" s="20"/>
      <c r="AX276" s="20">
        <f t="shared" si="89"/>
        <v>-86.140595406364909</v>
      </c>
      <c r="AY276" s="20">
        <f t="shared" si="90"/>
        <v>124.96235402582667</v>
      </c>
      <c r="AZ276" s="20"/>
      <c r="BA276" s="20">
        <f t="shared" si="91"/>
        <v>-18.933228994443525</v>
      </c>
      <c r="BB276" s="20">
        <f t="shared" si="92"/>
        <v>12.984601861105137</v>
      </c>
      <c r="BC276" s="20"/>
      <c r="BD276" s="20">
        <f t="shared" si="93"/>
        <v>-117.79930761911601</v>
      </c>
      <c r="BE276" s="20">
        <f t="shared" si="94"/>
        <v>50.696749708955984</v>
      </c>
      <c r="BF276" s="20"/>
      <c r="BG276" s="54">
        <f t="shared" si="95"/>
        <v>57434.255660290772</v>
      </c>
      <c r="BH276" s="54">
        <f t="shared" si="96"/>
        <v>88029.202013474438</v>
      </c>
      <c r="BI276" s="54">
        <f t="shared" si="97"/>
        <v>62704.416451779172</v>
      </c>
      <c r="BJ276" s="20"/>
    </row>
    <row r="277" spans="1:62" x14ac:dyDescent="0.3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AK277">
        <v>273</v>
      </c>
      <c r="AL277">
        <v>136.5</v>
      </c>
      <c r="AN277" s="48">
        <f t="shared" si="98"/>
        <v>51633.753812512565</v>
      </c>
      <c r="AO277" s="48">
        <f t="shared" si="99"/>
        <v>-38827.866336348212</v>
      </c>
      <c r="AP277" s="20"/>
      <c r="AQ277" s="50">
        <f t="shared" si="100"/>
        <v>-1982.1594221449352</v>
      </c>
      <c r="AR277" s="50">
        <f t="shared" si="101"/>
        <v>1966.9215780409986</v>
      </c>
      <c r="AS277" s="20"/>
      <c r="AT277" s="52">
        <f t="shared" si="102"/>
        <v>-232.00192770675523</v>
      </c>
      <c r="AU277" s="52">
        <f t="shared" si="103"/>
        <v>196.1542970872803</v>
      </c>
      <c r="AV277" s="20"/>
      <c r="AW277" s="20"/>
      <c r="AX277" s="20">
        <f t="shared" si="89"/>
        <v>-89.5226285868617</v>
      </c>
      <c r="AY277" s="20">
        <f t="shared" si="90"/>
        <v>131.10655143336783</v>
      </c>
      <c r="AZ277" s="20"/>
      <c r="BA277" s="20">
        <f t="shared" si="91"/>
        <v>-19.55398854544514</v>
      </c>
      <c r="BB277" s="20">
        <f t="shared" si="92"/>
        <v>13.328626355927533</v>
      </c>
      <c r="BC277" s="20"/>
      <c r="BD277" s="20">
        <f t="shared" si="93"/>
        <v>-122.92531057444837</v>
      </c>
      <c r="BE277" s="20">
        <f t="shared" si="94"/>
        <v>51.719119297984946</v>
      </c>
      <c r="BF277" s="20"/>
      <c r="BG277" s="54">
        <f t="shared" si="95"/>
        <v>56097.821522312246</v>
      </c>
      <c r="BH277" s="54">
        <f t="shared" si="96"/>
        <v>86692.301943321028</v>
      </c>
      <c r="BI277" s="54">
        <f t="shared" si="97"/>
        <v>61442.243489631444</v>
      </c>
      <c r="BJ277" s="20"/>
    </row>
    <row r="278" spans="1:62" x14ac:dyDescent="0.3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AK278">
        <v>274</v>
      </c>
      <c r="AL278">
        <v>137</v>
      </c>
      <c r="AN278" s="48">
        <f t="shared" si="98"/>
        <v>50613.673860476752</v>
      </c>
      <c r="AO278" s="48">
        <f t="shared" si="99"/>
        <v>-37819.886260191801</v>
      </c>
      <c r="AP278" s="20"/>
      <c r="AQ278" s="50">
        <f t="shared" si="100"/>
        <v>-2098.1603859983129</v>
      </c>
      <c r="AR278" s="50">
        <f t="shared" si="101"/>
        <v>2064.9987265846389</v>
      </c>
      <c r="AS278" s="20"/>
      <c r="AT278" s="52">
        <f t="shared" si="102"/>
        <v>-242.1837078933176</v>
      </c>
      <c r="AU278" s="52">
        <f t="shared" si="103"/>
        <v>204.58161902994044</v>
      </c>
      <c r="AV278" s="20"/>
      <c r="AW278" s="20"/>
      <c r="AX278" s="20">
        <f t="shared" si="89"/>
        <v>-93.271032457727912</v>
      </c>
      <c r="AY278" s="20">
        <f t="shared" si="90"/>
        <v>138.0766190173641</v>
      </c>
      <c r="AZ278" s="20"/>
      <c r="BA278" s="20">
        <f t="shared" si="91"/>
        <v>-20.241098351748128</v>
      </c>
      <c r="BB278" s="20">
        <f t="shared" si="92"/>
        <v>13.707359609619608</v>
      </c>
      <c r="BC278" s="20"/>
      <c r="BD278" s="20">
        <f t="shared" si="93"/>
        <v>-128.67157708384156</v>
      </c>
      <c r="BE278" s="20">
        <f t="shared" si="94"/>
        <v>52.797640402956738</v>
      </c>
      <c r="BF278" s="20"/>
      <c r="BG278" s="54">
        <f t="shared" si="95"/>
        <v>54690.850403631128</v>
      </c>
      <c r="BH278" s="54">
        <f t="shared" si="96"/>
        <v>85282.075830806672</v>
      </c>
      <c r="BI278" s="54">
        <f t="shared" si="97"/>
        <v>60113.458802397705</v>
      </c>
      <c r="BJ278" s="20"/>
    </row>
    <row r="279" spans="1:62" x14ac:dyDescent="0.3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AK279">
        <v>275</v>
      </c>
      <c r="AL279">
        <v>137.5</v>
      </c>
      <c r="AN279" s="48">
        <f t="shared" si="98"/>
        <v>49534.320703990932</v>
      </c>
      <c r="AO279" s="48">
        <f t="shared" si="99"/>
        <v>-36761.814194520739</v>
      </c>
      <c r="AP279" s="20"/>
      <c r="AQ279" s="50">
        <f t="shared" si="100"/>
        <v>-2219.2522399449717</v>
      </c>
      <c r="AR279" s="50">
        <f t="shared" si="101"/>
        <v>2167.289536099609</v>
      </c>
      <c r="AS279" s="20"/>
      <c r="AT279" s="52">
        <f t="shared" si="102"/>
        <v>-253.57559348818961</v>
      </c>
      <c r="AU279" s="52">
        <f t="shared" si="103"/>
        <v>214.07314708479541</v>
      </c>
      <c r="AV279" s="20"/>
      <c r="AW279" s="20"/>
      <c r="AX279" s="20">
        <f t="shared" si="89"/>
        <v>-97.435332949790052</v>
      </c>
      <c r="AY279" s="20">
        <f t="shared" si="90"/>
        <v>146.02213628777002</v>
      </c>
      <c r="AZ279" s="20"/>
      <c r="BA279" s="20">
        <f t="shared" si="91"/>
        <v>-21.003871533916183</v>
      </c>
      <c r="BB279" s="20">
        <f t="shared" si="92"/>
        <v>14.125098628858821</v>
      </c>
      <c r="BC279" s="20"/>
      <c r="BD279" s="20">
        <f t="shared" si="93"/>
        <v>-135.13638900448339</v>
      </c>
      <c r="BE279" s="20">
        <f t="shared" si="94"/>
        <v>53.925912168166569</v>
      </c>
      <c r="BF279" s="20"/>
      <c r="BG279" s="54">
        <f t="shared" si="95"/>
        <v>53210.753567643311</v>
      </c>
      <c r="BH279" s="54">
        <f t="shared" si="96"/>
        <v>83795.519107696586</v>
      </c>
      <c r="BI279" s="54">
        <f t="shared" si="97"/>
        <v>58716.000303857363</v>
      </c>
      <c r="BJ279" s="20"/>
    </row>
    <row r="280" spans="1:62" x14ac:dyDescent="0.3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AK280">
        <v>276</v>
      </c>
      <c r="AL280">
        <v>138</v>
      </c>
      <c r="AN280" s="48">
        <f t="shared" si="98"/>
        <v>48392.997634832427</v>
      </c>
      <c r="AO280" s="48">
        <f t="shared" si="99"/>
        <v>-35651.410283085337</v>
      </c>
      <c r="AP280" s="20"/>
      <c r="AQ280" s="50">
        <f t="shared" si="100"/>
        <v>-2346.0400366890667</v>
      </c>
      <c r="AR280" s="50">
        <f t="shared" si="101"/>
        <v>2274.3261096420065</v>
      </c>
      <c r="AS280" s="20"/>
      <c r="AT280" s="52">
        <f t="shared" si="102"/>
        <v>-266.36610518156539</v>
      </c>
      <c r="AU280" s="52">
        <f t="shared" si="103"/>
        <v>224.80980853030329</v>
      </c>
      <c r="AV280" s="20"/>
      <c r="AW280" s="20"/>
      <c r="AX280" s="20">
        <f t="shared" si="89"/>
        <v>-102.07329557536916</v>
      </c>
      <c r="AY280" s="20">
        <f t="shared" si="90"/>
        <v>155.13003286823923</v>
      </c>
      <c r="AZ280" s="20"/>
      <c r="BA280" s="20">
        <f t="shared" si="91"/>
        <v>-21.853510645189377</v>
      </c>
      <c r="BB280" s="20">
        <f t="shared" si="92"/>
        <v>14.586925783191806</v>
      </c>
      <c r="BC280" s="20"/>
      <c r="BD280" s="20">
        <f t="shared" si="93"/>
        <v>-142.43929896100687</v>
      </c>
      <c r="BE280" s="20">
        <f t="shared" si="94"/>
        <v>55.092849878872244</v>
      </c>
      <c r="BF280" s="20"/>
      <c r="BG280" s="54">
        <f t="shared" si="95"/>
        <v>51654.685403269687</v>
      </c>
      <c r="BH280" s="54">
        <f t="shared" si="96"/>
        <v>82229.273293108854</v>
      </c>
      <c r="BI280" s="54">
        <f t="shared" si="97"/>
        <v>57247.645742978319</v>
      </c>
      <c r="BJ280" s="20"/>
    </row>
    <row r="281" spans="1:62" x14ac:dyDescent="0.3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AK281">
        <v>277</v>
      </c>
      <c r="AL281">
        <v>138.5</v>
      </c>
      <c r="AN281" s="48">
        <f t="shared" si="98"/>
        <v>47186.681853340197</v>
      </c>
      <c r="AO281" s="48">
        <f t="shared" si="99"/>
        <v>-34486.146002198046</v>
      </c>
      <c r="AP281" s="20"/>
      <c r="AQ281" s="50">
        <f t="shared" si="100"/>
        <v>-2479.2230892798493</v>
      </c>
      <c r="AR281" s="50">
        <f t="shared" si="101"/>
        <v>2386.7310139071583</v>
      </c>
      <c r="AS281" s="20"/>
      <c r="AT281" s="52">
        <f t="shared" si="102"/>
        <v>-280.78250009853571</v>
      </c>
      <c r="AU281" s="52">
        <f t="shared" si="103"/>
        <v>237.01558876129565</v>
      </c>
      <c r="AV281" s="20"/>
      <c r="AW281" s="20"/>
      <c r="AX281" s="20">
        <f t="shared" si="89"/>
        <v>-107.25211737975972</v>
      </c>
      <c r="AY281" s="20">
        <f t="shared" si="90"/>
        <v>165.63636134941623</v>
      </c>
      <c r="AZ281" s="20"/>
      <c r="BA281" s="20">
        <f t="shared" si="91"/>
        <v>-22.80359996824421</v>
      </c>
      <c r="BB281" s="20">
        <f t="shared" si="92"/>
        <v>15.098889386700638</v>
      </c>
      <c r="BC281" s="20"/>
      <c r="BD281" s="20">
        <f t="shared" si="93"/>
        <v>-150.72678275053178</v>
      </c>
      <c r="BE281" s="20">
        <f t="shared" si="94"/>
        <v>56.28033802517875</v>
      </c>
      <c r="BF281" s="20"/>
      <c r="BG281" s="54">
        <f t="shared" si="95"/>
        <v>50019.517453816246</v>
      </c>
      <c r="BH281" s="54">
        <f t="shared" si="96"/>
        <v>80579.571881406984</v>
      </c>
      <c r="BI281" s="54">
        <f t="shared" si="97"/>
        <v>55706.010886444972</v>
      </c>
      <c r="BJ281" s="20"/>
    </row>
    <row r="282" spans="1:62" x14ac:dyDescent="0.3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AK282">
        <v>278</v>
      </c>
      <c r="AL282">
        <v>139</v>
      </c>
      <c r="AN282" s="48">
        <f t="shared" si="98"/>
        <v>45911.972496187955</v>
      </c>
      <c r="AO282" s="48">
        <f t="shared" si="99"/>
        <v>-33263.153546649301</v>
      </c>
      <c r="AP282" s="20"/>
      <c r="AQ282" s="50">
        <f t="shared" si="100"/>
        <v>-2619.6143393291172</v>
      </c>
      <c r="AR282" s="50">
        <f t="shared" si="101"/>
        <v>2505.238808287806</v>
      </c>
      <c r="AS282" s="20"/>
      <c r="AT282" s="52">
        <f t="shared" si="102"/>
        <v>-297.0998881428518</v>
      </c>
      <c r="AU282" s="52">
        <f t="shared" si="103"/>
        <v>250.97052915835241</v>
      </c>
      <c r="AV282" s="20"/>
      <c r="AW282" s="20"/>
      <c r="AX282" s="20">
        <f t="shared" si="89"/>
        <v>-113.04946924903035</v>
      </c>
      <c r="AY282" s="20">
        <f t="shared" si="90"/>
        <v>177.84261209922855</v>
      </c>
      <c r="AZ282" s="20"/>
      <c r="BA282" s="20">
        <f t="shared" si="91"/>
        <v>-23.870758998062001</v>
      </c>
      <c r="BB282" s="20">
        <f t="shared" si="92"/>
        <v>15.668235567793772</v>
      </c>
      <c r="BC282" s="20"/>
      <c r="BD282" s="20">
        <f t="shared" si="93"/>
        <v>-160.17965989575947</v>
      </c>
      <c r="BE282" s="20">
        <f t="shared" si="94"/>
        <v>57.459681491330102</v>
      </c>
      <c r="BF282" s="20"/>
      <c r="BG282" s="54">
        <f t="shared" si="95"/>
        <v>48301.811619347245</v>
      </c>
      <c r="BH282" s="54">
        <f t="shared" si="96"/>
        <v>78842.175091376004</v>
      </c>
      <c r="BI282" s="54">
        <f t="shared" si="97"/>
        <v>54088.554435491133</v>
      </c>
      <c r="BJ282" s="20"/>
    </row>
    <row r="283" spans="1:62" x14ac:dyDescent="0.3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AK283">
        <v>279</v>
      </c>
      <c r="AL283">
        <v>139.5</v>
      </c>
      <c r="AN283" s="48">
        <f t="shared" si="98"/>
        <v>44565.027840505543</v>
      </c>
      <c r="AO283" s="48">
        <f t="shared" si="99"/>
        <v>-31979.162826360604</v>
      </c>
      <c r="AP283" s="20"/>
      <c r="AQ283" s="50">
        <f t="shared" si="100"/>
        <v>-2768.1642834005434</v>
      </c>
      <c r="AR283" s="50">
        <f t="shared" si="101"/>
        <v>2630.7240728669822</v>
      </c>
      <c r="AS283" s="20"/>
      <c r="AT283" s="52">
        <f t="shared" si="102"/>
        <v>-315.65239714125426</v>
      </c>
      <c r="AU283" s="52">
        <f t="shared" si="103"/>
        <v>267.02853307495934</v>
      </c>
      <c r="AV283" s="20"/>
      <c r="AW283" s="20"/>
      <c r="AX283" s="20">
        <f t="shared" si="89"/>
        <v>-119.55398428962789</v>
      </c>
      <c r="AY283" s="20">
        <f t="shared" si="90"/>
        <v>192.13864698039123</v>
      </c>
      <c r="AZ283" s="20"/>
      <c r="BA283" s="20">
        <f t="shared" si="91"/>
        <v>-25.0755214364045</v>
      </c>
      <c r="BB283" s="20">
        <f t="shared" si="92"/>
        <v>16.303708563946902</v>
      </c>
      <c r="BC283" s="20"/>
      <c r="BD283" s="20">
        <f t="shared" si="93"/>
        <v>-171.02289141522189</v>
      </c>
      <c r="BE283" s="20">
        <f t="shared" si="94"/>
        <v>58.586177530621228</v>
      </c>
      <c r="BF283" s="20"/>
      <c r="BG283" s="54">
        <f t="shared" si="95"/>
        <v>46497.794466782027</v>
      </c>
      <c r="BH283" s="54">
        <f t="shared" si="96"/>
        <v>77012.290783013013</v>
      </c>
      <c r="BI283" s="54">
        <f t="shared" si="97"/>
        <v>52392.594468246709</v>
      </c>
      <c r="BJ283" s="20"/>
    </row>
    <row r="284" spans="1:62" x14ac:dyDescent="0.3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AK284">
        <v>280</v>
      </c>
      <c r="AL284">
        <v>140</v>
      </c>
      <c r="AN284" s="48">
        <f t="shared" si="98"/>
        <v>43141.489149162611</v>
      </c>
      <c r="AO284" s="48">
        <f t="shared" si="99"/>
        <v>-30630.422223292742</v>
      </c>
      <c r="AP284" s="20"/>
      <c r="AQ284" s="50">
        <f t="shared" si="100"/>
        <v>-2925.9904819711705</v>
      </c>
      <c r="AR284" s="50">
        <f t="shared" si="101"/>
        <v>2764.2383394044618</v>
      </c>
      <c r="AS284" s="20"/>
      <c r="AT284" s="52">
        <f t="shared" si="102"/>
        <v>-336.84644525573628</v>
      </c>
      <c r="AU284" s="52">
        <f t="shared" si="103"/>
        <v>285.64207111323537</v>
      </c>
      <c r="AV284" s="20"/>
      <c r="AW284" s="20"/>
      <c r="AX284" s="20">
        <f t="shared" si="89"/>
        <v>-126.86434296600514</v>
      </c>
      <c r="AY284" s="20">
        <f t="shared" si="90"/>
        <v>209.03542253457093</v>
      </c>
      <c r="AZ284" s="20"/>
      <c r="BA284" s="20">
        <f t="shared" si="91"/>
        <v>-26.443534738756572</v>
      </c>
      <c r="BB284" s="20">
        <f t="shared" si="92"/>
        <v>17.015943019238051</v>
      </c>
      <c r="BC284" s="20"/>
      <c r="BD284" s="20">
        <f t="shared" si="93"/>
        <v>-183.53856755097456</v>
      </c>
      <c r="BE284" s="20">
        <f t="shared" si="94"/>
        <v>59.590705559426375</v>
      </c>
      <c r="BF284" s="20"/>
      <c r="BG284" s="54">
        <f t="shared" si="95"/>
        <v>44603.336410714699</v>
      </c>
      <c r="BH284" s="54">
        <f t="shared" si="96"/>
        <v>75084.4781697047</v>
      </c>
      <c r="BI284" s="54">
        <f t="shared" si="97"/>
        <v>50615.344277969154</v>
      </c>
      <c r="BJ284" s="20"/>
    </row>
    <row r="285" spans="1:62" x14ac:dyDescent="0.3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AK285">
        <v>281</v>
      </c>
      <c r="AL285">
        <v>140.5</v>
      </c>
      <c r="AN285" s="48">
        <f t="shared" si="98"/>
        <v>41636.388102520061</v>
      </c>
      <c r="AO285" s="48">
        <f t="shared" si="99"/>
        <v>-29212.59779470136</v>
      </c>
      <c r="AP285" s="20"/>
      <c r="AQ285" s="50">
        <f t="shared" si="100"/>
        <v>-3094.4137045990387</v>
      </c>
      <c r="AR285" s="50">
        <f t="shared" si="101"/>
        <v>2907.0593749610794</v>
      </c>
      <c r="AS285" s="20"/>
      <c r="AT285" s="52">
        <f t="shared" si="102"/>
        <v>-361.17555824799888</v>
      </c>
      <c r="AU285" s="52">
        <f t="shared" si="103"/>
        <v>307.39689533761191</v>
      </c>
      <c r="AV285" s="20"/>
      <c r="AW285" s="20"/>
      <c r="AX285" s="20">
        <f t="shared" si="89"/>
        <v>-135.08519850548322</v>
      </c>
      <c r="AY285" s="20">
        <f t="shared" si="90"/>
        <v>229.21240538163434</v>
      </c>
      <c r="AZ285" s="20"/>
      <c r="BA285" s="20">
        <f t="shared" si="91"/>
        <v>-28.007223241156368</v>
      </c>
      <c r="BB285" s="20">
        <f t="shared" si="92"/>
        <v>17.817980808271511</v>
      </c>
      <c r="BC285" s="20"/>
      <c r="BD285" s="20">
        <f t="shared" si="93"/>
        <v>-198.08313650135929</v>
      </c>
      <c r="BE285" s="20">
        <f t="shared" si="94"/>
        <v>60.366509147706054</v>
      </c>
      <c r="BF285" s="20"/>
      <c r="BG285" s="54">
        <f t="shared" si="95"/>
        <v>42613.942870360901</v>
      </c>
      <c r="BH285" s="54">
        <f t="shared" si="96"/>
        <v>73052.530169279518</v>
      </c>
      <c r="BI285" s="54">
        <f t="shared" si="97"/>
        <v>48753.980671559781</v>
      </c>
      <c r="BJ285" s="20"/>
    </row>
    <row r="286" spans="1:62" x14ac:dyDescent="0.3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AK286">
        <v>282</v>
      </c>
      <c r="AL286">
        <v>141</v>
      </c>
      <c r="AN286" s="48">
        <f t="shared" si="98"/>
        <v>40044.034305439542</v>
      </c>
      <c r="AO286" s="48">
        <f t="shared" si="99"/>
        <v>-27720.643495303619</v>
      </c>
      <c r="AP286" s="20"/>
      <c r="AQ286" s="50">
        <f t="shared" si="100"/>
        <v>-3275.0014837230383</v>
      </c>
      <c r="AR286" s="50">
        <f t="shared" si="101"/>
        <v>3060.7578226298851</v>
      </c>
      <c r="AS286" s="20"/>
      <c r="AT286" s="52">
        <f t="shared" si="102"/>
        <v>-389.23458671455819</v>
      </c>
      <c r="AU286" s="52">
        <f t="shared" si="103"/>
        <v>333.06139465670771</v>
      </c>
      <c r="AV286" s="20"/>
      <c r="AW286" s="20"/>
      <c r="AX286" s="20">
        <f t="shared" si="89"/>
        <v>-144.31631061381435</v>
      </c>
      <c r="AY286" s="20">
        <f t="shared" si="90"/>
        <v>253.58733921679922</v>
      </c>
      <c r="AZ286" s="20"/>
      <c r="BA286" s="20">
        <f t="shared" si="91"/>
        <v>-29.808134430663287</v>
      </c>
      <c r="BB286" s="20">
        <f t="shared" si="92"/>
        <v>18.725957126722818</v>
      </c>
      <c r="BC286" s="20"/>
      <c r="BD286" s="20">
        <f t="shared" si="93"/>
        <v>-215.11014167008054</v>
      </c>
      <c r="BE286" s="20">
        <f t="shared" si="94"/>
        <v>60.748098313185686</v>
      </c>
      <c r="BF286" s="20"/>
      <c r="BG286" s="54">
        <f t="shared" si="95"/>
        <v>40524.770689800462</v>
      </c>
      <c r="BH286" s="54">
        <f t="shared" si="96"/>
        <v>70909.329438181769</v>
      </c>
      <c r="BI286" s="54">
        <f t="shared" si="97"/>
        <v>46805.766711423756</v>
      </c>
      <c r="BJ286" s="20"/>
    </row>
    <row r="287" spans="1:62" x14ac:dyDescent="0.3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AK287">
        <v>283</v>
      </c>
      <c r="AL287">
        <v>141.5</v>
      </c>
      <c r="AN287" s="48">
        <f t="shared" si="98"/>
        <v>38357.879240238704</v>
      </c>
      <c r="AO287" s="48">
        <f t="shared" si="99"/>
        <v>-26148.631909656586</v>
      </c>
      <c r="AP287" s="20"/>
      <c r="AQ287" s="50">
        <f t="shared" si="100"/>
        <v>-3469.6187770803172</v>
      </c>
      <c r="AR287" s="50">
        <f t="shared" si="101"/>
        <v>3227.2885199582388</v>
      </c>
      <c r="AS287" s="20"/>
      <c r="AT287" s="52">
        <f t="shared" si="102"/>
        <v>-421.7273599192597</v>
      </c>
      <c r="AU287" s="52">
        <f t="shared" si="103"/>
        <v>363.65742191489574</v>
      </c>
      <c r="AV287" s="20"/>
      <c r="AW287" s="20"/>
      <c r="AX287" s="20">
        <f t="shared" si="89"/>
        <v>-154.62730257542052</v>
      </c>
      <c r="AY287" s="20">
        <f t="shared" si="90"/>
        <v>283.42038420968311</v>
      </c>
      <c r="AZ287" s="20"/>
      <c r="BA287" s="20">
        <f t="shared" si="91"/>
        <v>-31.900312719271788</v>
      </c>
      <c r="BB287" s="20">
        <f t="shared" si="92"/>
        <v>19.760016595955641</v>
      </c>
      <c r="BC287" s="20"/>
      <c r="BD287" s="20">
        <f t="shared" si="93"/>
        <v>-235.19974462456739</v>
      </c>
      <c r="BE287" s="20">
        <f t="shared" si="94"/>
        <v>60.477021109257002</v>
      </c>
      <c r="BF287" s="20"/>
      <c r="BG287" s="54">
        <f t="shared" si="95"/>
        <v>38330.694744430955</v>
      </c>
      <c r="BH287" s="54">
        <f t="shared" si="96"/>
        <v>68646.672594949021</v>
      </c>
      <c r="BI287" s="54">
        <f t="shared" si="97"/>
        <v>44768.266502826926</v>
      </c>
      <c r="BJ287" s="20"/>
    </row>
    <row r="288" spans="1:62" x14ac:dyDescent="0.3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AK288">
        <v>284</v>
      </c>
      <c r="AL288">
        <v>142</v>
      </c>
      <c r="AN288" s="48">
        <f t="shared" si="98"/>
        <v>36570.353931708632</v>
      </c>
      <c r="AO288" s="48">
        <f t="shared" si="99"/>
        <v>-24489.530471938106</v>
      </c>
      <c r="AP288" s="20"/>
      <c r="AQ288" s="50">
        <f t="shared" si="100"/>
        <v>-3680.4824570399469</v>
      </c>
      <c r="AR288" s="50">
        <f t="shared" si="101"/>
        <v>3409.1172309156868</v>
      </c>
      <c r="AS288" s="20"/>
      <c r="AT288" s="52">
        <f t="shared" si="102"/>
        <v>-459.45277002452826</v>
      </c>
      <c r="AU288" s="52">
        <f t="shared" si="103"/>
        <v>400.56229823810236</v>
      </c>
      <c r="AV288" s="20"/>
      <c r="AW288" s="20"/>
      <c r="AX288" s="20">
        <f t="shared" si="89"/>
        <v>-166.00192813834283</v>
      </c>
      <c r="AY288" s="20">
        <f t="shared" si="90"/>
        <v>320.47135266195426</v>
      </c>
      <c r="AZ288" s="20"/>
      <c r="BA288" s="20">
        <f t="shared" si="91"/>
        <v>-34.355253363506947</v>
      </c>
      <c r="BB288" s="20">
        <f t="shared" si="92"/>
        <v>20.945539057122158</v>
      </c>
      <c r="BC288" s="20"/>
      <c r="BD288" s="20">
        <f t="shared" si="93"/>
        <v>-259.0955885226785</v>
      </c>
      <c r="BE288" s="20">
        <f t="shared" si="94"/>
        <v>59.145406519025912</v>
      </c>
      <c r="BF288" s="20"/>
      <c r="BG288" s="54">
        <f t="shared" si="95"/>
        <v>36026.472062042769</v>
      </c>
      <c r="BH288" s="54">
        <f t="shared" si="96"/>
        <v>66255.057589089221</v>
      </c>
      <c r="BI288" s="54">
        <f t="shared" si="97"/>
        <v>42639.717571594738</v>
      </c>
      <c r="BJ288" s="20"/>
    </row>
    <row r="289" spans="1:62" x14ac:dyDescent="0.3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AK289">
        <v>285</v>
      </c>
      <c r="AL289">
        <v>142.5</v>
      </c>
      <c r="AN289" s="48">
        <f t="shared" si="98"/>
        <v>34672.68110693559</v>
      </c>
      <c r="AO289" s="48">
        <f t="shared" si="99"/>
        <v>-22734.901569200498</v>
      </c>
      <c r="AP289" s="20"/>
      <c r="AQ289" s="50">
        <f t="shared" si="100"/>
        <v>-3910.2088420522109</v>
      </c>
      <c r="AR289" s="50">
        <f t="shared" si="101"/>
        <v>3609.3983800347378</v>
      </c>
      <c r="AS289" s="20"/>
      <c r="AT289" s="52">
        <f t="shared" si="102"/>
        <v>-503.23288779832501</v>
      </c>
      <c r="AU289" s="52">
        <f t="shared" si="103"/>
        <v>445.65435149053064</v>
      </c>
      <c r="AV289" s="20"/>
      <c r="AW289" s="20"/>
      <c r="AX289" s="20">
        <f t="shared" si="89"/>
        <v>-178.2168508235813</v>
      </c>
      <c r="AY289" s="20">
        <f t="shared" si="90"/>
        <v>367.23819616558387</v>
      </c>
      <c r="AZ289" s="20"/>
      <c r="BA289" s="20">
        <f t="shared" si="91"/>
        <v>-37.269345267652497</v>
      </c>
      <c r="BB289" s="20">
        <f t="shared" si="92"/>
        <v>22.314770817602845</v>
      </c>
      <c r="BC289" s="20"/>
      <c r="BD289" s="20">
        <f t="shared" si="93"/>
        <v>-287.7466917070912</v>
      </c>
      <c r="BE289" s="20">
        <f t="shared" si="94"/>
        <v>56.101384507343909</v>
      </c>
      <c r="BF289" s="20"/>
      <c r="BG289" s="54">
        <f t="shared" si="95"/>
        <v>33607.095140238875</v>
      </c>
      <c r="BH289" s="54">
        <f t="shared" si="96"/>
        <v>63723.432426117142</v>
      </c>
      <c r="BI289" s="54">
        <f t="shared" si="97"/>
        <v>40419.677491264381</v>
      </c>
      <c r="BJ289" s="20"/>
    </row>
    <row r="290" spans="1:62" x14ac:dyDescent="0.3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AK290">
        <v>286</v>
      </c>
      <c r="AL290">
        <v>143</v>
      </c>
      <c r="AN290" s="48">
        <f t="shared" si="98"/>
        <v>32654.672574934692</v>
      </c>
      <c r="AO290" s="48">
        <f t="shared" si="99"/>
        <v>-20874.495585246816</v>
      </c>
      <c r="AP290" s="20"/>
      <c r="AQ290" s="50">
        <f t="shared" si="100"/>
        <v>-4161.8252859513732</v>
      </c>
      <c r="AR290" s="50">
        <f t="shared" si="101"/>
        <v>3832.2255557800031</v>
      </c>
      <c r="AS290" s="20"/>
      <c r="AT290" s="52">
        <f t="shared" si="102"/>
        <v>-553.69572523199861</v>
      </c>
      <c r="AU290" s="52">
        <f t="shared" si="103"/>
        <v>501.51230410884415</v>
      </c>
      <c r="AV290" s="20"/>
      <c r="AW290" s="20"/>
      <c r="AX290" s="20">
        <f t="shared" si="89"/>
        <v>-190.5770265140174</v>
      </c>
      <c r="AY290" s="20">
        <f t="shared" si="90"/>
        <v>427.31465120498063</v>
      </c>
      <c r="AZ290" s="20"/>
      <c r="BA290" s="20">
        <f t="shared" si="91"/>
        <v>-40.775334929951804</v>
      </c>
      <c r="BB290" s="20">
        <f t="shared" si="92"/>
        <v>23.908949324300657</v>
      </c>
      <c r="BC290" s="20"/>
      <c r="BD290" s="20">
        <f t="shared" si="93"/>
        <v>-322.34336378802942</v>
      </c>
      <c r="BE290" s="20">
        <f t="shared" si="94"/>
        <v>50.288703579562892</v>
      </c>
      <c r="BF290" s="20"/>
      <c r="BG290" s="54">
        <f t="shared" si="95"/>
        <v>31068.516824850125</v>
      </c>
      <c r="BH290" s="54">
        <f t="shared" si="96"/>
        <v>61038.913994410199</v>
      </c>
      <c r="BI290" s="54">
        <f t="shared" si="97"/>
        <v>38110.156980870903</v>
      </c>
      <c r="BJ290" s="20"/>
    </row>
    <row r="291" spans="1:62" x14ac:dyDescent="0.3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AK291">
        <v>287</v>
      </c>
      <c r="AL291">
        <v>143.5</v>
      </c>
      <c r="AN291" s="48">
        <f t="shared" si="98"/>
        <v>30504.547966305006</v>
      </c>
      <c r="AO291" s="48">
        <f t="shared" si="99"/>
        <v>-18895.693769343208</v>
      </c>
      <c r="AP291" s="20"/>
      <c r="AQ291" s="50">
        <f t="shared" si="100"/>
        <v>-4438.6731485673727</v>
      </c>
      <c r="AR291" s="50">
        <f t="shared" si="101"/>
        <v>4082.9817078344254</v>
      </c>
      <c r="AS291" s="20"/>
      <c r="AT291" s="52">
        <f t="shared" si="102"/>
        <v>-610.70278439218953</v>
      </c>
      <c r="AU291" s="52">
        <f t="shared" si="103"/>
        <v>571.65455733644433</v>
      </c>
      <c r="AV291" s="20"/>
      <c r="AW291" s="20"/>
      <c r="AX291" s="20">
        <f t="shared" si="89"/>
        <v>-201.33019425718399</v>
      </c>
      <c r="AY291" s="20">
        <f t="shared" si="90"/>
        <v>505.89993697789805</v>
      </c>
      <c r="AZ291" s="20"/>
      <c r="BA291" s="20">
        <f t="shared" si="91"/>
        <v>-45.060459264311781</v>
      </c>
      <c r="BB291" s="20">
        <f t="shared" si="92"/>
        <v>25.780910520696178</v>
      </c>
      <c r="BC291" s="20"/>
      <c r="BD291" s="20">
        <f t="shared" si="93"/>
        <v>-364.31213087069375</v>
      </c>
      <c r="BE291" s="20">
        <f t="shared" si="94"/>
        <v>39.973709837850159</v>
      </c>
      <c r="BF291" s="20"/>
      <c r="BG291" s="54">
        <f t="shared" si="95"/>
        <v>28409.121379256812</v>
      </c>
      <c r="BH291" s="54">
        <f t="shared" si="96"/>
        <v>58186.514620592825</v>
      </c>
      <c r="BI291" s="54">
        <f t="shared" si="97"/>
        <v>35717.633687524045</v>
      </c>
      <c r="BJ291" s="20"/>
    </row>
    <row r="292" spans="1:62" x14ac:dyDescent="0.3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AK292">
        <v>288</v>
      </c>
      <c r="AL292">
        <v>144</v>
      </c>
      <c r="AN292" s="48">
        <f t="shared" si="98"/>
        <v>28208.873543972295</v>
      </c>
      <c r="AO292" s="48">
        <f t="shared" si="99"/>
        <v>-16782.746095758939</v>
      </c>
      <c r="AP292" s="20"/>
      <c r="AQ292" s="50">
        <f t="shared" si="100"/>
        <v>-4744.0245407634675</v>
      </c>
      <c r="AR292" s="50">
        <f t="shared" si="101"/>
        <v>4368.8089865026477</v>
      </c>
      <c r="AS292" s="20"/>
      <c r="AT292" s="52">
        <f t="shared" si="102"/>
        <v>-671.9184760079977</v>
      </c>
      <c r="AU292" s="52">
        <f t="shared" si="103"/>
        <v>660.69369123190836</v>
      </c>
      <c r="AV292" s="20"/>
      <c r="AW292" s="20"/>
      <c r="AX292" s="20">
        <f t="shared" si="89"/>
        <v>-206.35082831363874</v>
      </c>
      <c r="AY292" s="20">
        <f t="shared" si="90"/>
        <v>610.40832749445826</v>
      </c>
      <c r="AZ292" s="20"/>
      <c r="BA292" s="20">
        <f t="shared" si="91"/>
        <v>-50.395919042892601</v>
      </c>
      <c r="BB292" s="20">
        <f t="shared" si="92"/>
        <v>27.997773122765235</v>
      </c>
      <c r="BC292" s="20"/>
      <c r="BD292" s="20">
        <f t="shared" si="93"/>
        <v>-415.17172865146637</v>
      </c>
      <c r="BE292" s="20">
        <f t="shared" si="94"/>
        <v>22.287590614684806</v>
      </c>
      <c r="BF292" s="20"/>
      <c r="BG292" s="54">
        <f t="shared" si="95"/>
        <v>25632.740056654584</v>
      </c>
      <c r="BH292" s="54">
        <f t="shared" si="96"/>
        <v>55148.988901054225</v>
      </c>
      <c r="BI292" s="54">
        <f t="shared" si="97"/>
        <v>33256.690540423391</v>
      </c>
      <c r="BJ292" s="20"/>
    </row>
    <row r="293" spans="1:62" x14ac:dyDescent="0.3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AK293">
        <v>289</v>
      </c>
      <c r="AL293">
        <v>144.5</v>
      </c>
      <c r="AN293" s="48">
        <f t="shared" si="98"/>
        <v>25752.871464089563</v>
      </c>
      <c r="AO293" s="48">
        <f t="shared" si="99"/>
        <v>-14515.754891103627</v>
      </c>
      <c r="AP293" s="20"/>
      <c r="AQ293" s="50">
        <f t="shared" si="100"/>
        <v>-5079.983778767466</v>
      </c>
      <c r="AR293" s="50">
        <f t="shared" si="101"/>
        <v>4699.1558321186021</v>
      </c>
      <c r="AS293" s="20"/>
      <c r="AT293" s="52">
        <f t="shared" si="102"/>
        <v>-729.3476068547759</v>
      </c>
      <c r="AU293" s="52">
        <f t="shared" si="103"/>
        <v>773.85635717332002</v>
      </c>
      <c r="AV293" s="20"/>
      <c r="AW293" s="20"/>
      <c r="AX293" s="20">
        <f t="shared" si="89"/>
        <v>-196.16568676126093</v>
      </c>
      <c r="AY293" s="20">
        <f t="shared" si="90"/>
        <v>750.70957255680776</v>
      </c>
      <c r="AZ293" s="20"/>
      <c r="BA293" s="20">
        <f t="shared" si="91"/>
        <v>-57.18601934013828</v>
      </c>
      <c r="BB293" s="20">
        <f t="shared" si="92"/>
        <v>30.641976961841799</v>
      </c>
      <c r="BC293" s="20"/>
      <c r="BD293" s="20">
        <f t="shared" si="93"/>
        <v>-475.99590075337665</v>
      </c>
      <c r="BE293" s="20">
        <f t="shared" si="94"/>
        <v>-7.4951923453295048</v>
      </c>
      <c r="BF293" s="20"/>
      <c r="BG293" s="54">
        <f t="shared" si="95"/>
        <v>22754.977334805</v>
      </c>
      <c r="BH293" s="54">
        <f t="shared" si="96"/>
        <v>51907.104379749144</v>
      </c>
      <c r="BI293" s="54">
        <f t="shared" si="97"/>
        <v>30756.683771374057</v>
      </c>
      <c r="BJ293" s="20"/>
    </row>
    <row r="294" spans="1:62" x14ac:dyDescent="0.3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AK294">
        <v>290</v>
      </c>
      <c r="AL294">
        <v>145</v>
      </c>
      <c r="AN294" s="48">
        <f t="shared" si="98"/>
        <v>23121.711123848985</v>
      </c>
      <c r="AO294" s="48">
        <f t="shared" si="99"/>
        <v>-12069.44493039766</v>
      </c>
      <c r="AP294" s="20"/>
      <c r="AQ294" s="50">
        <f t="shared" si="100"/>
        <v>-5444.6575821948536</v>
      </c>
      <c r="AR294" s="50">
        <f t="shared" si="101"/>
        <v>5086.0840107052618</v>
      </c>
      <c r="AS294" s="20"/>
      <c r="AT294" s="52">
        <f t="shared" si="102"/>
        <v>-761.38551829887399</v>
      </c>
      <c r="AU294" s="52">
        <f t="shared" si="103"/>
        <v>913.81690509006069</v>
      </c>
      <c r="AV294" s="20"/>
      <c r="AW294" s="20"/>
      <c r="AX294" s="20">
        <f t="shared" si="89"/>
        <v>-149.45366721130364</v>
      </c>
      <c r="AY294" s="20">
        <f t="shared" si="90"/>
        <v>936.89812865563226</v>
      </c>
      <c r="AZ294" s="20"/>
      <c r="BA294" s="20">
        <f t="shared" si="91"/>
        <v>-66.051539335560818</v>
      </c>
      <c r="BB294" s="20">
        <f t="shared" si="92"/>
        <v>33.804799761945063</v>
      </c>
      <c r="BC294" s="20"/>
      <c r="BD294" s="20">
        <f t="shared" si="93"/>
        <v>-545.88031175200956</v>
      </c>
      <c r="BE294" s="20">
        <f t="shared" si="94"/>
        <v>-56.886023327516639</v>
      </c>
      <c r="BF294" s="20"/>
      <c r="BG294" s="54">
        <f t="shared" si="95"/>
        <v>19816.867946893857</v>
      </c>
      <c r="BH294" s="54">
        <f t="shared" si="96"/>
        <v>48441.122713914636</v>
      </c>
      <c r="BI294" s="54">
        <f t="shared" si="97"/>
        <v>28273.994934377133</v>
      </c>
      <c r="BJ294" s="20"/>
    </row>
    <row r="295" spans="1:62" x14ac:dyDescent="0.3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AK295">
        <v>291</v>
      </c>
      <c r="AL295">
        <v>145.5</v>
      </c>
      <c r="AN295" s="48">
        <f t="shared" si="98"/>
        <v>20304.209142964199</v>
      </c>
      <c r="AO295" s="48">
        <f t="shared" si="99"/>
        <v>-9412.1758119087717</v>
      </c>
      <c r="AP295" s="20"/>
      <c r="AQ295" s="50">
        <f t="shared" si="100"/>
        <v>-5825.3503413442904</v>
      </c>
      <c r="AR295" s="50">
        <f t="shared" si="101"/>
        <v>5542.9924632502925</v>
      </c>
      <c r="AS295" s="20"/>
      <c r="AT295" s="52">
        <f t="shared" si="102"/>
        <v>-717.2154653890284</v>
      </c>
      <c r="AU295" s="52">
        <f t="shared" si="103"/>
        <v>1068.1717413370361</v>
      </c>
      <c r="AV295" s="20"/>
      <c r="AW295" s="20"/>
      <c r="AX295" s="20">
        <f t="shared" si="89"/>
        <v>-20.994095428536184</v>
      </c>
      <c r="AY295" s="20">
        <f t="shared" si="90"/>
        <v>1167.1438584644361</v>
      </c>
      <c r="AZ295" s="20"/>
      <c r="BA295" s="20">
        <f t="shared" si="91"/>
        <v>-77.970290420072104</v>
      </c>
      <c r="BB295" s="20">
        <f t="shared" si="92"/>
        <v>37.553720018948596</v>
      </c>
      <c r="BC295" s="20"/>
      <c r="BD295" s="20">
        <f t="shared" si="93"/>
        <v>-618.25107954042016</v>
      </c>
      <c r="BE295" s="20">
        <f t="shared" si="94"/>
        <v>-136.52583714634855</v>
      </c>
      <c r="BF295" s="20"/>
      <c r="BG295" s="54">
        <f t="shared" si="95"/>
        <v>16914.911584030673</v>
      </c>
      <c r="BH295" s="54">
        <f t="shared" si="96"/>
        <v>44735.465174649238</v>
      </c>
      <c r="BI295" s="54">
        <f t="shared" si="97"/>
        <v>25913.833747785957</v>
      </c>
      <c r="BJ295" s="20"/>
    </row>
    <row r="296" spans="1:62" x14ac:dyDescent="0.3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AK296">
        <v>292</v>
      </c>
      <c r="AL296">
        <v>146</v>
      </c>
      <c r="AN296" s="48">
        <f t="shared" si="98"/>
        <v>17301.882039118427</v>
      </c>
      <c r="AO296" s="48">
        <f t="shared" si="99"/>
        <v>-6507.1581126164965</v>
      </c>
      <c r="AP296" s="20"/>
      <c r="AQ296" s="50">
        <f t="shared" si="100"/>
        <v>-6183.9580740388046</v>
      </c>
      <c r="AR296" s="50">
        <f t="shared" si="101"/>
        <v>6077.078333918811</v>
      </c>
      <c r="AS296" s="20"/>
      <c r="AT296" s="52">
        <f t="shared" si="102"/>
        <v>-501.36134156879001</v>
      </c>
      <c r="AU296" s="52">
        <f t="shared" si="103"/>
        <v>1172.3631283145012</v>
      </c>
      <c r="AV296" s="20"/>
      <c r="AW296" s="20"/>
      <c r="AX296" s="20">
        <f t="shared" si="89"/>
        <v>267.21679921111667</v>
      </c>
      <c r="AY296" s="20">
        <f t="shared" si="90"/>
        <v>1387.2440016204666</v>
      </c>
      <c r="AZ296" s="20"/>
      <c r="BA296" s="20">
        <f t="shared" si="91"/>
        <v>-94.497241673548373</v>
      </c>
      <c r="BB296" s="20">
        <f t="shared" si="92"/>
        <v>41.817753535211736</v>
      </c>
      <c r="BC296" s="20"/>
      <c r="BD296" s="20">
        <f t="shared" si="93"/>
        <v>-674.08089910635829</v>
      </c>
      <c r="BE296" s="20">
        <f t="shared" si="94"/>
        <v>-256.6986268411772</v>
      </c>
      <c r="BF296" s="20"/>
      <c r="BG296" s="54">
        <f t="shared" si="95"/>
        <v>14264.652779604201</v>
      </c>
      <c r="BH296" s="54">
        <f t="shared" si="96"/>
        <v>40791.134730664533</v>
      </c>
      <c r="BI296" s="54">
        <f t="shared" si="97"/>
        <v>23864.247438602561</v>
      </c>
      <c r="BJ296" s="20"/>
    </row>
    <row r="297" spans="1:62" x14ac:dyDescent="0.3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AK297">
        <v>293</v>
      </c>
      <c r="AL297">
        <v>146.5</v>
      </c>
      <c r="AN297" s="48">
        <f t="shared" si="98"/>
        <v>14147.232834402927</v>
      </c>
      <c r="AO297" s="48">
        <f t="shared" si="99"/>
        <v>-3322.0735546177784</v>
      </c>
      <c r="AP297" s="20"/>
      <c r="AQ297" s="50">
        <f t="shared" si="100"/>
        <v>-6434.6387448231999</v>
      </c>
      <c r="AR297" s="50">
        <f t="shared" si="101"/>
        <v>6663.2598980760613</v>
      </c>
      <c r="AS297" s="20"/>
      <c r="AT297" s="52">
        <f t="shared" si="102"/>
        <v>-26.171697354754315</v>
      </c>
      <c r="AU297" s="52">
        <f t="shared" si="103"/>
        <v>1054.8752508172965</v>
      </c>
      <c r="AV297" s="20"/>
      <c r="AW297" s="20"/>
      <c r="AX297" s="20">
        <f t="shared" si="89"/>
        <v>768.92521983278311</v>
      </c>
      <c r="AY297" s="20">
        <f t="shared" si="90"/>
        <v>1421.7830731324016</v>
      </c>
      <c r="AZ297" s="20"/>
      <c r="BA297" s="20">
        <f t="shared" si="91"/>
        <v>-118.01853908138341</v>
      </c>
      <c r="BB297" s="20">
        <f t="shared" si="92"/>
        <v>46.043310919961229</v>
      </c>
      <c r="BC297" s="20"/>
      <c r="BD297" s="20">
        <f t="shared" si="93"/>
        <v>-677.07837810615399</v>
      </c>
      <c r="BE297" s="20">
        <f t="shared" si="94"/>
        <v>-412.95113323506621</v>
      </c>
      <c r="BF297" s="20"/>
      <c r="BG297" s="54">
        <f t="shared" si="95"/>
        <v>12303.339364426582</v>
      </c>
      <c r="BH297" s="54">
        <f t="shared" si="96"/>
        <v>36653.937769925506</v>
      </c>
      <c r="BI297" s="54">
        <f t="shared" si="97"/>
        <v>22427.44950453785</v>
      </c>
      <c r="BJ297" s="20"/>
    </row>
    <row r="298" spans="1:62" x14ac:dyDescent="0.3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AK298">
        <v>294</v>
      </c>
      <c r="AL298">
        <v>147</v>
      </c>
      <c r="AN298" s="48">
        <f t="shared" si="98"/>
        <v>10926.641999821983</v>
      </c>
      <c r="AO298" s="48">
        <f t="shared" si="99"/>
        <v>141.41580077241429</v>
      </c>
      <c r="AP298" s="20"/>
      <c r="AQ298" s="50">
        <f t="shared" si="100"/>
        <v>-6447.7245935005767</v>
      </c>
      <c r="AR298" s="50">
        <f t="shared" si="101"/>
        <v>7190.6975234847096</v>
      </c>
      <c r="AS298" s="20"/>
      <c r="AT298" s="52">
        <f t="shared" si="102"/>
        <v>562.21891410062551</v>
      </c>
      <c r="AU298" s="52">
        <f t="shared" si="103"/>
        <v>544.57834280030602</v>
      </c>
      <c r="AV298" s="20"/>
      <c r="AW298" s="20"/>
      <c r="AX298" s="20">
        <f t="shared" si="89"/>
        <v>1306.4414655776086</v>
      </c>
      <c r="AY298" s="20">
        <f t="shared" si="90"/>
        <v>1059.5371113568431</v>
      </c>
      <c r="AZ298" s="20"/>
      <c r="BA298" s="20">
        <f t="shared" si="91"/>
        <v>-151.69443740678656</v>
      </c>
      <c r="BB298" s="20">
        <f t="shared" si="92"/>
        <v>48.356119094270632</v>
      </c>
      <c r="BC298" s="20"/>
      <c r="BD298" s="20">
        <f t="shared" si="93"/>
        <v>-592.52811407019647</v>
      </c>
      <c r="BE298" s="20">
        <f t="shared" si="94"/>
        <v>-563.31488765080758</v>
      </c>
      <c r="BF298" s="20"/>
      <c r="BG298" s="54">
        <f t="shared" si="95"/>
        <v>11682.233811070395</v>
      </c>
      <c r="BH298" s="54">
        <f t="shared" si="96"/>
        <v>32459.957914304399</v>
      </c>
      <c r="BI298" s="54">
        <f t="shared" si="97"/>
        <v>21975.449889419193</v>
      </c>
      <c r="BJ298" s="20"/>
    </row>
    <row r="299" spans="1:62" x14ac:dyDescent="0.3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AK299">
        <v>295</v>
      </c>
      <c r="AL299">
        <v>147.5</v>
      </c>
      <c r="AN299" s="48">
        <f t="shared" si="98"/>
        <v>7773.0570673342718</v>
      </c>
      <c r="AO299" s="48">
        <f t="shared" si="99"/>
        <v>3804.836855364807</v>
      </c>
      <c r="AP299" s="20"/>
      <c r="AQ299" s="50">
        <f t="shared" si="100"/>
        <v>-6166.6151364502639</v>
      </c>
      <c r="AR299" s="50">
        <f t="shared" si="101"/>
        <v>7462.986694884863</v>
      </c>
      <c r="AS299" s="20"/>
      <c r="AT299" s="52">
        <f t="shared" si="102"/>
        <v>864.86697913649857</v>
      </c>
      <c r="AU299" s="52">
        <f t="shared" si="103"/>
        <v>-145.35912049537018</v>
      </c>
      <c r="AV299" s="20"/>
      <c r="AW299" s="20"/>
      <c r="AX299" s="20">
        <f t="shared" si="89"/>
        <v>1499.7041506701216</v>
      </c>
      <c r="AY299" s="20">
        <f t="shared" si="90"/>
        <v>453.23279383332027</v>
      </c>
      <c r="AZ299" s="20"/>
      <c r="BA299" s="20">
        <f t="shared" si="91"/>
        <v>-198.21521112059227</v>
      </c>
      <c r="BB299" s="20">
        <f t="shared" si="92"/>
        <v>44.21463462460099</v>
      </c>
      <c r="BC299" s="20"/>
      <c r="BD299" s="20">
        <f t="shared" si="93"/>
        <v>-436.62196041303071</v>
      </c>
      <c r="BE299" s="20">
        <f t="shared" si="94"/>
        <v>-642.80654895329144</v>
      </c>
      <c r="BF299" s="20"/>
      <c r="BG299" s="54">
        <f t="shared" si="95"/>
        <v>12773.110981438102</v>
      </c>
      <c r="BH299" s="54">
        <f t="shared" si="96"/>
        <v>28455.627655246906</v>
      </c>
      <c r="BI299" s="54">
        <f t="shared" si="97"/>
        <v>22732.63900215425</v>
      </c>
      <c r="BJ299" s="20"/>
    </row>
    <row r="300" spans="1:62" x14ac:dyDescent="0.3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AK300">
        <v>296</v>
      </c>
      <c r="AL300">
        <v>148</v>
      </c>
      <c r="AN300" s="48">
        <f t="shared" si="98"/>
        <v>4797.8578715012018</v>
      </c>
      <c r="AO300" s="48">
        <f t="shared" si="99"/>
        <v>7518.1603127453172</v>
      </c>
      <c r="AP300" s="20"/>
      <c r="AQ300" s="50">
        <f t="shared" si="100"/>
        <v>-5734.1816468820143</v>
      </c>
      <c r="AR300" s="50">
        <f t="shared" si="101"/>
        <v>7390.307134637178</v>
      </c>
      <c r="AS300" s="20"/>
      <c r="AT300" s="52">
        <f t="shared" si="102"/>
        <v>789.21708006094013</v>
      </c>
      <c r="AU300" s="52">
        <f t="shared" si="103"/>
        <v>-608.34923616791468</v>
      </c>
      <c r="AV300" s="20"/>
      <c r="AW300" s="20"/>
      <c r="AX300" s="20">
        <f t="shared" si="89"/>
        <v>1321.1554081086035</v>
      </c>
      <c r="AY300" s="20">
        <f t="shared" si="90"/>
        <v>-1.5782378031739088</v>
      </c>
      <c r="AZ300" s="20"/>
      <c r="BA300" s="20">
        <f t="shared" si="91"/>
        <v>-256.74619245604816</v>
      </c>
      <c r="BB300" s="20">
        <f t="shared" si="92"/>
        <v>25.695884430455223</v>
      </c>
      <c r="BC300" s="20"/>
      <c r="BD300" s="20">
        <f t="shared" si="93"/>
        <v>-275.19213559161523</v>
      </c>
      <c r="BE300" s="20">
        <f t="shared" si="94"/>
        <v>-632.46688279519594</v>
      </c>
      <c r="BF300" s="20"/>
      <c r="BG300" s="54">
        <f t="shared" si="95"/>
        <v>15202.152975550438</v>
      </c>
      <c r="BH300" s="54">
        <f t="shared" si="96"/>
        <v>24921.743182378043</v>
      </c>
      <c r="BI300" s="54">
        <f t="shared" si="97"/>
        <v>24557.39323993156</v>
      </c>
      <c r="BJ300" s="20"/>
    </row>
    <row r="301" spans="1:62" x14ac:dyDescent="0.3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AK301">
        <v>297</v>
      </c>
      <c r="AL301">
        <v>148.5</v>
      </c>
      <c r="AN301" s="48">
        <f t="shared" si="98"/>
        <v>2029.4191830678121</v>
      </c>
      <c r="AO301" s="48">
        <f t="shared" si="99"/>
        <v>11137.270225542918</v>
      </c>
      <c r="AP301" s="20"/>
      <c r="AQ301" s="50">
        <f t="shared" si="100"/>
        <v>-5339.5731068515443</v>
      </c>
      <c r="AR301" s="50">
        <f t="shared" si="101"/>
        <v>7086.1325165532207</v>
      </c>
      <c r="AS301" s="20"/>
      <c r="AT301" s="52">
        <f t="shared" si="102"/>
        <v>560.53967895155756</v>
      </c>
      <c r="AU301" s="52">
        <f t="shared" si="103"/>
        <v>-795.22261716909952</v>
      </c>
      <c r="AV301" s="20"/>
      <c r="AW301" s="20"/>
      <c r="AX301" s="20">
        <f t="shared" si="89"/>
        <v>1032.9392844025599</v>
      </c>
      <c r="AY301" s="20">
        <f t="shared" si="90"/>
        <v>-209.06832907765872</v>
      </c>
      <c r="AZ301" s="20"/>
      <c r="BA301" s="20">
        <f t="shared" si="91"/>
        <v>-319.18956823603747</v>
      </c>
      <c r="BB301" s="20">
        <f t="shared" si="92"/>
        <v>-16.47818261762237</v>
      </c>
      <c r="BC301" s="20"/>
      <c r="BD301" s="20">
        <f t="shared" si="93"/>
        <v>-153.21003721496481</v>
      </c>
      <c r="BE301" s="20">
        <f t="shared" si="94"/>
        <v>-569.67610547381844</v>
      </c>
      <c r="BF301" s="20"/>
      <c r="BG301" s="54">
        <f t="shared" si="95"/>
        <v>18334.98049062262</v>
      </c>
      <c r="BH301" s="54">
        <f t="shared" si="96"/>
        <v>22058.755475076618</v>
      </c>
      <c r="BI301" s="54">
        <f t="shared" si="97"/>
        <v>27066.023514626857</v>
      </c>
      <c r="BJ301" s="20"/>
    </row>
    <row r="302" spans="1:62" x14ac:dyDescent="0.3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AK302">
        <v>298</v>
      </c>
      <c r="AL302">
        <v>149</v>
      </c>
      <c r="AN302" s="48">
        <f t="shared" si="98"/>
        <v>-570.29991048901525</v>
      </c>
      <c r="AO302" s="48">
        <f t="shared" si="99"/>
        <v>14580.933656673391</v>
      </c>
      <c r="AP302" s="20"/>
      <c r="AQ302" s="50">
        <f t="shared" si="100"/>
        <v>-5059.3032673757652</v>
      </c>
      <c r="AR302" s="50">
        <f t="shared" si="101"/>
        <v>6688.5212079686708</v>
      </c>
      <c r="AS302" s="20"/>
      <c r="AT302" s="52">
        <f t="shared" si="102"/>
        <v>342.12847956285049</v>
      </c>
      <c r="AU302" s="52">
        <f t="shared" si="103"/>
        <v>-850.76396461954721</v>
      </c>
      <c r="AV302" s="20"/>
      <c r="AW302" s="20"/>
      <c r="AX302" s="20">
        <f t="shared" si="89"/>
        <v>784.68008060084412</v>
      </c>
      <c r="AY302" s="20">
        <f t="shared" si="90"/>
        <v>-270.11116107327666</v>
      </c>
      <c r="AZ302" s="20"/>
      <c r="BA302" s="20">
        <f t="shared" si="91"/>
        <v>-368.61406477949117</v>
      </c>
      <c r="BB302" s="20">
        <f t="shared" si="92"/>
        <v>-86.908010308565494</v>
      </c>
      <c r="BC302" s="20"/>
      <c r="BD302" s="20">
        <f t="shared" si="93"/>
        <v>-73.937536258502462</v>
      </c>
      <c r="BE302" s="20">
        <f t="shared" si="94"/>
        <v>-493.74479323770504</v>
      </c>
      <c r="BF302" s="20"/>
      <c r="BG302" s="54">
        <f t="shared" si="95"/>
        <v>21754.927254708859</v>
      </c>
      <c r="BH302" s="54">
        <f t="shared" si="96"/>
        <v>19962.419661333297</v>
      </c>
      <c r="BI302" s="54">
        <f t="shared" si="97"/>
        <v>29910.765267433835</v>
      </c>
      <c r="BJ302" s="20"/>
    </row>
    <row r="303" spans="1:62" x14ac:dyDescent="0.3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AK303">
        <v>299</v>
      </c>
      <c r="AL303">
        <v>149.5</v>
      </c>
      <c r="AN303" s="48">
        <f t="shared" si="98"/>
        <v>-3057.185484231542</v>
      </c>
      <c r="AO303" s="48">
        <f t="shared" si="99"/>
        <v>17818.848765080282</v>
      </c>
      <c r="AP303" s="20"/>
      <c r="AQ303" s="50">
        <f t="shared" si="100"/>
        <v>-4888.2390275943399</v>
      </c>
      <c r="AR303" s="50">
        <f t="shared" si="101"/>
        <v>6263.139225658897</v>
      </c>
      <c r="AS303" s="20"/>
      <c r="AT303" s="52">
        <f t="shared" si="102"/>
        <v>192.57226764257589</v>
      </c>
      <c r="AU303" s="52">
        <f t="shared" si="103"/>
        <v>-870.29779277792852</v>
      </c>
      <c r="AV303" s="20"/>
      <c r="AW303" s="20"/>
      <c r="AX303" s="20">
        <f t="shared" si="89"/>
        <v>602.03414886494011</v>
      </c>
      <c r="AY303" s="20">
        <f t="shared" si="90"/>
        <v>-269.43008017173833</v>
      </c>
      <c r="AZ303" s="20"/>
      <c r="BA303" s="20">
        <f t="shared" si="91"/>
        <v>-384.39287550367754</v>
      </c>
      <c r="BB303" s="20">
        <f t="shared" si="92"/>
        <v>-177.39141021348007</v>
      </c>
      <c r="BC303" s="20"/>
      <c r="BD303" s="20">
        <f t="shared" si="93"/>
        <v>-25.069005718686661</v>
      </c>
      <c r="BE303" s="20">
        <f t="shared" si="94"/>
        <v>-423.47630239271012</v>
      </c>
      <c r="BF303" s="20"/>
      <c r="BG303" s="54">
        <f t="shared" si="95"/>
        <v>25260.887599030571</v>
      </c>
      <c r="BH303" s="54">
        <f t="shared" si="96"/>
        <v>18659.939971150277</v>
      </c>
      <c r="BI303" s="54">
        <f t="shared" si="97"/>
        <v>32876.303966654952</v>
      </c>
      <c r="BJ303" s="20"/>
    </row>
    <row r="304" spans="1:62" x14ac:dyDescent="0.3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AK304">
        <v>300</v>
      </c>
      <c r="AL304">
        <v>150</v>
      </c>
      <c r="AN304" s="48">
        <f t="shared" si="98"/>
        <v>-5477.2334645733899</v>
      </c>
      <c r="AO304" s="48">
        <f t="shared" si="99"/>
        <v>20841.631153812486</v>
      </c>
      <c r="AP304" s="20"/>
      <c r="AQ304" s="50">
        <f t="shared" si="100"/>
        <v>-4791.952893773052</v>
      </c>
      <c r="AR304" s="50">
        <f t="shared" si="101"/>
        <v>5827.9903292699328</v>
      </c>
      <c r="AS304" s="20"/>
      <c r="AT304" s="52">
        <f t="shared" si="102"/>
        <v>121.74961318819489</v>
      </c>
      <c r="AU304" s="52">
        <f t="shared" si="103"/>
        <v>-877.14214502072502</v>
      </c>
      <c r="AV304" s="20"/>
      <c r="AW304" s="20"/>
      <c r="AX304" s="20">
        <f t="shared" si="89"/>
        <v>472.57317442346158</v>
      </c>
      <c r="AY304" s="20">
        <f t="shared" si="90"/>
        <v>-247.47180635256981</v>
      </c>
      <c r="AZ304" s="20"/>
      <c r="BA304" s="20">
        <f t="shared" si="91"/>
        <v>-355.67226084641459</v>
      </c>
      <c r="BB304" s="20">
        <f t="shared" si="92"/>
        <v>-265.51879453084774</v>
      </c>
      <c r="BC304" s="20"/>
      <c r="BD304" s="20">
        <f t="shared" si="93"/>
        <v>4.8486996111478984</v>
      </c>
      <c r="BE304" s="20">
        <f t="shared" si="94"/>
        <v>-364.1515441373075</v>
      </c>
      <c r="BF304" s="20"/>
      <c r="BG304" s="54">
        <f t="shared" si="95"/>
        <v>28759.147185769576</v>
      </c>
      <c r="BH304" s="54">
        <f t="shared" si="96"/>
        <v>18123.236849906931</v>
      </c>
      <c r="BI304" s="54">
        <f t="shared" si="97"/>
        <v>35844.808209078903</v>
      </c>
      <c r="BJ304" s="20"/>
    </row>
    <row r="305" spans="1:62" x14ac:dyDescent="0.3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AK305">
        <v>301</v>
      </c>
      <c r="AL305">
        <v>150.5</v>
      </c>
      <c r="AN305" s="48">
        <f t="shared" si="98"/>
        <v>-7857.9912098113919</v>
      </c>
      <c r="AO305" s="48">
        <f t="shared" si="99"/>
        <v>23645.983550319863</v>
      </c>
      <c r="AP305" s="20"/>
      <c r="AQ305" s="50">
        <f t="shared" si="100"/>
        <v>-4731.0780871789548</v>
      </c>
      <c r="AR305" s="50">
        <f t="shared" si="101"/>
        <v>5389.4192567595701</v>
      </c>
      <c r="AS305" s="20"/>
      <c r="AT305" s="52">
        <f t="shared" si="102"/>
        <v>112.58726449995686</v>
      </c>
      <c r="AU305" s="52">
        <f t="shared" si="103"/>
        <v>-863.67462868748908</v>
      </c>
      <c r="AV305" s="20"/>
      <c r="AW305" s="20"/>
      <c r="AX305" s="20">
        <f t="shared" si="89"/>
        <v>380.5791407236909</v>
      </c>
      <c r="AY305" s="20">
        <f t="shared" si="90"/>
        <v>-220.57672785665238</v>
      </c>
      <c r="AZ305" s="20"/>
      <c r="BA305" s="20">
        <f t="shared" si="91"/>
        <v>-291.33698047576496</v>
      </c>
      <c r="BB305" s="20">
        <f t="shared" si="92"/>
        <v>-327.42355172602322</v>
      </c>
      <c r="BC305" s="20"/>
      <c r="BD305" s="20">
        <f t="shared" si="93"/>
        <v>23.345104252030925</v>
      </c>
      <c r="BE305" s="20">
        <f t="shared" si="94"/>
        <v>-315.67434910481342</v>
      </c>
      <c r="BF305" s="20"/>
      <c r="BG305" s="54">
        <f t="shared" si="95"/>
        <v>32198.764868440659</v>
      </c>
      <c r="BH305" s="54">
        <f t="shared" si="96"/>
        <v>18265.849132099433</v>
      </c>
      <c r="BI305" s="54">
        <f t="shared" si="97"/>
        <v>38751.518142221896</v>
      </c>
      <c r="BJ305" s="20"/>
    </row>
    <row r="306" spans="1:62" x14ac:dyDescent="0.3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AK306">
        <v>302</v>
      </c>
      <c r="AL306">
        <v>151</v>
      </c>
      <c r="AN306" s="48">
        <f t="shared" si="98"/>
        <v>-10209.456845338374</v>
      </c>
      <c r="AO306" s="48">
        <f t="shared" si="99"/>
        <v>26232.733850113709</v>
      </c>
      <c r="AP306" s="20"/>
      <c r="AQ306" s="50">
        <f t="shared" si="100"/>
        <v>-4674.7844549289766</v>
      </c>
      <c r="AR306" s="50">
        <f t="shared" si="101"/>
        <v>4957.5819424158253</v>
      </c>
      <c r="AS306" s="20"/>
      <c r="AT306" s="52">
        <f t="shared" si="102"/>
        <v>135.99845018188037</v>
      </c>
      <c r="AU306" s="52">
        <f t="shared" si="103"/>
        <v>-824.48965418596299</v>
      </c>
      <c r="AV306" s="20"/>
      <c r="AW306" s="20"/>
      <c r="AX306" s="20">
        <f t="shared" si="89"/>
        <v>314.15654858012385</v>
      </c>
      <c r="AY306" s="20">
        <f t="shared" si="90"/>
        <v>-194.80691235035874</v>
      </c>
      <c r="AZ306" s="20"/>
      <c r="BA306" s="20">
        <f t="shared" si="91"/>
        <v>-213.07892886663242</v>
      </c>
      <c r="BB306" s="20">
        <f t="shared" si="92"/>
        <v>-353.28515351188383</v>
      </c>
      <c r="BC306" s="20"/>
      <c r="BD306" s="20">
        <f t="shared" si="93"/>
        <v>34.920830468388935</v>
      </c>
      <c r="BE306" s="20">
        <f t="shared" si="94"/>
        <v>-276.3975883237203</v>
      </c>
      <c r="BF306" s="20"/>
      <c r="BG306" s="54">
        <f t="shared" si="95"/>
        <v>35546.119343601458</v>
      </c>
      <c r="BH306" s="54">
        <f t="shared" si="96"/>
        <v>18956.697589820837</v>
      </c>
      <c r="BI306" s="54">
        <f t="shared" si="97"/>
        <v>41560.51950322272</v>
      </c>
      <c r="BJ306" s="20"/>
    </row>
    <row r="307" spans="1:62" x14ac:dyDescent="0.3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AK307">
        <v>303</v>
      </c>
      <c r="AL307">
        <v>151.5</v>
      </c>
      <c r="AN307" s="48">
        <f t="shared" si="98"/>
        <v>-12529.849266530127</v>
      </c>
      <c r="AO307" s="48">
        <f t="shared" si="99"/>
        <v>28608.463614548378</v>
      </c>
      <c r="AP307" s="20"/>
      <c r="AQ307" s="50">
        <f t="shared" si="100"/>
        <v>-4606.7852298380367</v>
      </c>
      <c r="AR307" s="50">
        <f t="shared" si="101"/>
        <v>4545.3371153228436</v>
      </c>
      <c r="AS307" s="20"/>
      <c r="AT307" s="52">
        <f t="shared" si="102"/>
        <v>167.37906608477931</v>
      </c>
      <c r="AU307" s="52">
        <f t="shared" si="103"/>
        <v>-765.42431642984559</v>
      </c>
      <c r="AV307" s="20"/>
      <c r="AW307" s="20"/>
      <c r="AX307" s="20">
        <f t="shared" si="89"/>
        <v>265.1992464563441</v>
      </c>
      <c r="AY307" s="20">
        <f t="shared" si="90"/>
        <v>-172.08652270605819</v>
      </c>
      <c r="AZ307" s="20"/>
      <c r="BA307" s="20">
        <f t="shared" si="91"/>
        <v>-140.0375606341689</v>
      </c>
      <c r="BB307" s="20">
        <f t="shared" si="92"/>
        <v>-348.83952743489232</v>
      </c>
      <c r="BC307" s="20"/>
      <c r="BD307" s="20">
        <f t="shared" si="93"/>
        <v>42.217380262604095</v>
      </c>
      <c r="BE307" s="20">
        <f t="shared" si="94"/>
        <v>-244.498266288895</v>
      </c>
      <c r="BF307" s="20"/>
      <c r="BG307" s="54">
        <f t="shared" si="95"/>
        <v>38778.322932662821</v>
      </c>
      <c r="BH307" s="54">
        <f t="shared" si="96"/>
        <v>20051.884451959406</v>
      </c>
      <c r="BI307" s="54">
        <f t="shared" si="97"/>
        <v>44253.776435441694</v>
      </c>
      <c r="BJ307" s="20"/>
    </row>
    <row r="308" spans="1:62" x14ac:dyDescent="0.3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AK308">
        <v>304</v>
      </c>
      <c r="AL308">
        <v>152</v>
      </c>
      <c r="AN308" s="48">
        <f t="shared" si="98"/>
        <v>-14812.31949818855</v>
      </c>
      <c r="AO308" s="48">
        <f t="shared" si="99"/>
        <v>30785.454132656068</v>
      </c>
      <c r="AP308" s="20"/>
      <c r="AQ308" s="50">
        <f t="shared" si="100"/>
        <v>-4523.0956967956472</v>
      </c>
      <c r="AR308" s="50">
        <f t="shared" si="101"/>
        <v>4162.6249571079206</v>
      </c>
      <c r="AS308" s="20"/>
      <c r="AT308" s="52">
        <f t="shared" si="102"/>
        <v>193.73172788266183</v>
      </c>
      <c r="AU308" s="52">
        <f t="shared" si="103"/>
        <v>-697.18668423186432</v>
      </c>
      <c r="AV308" s="20"/>
      <c r="AW308" s="20"/>
      <c r="AX308" s="20">
        <f t="shared" si="89"/>
        <v>228.31179664962042</v>
      </c>
      <c r="AY308" s="20">
        <f t="shared" si="90"/>
        <v>-152.71443975761713</v>
      </c>
      <c r="AZ308" s="20"/>
      <c r="BA308" s="20">
        <f t="shared" si="91"/>
        <v>-81.383843040411875</v>
      </c>
      <c r="BB308" s="20">
        <f t="shared" si="92"/>
        <v>-326.08024647336777</v>
      </c>
      <c r="BC308" s="20"/>
      <c r="BD308" s="20">
        <f t="shared" si="93"/>
        <v>46.803774273453293</v>
      </c>
      <c r="BE308" s="20">
        <f t="shared" si="94"/>
        <v>-218.39199800087943</v>
      </c>
      <c r="BF308" s="20"/>
      <c r="BG308" s="54">
        <f t="shared" si="95"/>
        <v>41882.095972002018</v>
      </c>
      <c r="BH308" s="54">
        <f t="shared" si="96"/>
        <v>21423.051428067476</v>
      </c>
      <c r="BI308" s="54">
        <f t="shared" si="97"/>
        <v>46825.09395685271</v>
      </c>
      <c r="BJ308" s="20"/>
    </row>
    <row r="309" spans="1:62" x14ac:dyDescent="0.3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AK309">
        <v>305</v>
      </c>
      <c r="AL309">
        <v>152.5</v>
      </c>
      <c r="AN309" s="48">
        <f t="shared" si="98"/>
        <v>-17049.650880601039</v>
      </c>
      <c r="AO309" s="48">
        <f t="shared" si="99"/>
        <v>32779.618275681045</v>
      </c>
      <c r="AP309" s="20"/>
      <c r="AQ309" s="50">
        <f t="shared" si="100"/>
        <v>-4426.2298328543166</v>
      </c>
      <c r="AR309" s="50">
        <f t="shared" si="101"/>
        <v>3814.0316149919886</v>
      </c>
      <c r="AS309" s="20"/>
      <c r="AT309" s="52">
        <f t="shared" si="102"/>
        <v>211.27149366884291</v>
      </c>
      <c r="AU309" s="52">
        <f t="shared" si="103"/>
        <v>-628.67889114764853</v>
      </c>
      <c r="AV309" s="20"/>
      <c r="AW309" s="20"/>
      <c r="AX309" s="20">
        <f t="shared" si="89"/>
        <v>199.90487716662449</v>
      </c>
      <c r="AY309" s="20">
        <f t="shared" si="90"/>
        <v>-136.3985588556562</v>
      </c>
      <c r="AZ309" s="20"/>
      <c r="BA309" s="20">
        <f t="shared" si="91"/>
        <v>-38.268074058987182</v>
      </c>
      <c r="BB309" s="20">
        <f t="shared" si="92"/>
        <v>-295.46744603120305</v>
      </c>
      <c r="BC309" s="20"/>
      <c r="BD309" s="20">
        <f t="shared" si="93"/>
        <v>49.634690561205588</v>
      </c>
      <c r="BE309" s="20">
        <f t="shared" si="94"/>
        <v>-196.8128862607893</v>
      </c>
      <c r="BF309" s="20"/>
      <c r="BG309" s="54">
        <f t="shared" si="95"/>
        <v>44852.377089052578</v>
      </c>
      <c r="BH309" s="54">
        <f t="shared" si="96"/>
        <v>22969.883950775202</v>
      </c>
      <c r="BI309" s="54">
        <f t="shared" si="97"/>
        <v>49275.612719824843</v>
      </c>
      <c r="BJ309" s="20"/>
    </row>
    <row r="310" spans="1:62" x14ac:dyDescent="0.3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AK310">
        <v>306</v>
      </c>
      <c r="AL310">
        <v>153</v>
      </c>
      <c r="AN310" s="48">
        <f t="shared" si="98"/>
        <v>-19236.356860319593</v>
      </c>
      <c r="AO310" s="48">
        <f t="shared" si="99"/>
        <v>34608.049221783578</v>
      </c>
      <c r="AP310" s="20"/>
      <c r="AQ310" s="50">
        <f t="shared" si="100"/>
        <v>-4320.5940860198953</v>
      </c>
      <c r="AR310" s="50">
        <f t="shared" si="101"/>
        <v>3499.6921694181642</v>
      </c>
      <c r="AS310" s="20"/>
      <c r="AT310" s="52">
        <f t="shared" si="102"/>
        <v>220.69996797080569</v>
      </c>
      <c r="AU310" s="52">
        <f t="shared" si="103"/>
        <v>-565.02126906112142</v>
      </c>
      <c r="AV310" s="20"/>
      <c r="AW310" s="20"/>
      <c r="AX310" s="20">
        <f t="shared" si="89"/>
        <v>177.5715863376073</v>
      </c>
      <c r="AY310" s="20">
        <f t="shared" si="90"/>
        <v>-122.68262621747506</v>
      </c>
      <c r="AZ310" s="20"/>
      <c r="BA310" s="20">
        <f t="shared" si="91"/>
        <v>-8.1786717972242791</v>
      </c>
      <c r="BB310" s="20">
        <f t="shared" si="92"/>
        <v>-263.55393991902832</v>
      </c>
      <c r="BC310" s="20"/>
      <c r="BD310" s="20">
        <f t="shared" si="93"/>
        <v>51.307053430422648</v>
      </c>
      <c r="BE310" s="20">
        <f t="shared" si="94"/>
        <v>-178.78470292461807</v>
      </c>
      <c r="BF310" s="20"/>
      <c r="BG310" s="54">
        <f t="shared" si="95"/>
        <v>47690.020258760531</v>
      </c>
      <c r="BH310" s="54">
        <f t="shared" si="96"/>
        <v>24619.895153036381</v>
      </c>
      <c r="BI310" s="54">
        <f t="shared" si="97"/>
        <v>51610.390467862875</v>
      </c>
      <c r="BJ310" s="20"/>
    </row>
    <row r="311" spans="1:62" x14ac:dyDescent="0.3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AK311">
        <v>307</v>
      </c>
      <c r="AL311">
        <v>153.5</v>
      </c>
      <c r="AN311" s="48">
        <f t="shared" si="98"/>
        <v>-21369.06640733319</v>
      </c>
      <c r="AO311" s="48">
        <f t="shared" si="99"/>
        <v>36287.267647860019</v>
      </c>
      <c r="AP311" s="20"/>
      <c r="AQ311" s="50">
        <f t="shared" si="100"/>
        <v>-4210.2441020344922</v>
      </c>
      <c r="AR311" s="50">
        <f t="shared" si="101"/>
        <v>3217.1815348876034</v>
      </c>
      <c r="AS311" s="20"/>
      <c r="AT311" s="52">
        <f t="shared" si="102"/>
        <v>224.04845208937999</v>
      </c>
      <c r="AU311" s="52">
        <f t="shared" si="103"/>
        <v>-508.30590963744476</v>
      </c>
      <c r="AV311" s="20"/>
      <c r="AW311" s="20"/>
      <c r="AX311" s="20">
        <f t="shared" si="89"/>
        <v>159.67693552441216</v>
      </c>
      <c r="AY311" s="20">
        <f t="shared" si="90"/>
        <v>-111.1135222359411</v>
      </c>
      <c r="AZ311" s="20"/>
      <c r="BA311" s="20">
        <f t="shared" si="91"/>
        <v>12.167567965506063</v>
      </c>
      <c r="BB311" s="20">
        <f t="shared" si="92"/>
        <v>-233.62790440226101</v>
      </c>
      <c r="BC311" s="20"/>
      <c r="BD311" s="20">
        <f t="shared" si="93"/>
        <v>52.203948599461768</v>
      </c>
      <c r="BE311" s="20">
        <f t="shared" si="94"/>
        <v>-163.56448299924259</v>
      </c>
      <c r="BF311" s="20"/>
      <c r="BG311" s="54">
        <f t="shared" si="95"/>
        <v>50399.468588903503</v>
      </c>
      <c r="BH311" s="54">
        <f t="shared" si="96"/>
        <v>26322.894658793062</v>
      </c>
      <c r="BI311" s="54">
        <f t="shared" si="97"/>
        <v>53836.141743543551</v>
      </c>
      <c r="BJ311" s="20"/>
    </row>
    <row r="312" spans="1:62" x14ac:dyDescent="0.3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AK312">
        <v>308</v>
      </c>
      <c r="AL312">
        <v>154</v>
      </c>
      <c r="AN312" s="48">
        <f t="shared" si="98"/>
        <v>-23446.182401839265</v>
      </c>
      <c r="AO312" s="48">
        <f t="shared" si="99"/>
        <v>37832.32017659914</v>
      </c>
      <c r="AP312" s="20"/>
      <c r="AQ312" s="50">
        <f t="shared" si="100"/>
        <v>-4098.2198759898019</v>
      </c>
      <c r="AR312" s="50">
        <f t="shared" si="101"/>
        <v>2963.0285800688812</v>
      </c>
      <c r="AS312" s="20"/>
      <c r="AT312" s="52">
        <f t="shared" si="102"/>
        <v>223.29620606409503</v>
      </c>
      <c r="AU312" s="52">
        <f t="shared" si="103"/>
        <v>-458.856649863879</v>
      </c>
      <c r="AV312" s="20"/>
      <c r="AW312" s="20"/>
      <c r="AX312" s="20">
        <f t="shared" si="89"/>
        <v>145.09207103295338</v>
      </c>
      <c r="AY312" s="20">
        <f t="shared" si="90"/>
        <v>-101.29725813311263</v>
      </c>
      <c r="AZ312" s="20"/>
      <c r="BA312" s="20">
        <f t="shared" si="91"/>
        <v>25.627145486969248</v>
      </c>
      <c r="BB312" s="20">
        <f t="shared" si="92"/>
        <v>-206.97189969542518</v>
      </c>
      <c r="BC312" s="20"/>
      <c r="BD312" s="20">
        <f t="shared" si="93"/>
        <v>52.576989544172399</v>
      </c>
      <c r="BE312" s="20">
        <f t="shared" si="94"/>
        <v>-150.5874920353412</v>
      </c>
      <c r="BF312" s="20"/>
      <c r="BG312" s="54">
        <f t="shared" si="95"/>
        <v>52986.983426022765</v>
      </c>
      <c r="BH312" s="54">
        <f t="shared" si="96"/>
        <v>28044.860840436955</v>
      </c>
      <c r="BI312" s="54">
        <f t="shared" si="97"/>
        <v>55959.947287721858</v>
      </c>
      <c r="BJ312" s="20"/>
    </row>
    <row r="313" spans="1:62" x14ac:dyDescent="0.3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AK313">
        <v>309</v>
      </c>
      <c r="AL313">
        <v>154.5</v>
      </c>
      <c r="AN313" s="48">
        <f t="shared" si="98"/>
        <v>-25467.380314076156</v>
      </c>
      <c r="AO313" s="48">
        <f t="shared" si="99"/>
        <v>39256.477385400598</v>
      </c>
      <c r="AP313" s="20"/>
      <c r="AQ313" s="50">
        <f t="shared" si="100"/>
        <v>-3986.5717729577545</v>
      </c>
      <c r="AR313" s="50">
        <f t="shared" si="101"/>
        <v>2733.6002551369415</v>
      </c>
      <c r="AS313" s="20"/>
      <c r="AT313" s="52">
        <f t="shared" si="102"/>
        <v>219.97153754629653</v>
      </c>
      <c r="AU313" s="52">
        <f t="shared" si="103"/>
        <v>-416.16034552333406</v>
      </c>
      <c r="AV313" s="20"/>
      <c r="AW313" s="20"/>
      <c r="AX313" s="20">
        <f t="shared" si="89"/>
        <v>133.02331156410108</v>
      </c>
      <c r="AY313" s="20">
        <f t="shared" si="90"/>
        <v>-92.909504709438139</v>
      </c>
      <c r="AZ313" s="20"/>
      <c r="BA313" s="20">
        <f t="shared" si="91"/>
        <v>34.353459279732078</v>
      </c>
      <c r="BB313" s="20">
        <f t="shared" si="92"/>
        <v>-183.82866140483424</v>
      </c>
      <c r="BC313" s="20"/>
      <c r="BD313" s="20">
        <f t="shared" si="93"/>
        <v>52.59476670246336</v>
      </c>
      <c r="BE313" s="20">
        <f t="shared" si="94"/>
        <v>-139.42217940906173</v>
      </c>
      <c r="BF313" s="20"/>
      <c r="BG313" s="54">
        <f t="shared" si="95"/>
        <v>55459.503500791456</v>
      </c>
      <c r="BH313" s="54">
        <f t="shared" si="96"/>
        <v>29762.958799507891</v>
      </c>
      <c r="BI313" s="54">
        <f t="shared" si="97"/>
        <v>57988.61090932873</v>
      </c>
      <c r="BJ313" s="20"/>
    </row>
    <row r="314" spans="1:62" x14ac:dyDescent="0.3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AK314">
        <v>310</v>
      </c>
      <c r="AL314">
        <v>155</v>
      </c>
      <c r="AN314" s="48">
        <f t="shared" si="98"/>
        <v>-27433.169758361746</v>
      </c>
      <c r="AO314" s="48">
        <f t="shared" si="99"/>
        <v>40571.257469778655</v>
      </c>
      <c r="AP314" s="20"/>
      <c r="AQ314" s="50">
        <f t="shared" si="100"/>
        <v>-3876.5860041846063</v>
      </c>
      <c r="AR314" s="50">
        <f t="shared" si="101"/>
        <v>2525.5200823752743</v>
      </c>
      <c r="AS314" s="20"/>
      <c r="AT314" s="52">
        <f t="shared" si="102"/>
        <v>215.14319972579193</v>
      </c>
      <c r="AU314" s="52">
        <f t="shared" si="103"/>
        <v>-379.39917579098369</v>
      </c>
      <c r="AV314" s="20"/>
      <c r="AW314" s="20"/>
      <c r="AX314" s="20">
        <f t="shared" si="89"/>
        <v>122.90205267516654</v>
      </c>
      <c r="AY314" s="20">
        <f t="shared" si="90"/>
        <v>-85.68951744719142</v>
      </c>
      <c r="AZ314" s="20"/>
      <c r="BA314" s="20">
        <f t="shared" si="91"/>
        <v>39.868982041387603</v>
      </c>
      <c r="BB314" s="20">
        <f t="shared" si="92"/>
        <v>-163.97377628489306</v>
      </c>
      <c r="BC314" s="20"/>
      <c r="BD314" s="20">
        <f t="shared" si="93"/>
        <v>52.372165009237776</v>
      </c>
      <c r="BE314" s="20">
        <f t="shared" si="94"/>
        <v>-129.73588205889925</v>
      </c>
      <c r="BF314" s="20"/>
      <c r="BG314" s="54">
        <f t="shared" si="95"/>
        <v>57823.988654864981</v>
      </c>
      <c r="BH314" s="54">
        <f t="shared" si="96"/>
        <v>31461.942024295335</v>
      </c>
      <c r="BI314" s="54">
        <f t="shared" si="97"/>
        <v>59928.388616580589</v>
      </c>
      <c r="BJ314" s="20"/>
    </row>
    <row r="315" spans="1:62" x14ac:dyDescent="0.3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AK315">
        <v>311</v>
      </c>
      <c r="AL315">
        <v>155.5</v>
      </c>
      <c r="AN315" s="48">
        <f t="shared" si="98"/>
        <v>-29344.569860488326</v>
      </c>
      <c r="AO315" s="48">
        <f t="shared" si="99"/>
        <v>41786.592613992412</v>
      </c>
      <c r="AP315" s="20"/>
      <c r="AQ315" s="50">
        <f t="shared" si="100"/>
        <v>-3769.0144043217101</v>
      </c>
      <c r="AR315" s="50">
        <f t="shared" si="101"/>
        <v>2335.8204944797826</v>
      </c>
      <c r="AS315" s="20"/>
      <c r="AT315" s="52">
        <f t="shared" si="102"/>
        <v>209.52069774661533</v>
      </c>
      <c r="AU315" s="52">
        <f t="shared" si="103"/>
        <v>-347.71252182891232</v>
      </c>
      <c r="AV315" s="20"/>
      <c r="AW315" s="20"/>
      <c r="AX315" s="20">
        <f t="shared" si="89"/>
        <v>114.31333208077</v>
      </c>
      <c r="AY315" s="20">
        <f t="shared" si="90"/>
        <v>-79.429502749395411</v>
      </c>
      <c r="AZ315" s="20"/>
      <c r="BA315" s="20">
        <f t="shared" si="91"/>
        <v>43.218783158743804</v>
      </c>
      <c r="BB315" s="20">
        <f t="shared" si="92"/>
        <v>-147.01349276098998</v>
      </c>
      <c r="BC315" s="20"/>
      <c r="BD315" s="20">
        <f t="shared" si="93"/>
        <v>51.988582507101519</v>
      </c>
      <c r="BE315" s="20">
        <f t="shared" si="94"/>
        <v>-121.26952631852693</v>
      </c>
      <c r="BF315" s="20"/>
      <c r="BG315" s="54">
        <f t="shared" si="95"/>
        <v>60087.078542682466</v>
      </c>
      <c r="BH315" s="54">
        <f t="shared" si="96"/>
        <v>33131.683565515712</v>
      </c>
      <c r="BI315" s="54">
        <f t="shared" si="97"/>
        <v>61784.910636819201</v>
      </c>
      <c r="BJ315" s="20"/>
    </row>
    <row r="316" spans="1:62" x14ac:dyDescent="0.3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AK316">
        <v>312</v>
      </c>
      <c r="AL316">
        <v>156</v>
      </c>
      <c r="AN316" s="48">
        <f t="shared" si="98"/>
        <v>-31202.886975430851</v>
      </c>
      <c r="AO316" s="48">
        <f t="shared" si="99"/>
        <v>42911.03879600369</v>
      </c>
      <c r="AP316" s="20"/>
      <c r="AQ316" s="50">
        <f t="shared" si="100"/>
        <v>-3664.2540554484026</v>
      </c>
      <c r="AR316" s="50">
        <f t="shared" si="101"/>
        <v>2161.9642335653266</v>
      </c>
      <c r="AS316" s="20"/>
      <c r="AT316" s="52">
        <f t="shared" si="102"/>
        <v>203.55997518017392</v>
      </c>
      <c r="AU316" s="52">
        <f t="shared" si="103"/>
        <v>-320.30864708092133</v>
      </c>
      <c r="AV316" s="20"/>
      <c r="AW316" s="20"/>
      <c r="AX316" s="20">
        <f t="shared" si="89"/>
        <v>106.94891454500652</v>
      </c>
      <c r="AY316" s="20">
        <f t="shared" si="90"/>
        <v>-73.964035738081378</v>
      </c>
      <c r="AZ316" s="20"/>
      <c r="BA316" s="20">
        <f t="shared" si="91"/>
        <v>45.111533195576982</v>
      </c>
      <c r="BB316" s="20">
        <f t="shared" si="92"/>
        <v>-132.52543048973709</v>
      </c>
      <c r="BC316" s="20"/>
      <c r="BD316" s="20">
        <f t="shared" si="93"/>
        <v>51.499527439590437</v>
      </c>
      <c r="BE316" s="20">
        <f t="shared" si="94"/>
        <v>-113.81918085310288</v>
      </c>
      <c r="BF316" s="20"/>
      <c r="BG316" s="54">
        <f t="shared" si="95"/>
        <v>62254.937982708048</v>
      </c>
      <c r="BH316" s="54">
        <f t="shared" si="96"/>
        <v>34765.516697099993</v>
      </c>
      <c r="BI316" s="54">
        <f t="shared" si="97"/>
        <v>63563.194541176483</v>
      </c>
      <c r="BJ316" s="20"/>
    </row>
    <row r="317" spans="1:62" x14ac:dyDescent="0.3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AK317">
        <v>313</v>
      </c>
      <c r="AL317">
        <v>156.5</v>
      </c>
      <c r="AN317" s="48">
        <f t="shared" si="98"/>
        <v>-33009.56900625753</v>
      </c>
      <c r="AO317" s="48">
        <f t="shared" si="99"/>
        <v>43951.982331901243</v>
      </c>
      <c r="AP317" s="20"/>
      <c r="AQ317" s="50">
        <f t="shared" si="100"/>
        <v>-3562.4740678583157</v>
      </c>
      <c r="AR317" s="50">
        <f t="shared" si="101"/>
        <v>2001.809910024866</v>
      </c>
      <c r="AS317" s="20"/>
      <c r="AT317" s="52">
        <f t="shared" si="102"/>
        <v>197.54648524293628</v>
      </c>
      <c r="AU317" s="52">
        <f t="shared" si="103"/>
        <v>-296.50169649077702</v>
      </c>
      <c r="AV317" s="20"/>
      <c r="AW317" s="20"/>
      <c r="AX317" s="20">
        <f t="shared" si="89"/>
        <v>100.57601773268425</v>
      </c>
      <c r="AY317" s="20">
        <f t="shared" si="90"/>
        <v>-69.161007911081398</v>
      </c>
      <c r="AZ317" s="20"/>
      <c r="BA317" s="20">
        <f t="shared" si="91"/>
        <v>46.026306609052071</v>
      </c>
      <c r="BB317" s="20">
        <f t="shared" si="92"/>
        <v>-120.11807216992068</v>
      </c>
      <c r="BC317" s="20"/>
      <c r="BD317" s="20">
        <f t="shared" si="93"/>
        <v>50.944160901199943</v>
      </c>
      <c r="BE317" s="20">
        <f t="shared" si="94"/>
        <v>-107.22261640977497</v>
      </c>
      <c r="BF317" s="20"/>
      <c r="BG317" s="54">
        <f t="shared" si="95"/>
        <v>64333.206216964027</v>
      </c>
      <c r="BH317" s="54">
        <f t="shared" si="96"/>
        <v>36359.125264427232</v>
      </c>
      <c r="BI317" s="54">
        <f t="shared" si="97"/>
        <v>65267.696272942703</v>
      </c>
      <c r="BJ317" s="20"/>
    </row>
    <row r="318" spans="1:62" x14ac:dyDescent="0.3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AK318">
        <v>314</v>
      </c>
      <c r="AL318">
        <v>157</v>
      </c>
      <c r="AN318" s="48">
        <f t="shared" si="98"/>
        <v>-34766.11272953132</v>
      </c>
      <c r="AO318" s="48">
        <f t="shared" si="99"/>
        <v>44915.824574852326</v>
      </c>
      <c r="AP318" s="20"/>
      <c r="AQ318" s="50">
        <f t="shared" si="100"/>
        <v>-3463.7008252368478</v>
      </c>
      <c r="AR318" s="50">
        <f t="shared" si="101"/>
        <v>1853.5590617794774</v>
      </c>
      <c r="AS318" s="20"/>
      <c r="AT318" s="52">
        <f t="shared" si="102"/>
        <v>191.65391632550131</v>
      </c>
      <c r="AU318" s="52">
        <f t="shared" si="103"/>
        <v>-275.71483348700968</v>
      </c>
      <c r="AV318" s="20"/>
      <c r="AW318" s="20"/>
      <c r="AX318" s="20">
        <f t="shared" si="89"/>
        <v>95.016122882613331</v>
      </c>
      <c r="AY318" s="20">
        <f t="shared" si="90"/>
        <v>-64.914349556189435</v>
      </c>
      <c r="AZ318" s="20"/>
      <c r="BA318" s="20">
        <f t="shared" si="91"/>
        <v>46.287495845691431</v>
      </c>
      <c r="BB318" s="20">
        <f t="shared" si="92"/>
        <v>-109.45101900279653</v>
      </c>
      <c r="BC318" s="20"/>
      <c r="BD318" s="20">
        <f t="shared" si="93"/>
        <v>50.35029759719653</v>
      </c>
      <c r="BE318" s="20">
        <f t="shared" si="94"/>
        <v>-101.34946492802375</v>
      </c>
      <c r="BF318" s="20"/>
      <c r="BG318" s="54">
        <f t="shared" si="95"/>
        <v>66327.000777359557</v>
      </c>
      <c r="BH318" s="54">
        <f t="shared" si="96"/>
        <v>37909.799404416379</v>
      </c>
      <c r="BI318" s="54">
        <f t="shared" si="97"/>
        <v>66902.372913908257</v>
      </c>
      <c r="BJ318" s="20"/>
    </row>
    <row r="319" spans="1:62" x14ac:dyDescent="0.3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AK319">
        <v>315</v>
      </c>
      <c r="AL319">
        <v>157.5</v>
      </c>
      <c r="AN319" s="48">
        <f t="shared" si="98"/>
        <v>-36474.006402609062</v>
      </c>
      <c r="AO319" s="48">
        <f t="shared" si="99"/>
        <v>45808.139751556191</v>
      </c>
      <c r="AP319" s="20"/>
      <c r="AQ319" s="50">
        <f t="shared" si="100"/>
        <v>-3367.8738670740972</v>
      </c>
      <c r="AR319" s="50">
        <f t="shared" si="101"/>
        <v>1715.7016450359724</v>
      </c>
      <c r="AS319" s="20"/>
      <c r="AT319" s="52">
        <f t="shared" si="102"/>
        <v>185.98375566817111</v>
      </c>
      <c r="AU319" s="52">
        <f t="shared" si="103"/>
        <v>-257.46983537952599</v>
      </c>
      <c r="AV319" s="20"/>
      <c r="AW319" s="20"/>
      <c r="AX319" s="20">
        <f t="shared" si="89"/>
        <v>90.130377420771055</v>
      </c>
      <c r="AY319" s="20">
        <f t="shared" si="90"/>
        <v>-61.138341584631902</v>
      </c>
      <c r="AZ319" s="20"/>
      <c r="BA319" s="20">
        <f t="shared" si="91"/>
        <v>46.115599536699712</v>
      </c>
      <c r="BB319" s="20">
        <f t="shared" si="92"/>
        <v>-100.23753740167403</v>
      </c>
      <c r="BC319" s="20"/>
      <c r="BD319" s="20">
        <f t="shared" si="93"/>
        <v>49.737778710700354</v>
      </c>
      <c r="BE319" s="20">
        <f t="shared" si="94"/>
        <v>-96.09395639322004</v>
      </c>
      <c r="BF319" s="20"/>
      <c r="BG319" s="54">
        <f t="shared" si="95"/>
        <v>68240.947900704661</v>
      </c>
      <c r="BH319" s="54">
        <f t="shared" si="96"/>
        <v>39415.932811747371</v>
      </c>
      <c r="BI319" s="54">
        <f t="shared" si="97"/>
        <v>68470.745133058575</v>
      </c>
      <c r="BJ319" s="20"/>
    </row>
    <row r="320" spans="1:62" x14ac:dyDescent="0.3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AK320">
        <v>316</v>
      </c>
      <c r="AL320">
        <v>158</v>
      </c>
      <c r="AN320" s="48">
        <f t="shared" si="98"/>
        <v>-38134.695366687592</v>
      </c>
      <c r="AO320" s="48">
        <f t="shared" si="99"/>
        <v>46633.806844651735</v>
      </c>
      <c r="AP320" s="20"/>
      <c r="AQ320" s="50">
        <f t="shared" si="100"/>
        <v>-3274.8819892400115</v>
      </c>
      <c r="AR320" s="50">
        <f t="shared" si="101"/>
        <v>1586.9667273462094</v>
      </c>
      <c r="AS320" s="20"/>
      <c r="AT320" s="52">
        <f t="shared" si="102"/>
        <v>180.59132944069475</v>
      </c>
      <c r="AU320" s="52">
        <f t="shared" si="103"/>
        <v>-241.37264078010611</v>
      </c>
      <c r="AV320" s="20"/>
      <c r="AW320" s="20"/>
      <c r="AX320" s="20">
        <f t="shared" si="89"/>
        <v>85.809372375989781</v>
      </c>
      <c r="AY320" s="20">
        <f t="shared" si="90"/>
        <v>-57.763223542184598</v>
      </c>
      <c r="AZ320" s="20"/>
      <c r="BA320" s="20">
        <f t="shared" si="91"/>
        <v>45.661175044964949</v>
      </c>
      <c r="BB320" s="20">
        <f t="shared" si="92"/>
        <v>-92.239909911572681</v>
      </c>
      <c r="BC320" s="20"/>
      <c r="BD320" s="20">
        <f t="shared" si="93"/>
        <v>49.120782019740012</v>
      </c>
      <c r="BE320" s="20">
        <f t="shared" si="94"/>
        <v>-91.369507326348824</v>
      </c>
      <c r="BF320" s="20"/>
      <c r="BG320" s="54">
        <f t="shared" si="95"/>
        <v>70079.224050584919</v>
      </c>
      <c r="BH320" s="54">
        <f t="shared" si="96"/>
        <v>40876.680148635023</v>
      </c>
      <c r="BI320" s="54">
        <f t="shared" si="97"/>
        <v>69975.954321516954</v>
      </c>
      <c r="BJ320" s="20"/>
    </row>
    <row r="321" spans="1:62" x14ac:dyDescent="0.3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AK321">
        <v>317</v>
      </c>
      <c r="AL321">
        <v>158.5</v>
      </c>
      <c r="AN321" s="48">
        <f t="shared" si="98"/>
        <v>-39749.562445127507</v>
      </c>
      <c r="AO321" s="48">
        <f t="shared" si="99"/>
        <v>47397.118628227327</v>
      </c>
      <c r="AP321" s="20"/>
      <c r="AQ321" s="50">
        <f t="shared" si="100"/>
        <v>-3184.5863245196642</v>
      </c>
      <c r="AR321" s="50">
        <f t="shared" si="101"/>
        <v>1466.2804069561564</v>
      </c>
      <c r="AS321" s="20"/>
      <c r="AT321" s="52">
        <f t="shared" si="102"/>
        <v>175.50275018211013</v>
      </c>
      <c r="AU321" s="52">
        <f t="shared" si="103"/>
        <v>-227.09896352903391</v>
      </c>
      <c r="AV321" s="20"/>
      <c r="AW321" s="20"/>
      <c r="AX321" s="20">
        <f t="shared" si="89"/>
        <v>81.965869283048946</v>
      </c>
      <c r="AY321" s="20">
        <f t="shared" si="90"/>
        <v>-54.731815203748972</v>
      </c>
      <c r="AZ321" s="20"/>
      <c r="BA321" s="20">
        <f t="shared" si="91"/>
        <v>45.02745483215832</v>
      </c>
      <c r="BB321" s="20">
        <f t="shared" si="92"/>
        <v>-85.262500096593953</v>
      </c>
      <c r="BC321" s="20"/>
      <c r="BD321" s="20">
        <f t="shared" si="93"/>
        <v>48.509426066902883</v>
      </c>
      <c r="BE321" s="20">
        <f t="shared" si="94"/>
        <v>-87.104648228690991</v>
      </c>
      <c r="BF321" s="20"/>
      <c r="BG321" s="54">
        <f t="shared" si="95"/>
        <v>71845.600333068651</v>
      </c>
      <c r="BH321" s="54">
        <f t="shared" si="96"/>
        <v>42291.721393999775</v>
      </c>
      <c r="BI321" s="54">
        <f t="shared" si="97"/>
        <v>71420.81281554341</v>
      </c>
      <c r="BJ321" s="20"/>
    </row>
    <row r="322" spans="1:62" x14ac:dyDescent="0.3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AK322">
        <v>318</v>
      </c>
      <c r="AL322">
        <v>159</v>
      </c>
      <c r="AN322" s="48">
        <f t="shared" si="98"/>
        <v>-41319.917763614576</v>
      </c>
      <c r="AO322" s="48">
        <f t="shared" si="99"/>
        <v>48101.871461264273</v>
      </c>
      <c r="AP322" s="20"/>
      <c r="AQ322" s="50">
        <f t="shared" si="100"/>
        <v>-3096.834949428609</v>
      </c>
      <c r="AR322" s="50">
        <f t="shared" si="101"/>
        <v>1352.7309251916395</v>
      </c>
      <c r="AS322" s="20"/>
      <c r="AT322" s="52">
        <f t="shared" si="102"/>
        <v>170.72588856589181</v>
      </c>
      <c r="AU322" s="52">
        <f t="shared" si="103"/>
        <v>-214.38153270478659</v>
      </c>
      <c r="AV322" s="20"/>
      <c r="AW322" s="20"/>
      <c r="AX322" s="20">
        <f t="shared" si="89"/>
        <v>78.529547109557797</v>
      </c>
      <c r="AY322" s="20">
        <f t="shared" si="90"/>
        <v>-51.996915422242992</v>
      </c>
      <c r="AZ322" s="20"/>
      <c r="BA322" s="20">
        <f t="shared" si="91"/>
        <v>44.28544349648628</v>
      </c>
      <c r="BB322" s="20">
        <f t="shared" si="92"/>
        <v>-79.144689694249905</v>
      </c>
      <c r="BC322" s="20"/>
      <c r="BD322" s="20">
        <f t="shared" si="93"/>
        <v>47.910897959847723</v>
      </c>
      <c r="BE322" s="20">
        <f t="shared" si="94"/>
        <v>-83.23992758829371</v>
      </c>
      <c r="BF322" s="20"/>
      <c r="BG322" s="54">
        <f t="shared" si="95"/>
        <v>73543.485644164844</v>
      </c>
      <c r="BH322" s="54">
        <f t="shared" si="96"/>
        <v>43661.09827177957</v>
      </c>
      <c r="BI322" s="54">
        <f t="shared" si="97"/>
        <v>72807.847161344107</v>
      </c>
      <c r="BJ322" s="20"/>
    </row>
    <row r="323" spans="1:62" x14ac:dyDescent="0.3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AK323">
        <v>319</v>
      </c>
      <c r="AL323">
        <v>159.5</v>
      </c>
      <c r="AN323" s="48">
        <f t="shared" si="98"/>
        <v>-42846.994502258145</v>
      </c>
      <c r="AO323" s="48">
        <f t="shared" si="99"/>
        <v>48751.439232271994</v>
      </c>
      <c r="AP323" s="20"/>
      <c r="AQ323" s="50">
        <f t="shared" si="100"/>
        <v>-3011.4720051456629</v>
      </c>
      <c r="AR323" s="50">
        <f t="shared" si="101"/>
        <v>1245.5401588392463</v>
      </c>
      <c r="AS323" s="20"/>
      <c r="AT323" s="52">
        <f t="shared" si="102"/>
        <v>166.25745758679244</v>
      </c>
      <c r="AU323" s="52">
        <f t="shared" si="103"/>
        <v>-202.99936242781601</v>
      </c>
      <c r="AV323" s="20"/>
      <c r="AW323" s="20"/>
      <c r="AX323" s="20">
        <f t="shared" si="89"/>
        <v>75.443153964001368</v>
      </c>
      <c r="AY323" s="20">
        <f t="shared" si="90"/>
        <v>-49.519292145706679</v>
      </c>
      <c r="AZ323" s="20"/>
      <c r="BA323" s="20">
        <f t="shared" si="91"/>
        <v>43.484048527216359</v>
      </c>
      <c r="BB323" s="20">
        <f t="shared" si="92"/>
        <v>-73.75453536827537</v>
      </c>
      <c r="BC323" s="20"/>
      <c r="BD323" s="20">
        <f t="shared" si="93"/>
        <v>47.330255095574728</v>
      </c>
      <c r="BE323" s="20">
        <f t="shared" si="94"/>
        <v>-79.725534913833968</v>
      </c>
      <c r="BF323" s="20"/>
      <c r="BG323" s="54">
        <f t="shared" si="95"/>
        <v>75175.966616337537</v>
      </c>
      <c r="BH323" s="54">
        <f t="shared" si="96"/>
        <v>44985.099759350131</v>
      </c>
      <c r="BI323" s="54">
        <f t="shared" si="97"/>
        <v>74139.335018868544</v>
      </c>
      <c r="BJ323" s="20"/>
    </row>
    <row r="324" spans="1:62" x14ac:dyDescent="0.3">
      <c r="AK324">
        <v>320</v>
      </c>
      <c r="AL324">
        <v>160</v>
      </c>
      <c r="AN324" s="48">
        <f t="shared" si="98"/>
        <v>-44331.948322632627</v>
      </c>
      <c r="AO324" s="48">
        <f t="shared" si="99"/>
        <v>49348.83439138814</v>
      </c>
      <c r="AP324" s="20"/>
      <c r="AQ324" s="50">
        <f t="shared" si="100"/>
        <v>-2928.3432763522669</v>
      </c>
      <c r="AR324" s="50">
        <f t="shared" si="101"/>
        <v>1144.0404776253383</v>
      </c>
      <c r="AS324" s="20"/>
      <c r="AT324" s="52">
        <f t="shared" si="102"/>
        <v>162.08757652303544</v>
      </c>
      <c r="AU324" s="52">
        <f t="shared" si="103"/>
        <v>-192.76897040634742</v>
      </c>
      <c r="AV324" s="20"/>
      <c r="AW324" s="20"/>
      <c r="AX324" s="20">
        <f t="shared" ref="AX324:AX387" si="104">Masse_1*(q_1x-AN324)/($BG324^2+Aarseth_1^2)^(3/2)</f>
        <v>72.65965016963878</v>
      </c>
      <c r="AY324" s="20">
        <f t="shared" ref="AY324:AY387" si="105">Masse_1*(q_1y-AO324)/($BG324^2+Aarseth_1^2)^(3/2)</f>
        <v>-47.266121206772993</v>
      </c>
      <c r="AZ324" s="20"/>
      <c r="BA324" s="20">
        <f t="shared" ref="BA324:BA387" si="106">Masse_2*(q_2x-AN324)/($BH324^2+Aarseth_2^2)^(3/2)</f>
        <v>42.656925589196305</v>
      </c>
      <c r="BB324" s="20">
        <f t="shared" ref="BB324:BB387" si="107">Masse_2*(q_2y-AO324)/($BH324^2+Aarseth_2^2)^(3/2)</f>
        <v>-68.983390824226646</v>
      </c>
      <c r="BC324" s="20"/>
      <c r="BD324" s="20">
        <f t="shared" ref="BD324:BD387" si="108">Masse_3*(q_3x-AN324)/($BI324^2+Aarseth_3^2)^(3/2)</f>
        <v>46.771000764200359</v>
      </c>
      <c r="BE324" s="20">
        <f t="shared" ref="BE324:BE387" si="109">Masse_3*(q_3y-AO324)/($BI324^2+Aarseth_3^2)^(3/2)</f>
        <v>-76.519458375347767</v>
      </c>
      <c r="BF324" s="20"/>
      <c r="BG324" s="54">
        <f t="shared" ref="BG324:BG387" si="110">SQRT((q_1x-AN324)^2+(q_1y-AO324)^2)</f>
        <v>76745.843632757766</v>
      </c>
      <c r="BH324" s="54">
        <f t="shared" ref="BH324:BH387" si="111">SQRT((q_2x-AN324)^2+(q_2y-AO324)^2)</f>
        <v>46264.181362433665</v>
      </c>
      <c r="BI324" s="54">
        <f t="shared" ref="BI324:BI387" si="112">SQRT((q_3x-AN324)^2+(q_3y-AO324)^2)</f>
        <v>75417.336510808571</v>
      </c>
      <c r="BJ324" s="20"/>
    </row>
    <row r="325" spans="1:62" x14ac:dyDescent="0.3">
      <c r="AK325">
        <v>321</v>
      </c>
      <c r="AL325">
        <v>160.5</v>
      </c>
      <c r="AN325" s="48">
        <f t="shared" ref="AN325:AN388" si="113">AN324+(AQ324*bt)+(0.5*AT324)*bt^2</f>
        <v>-45775.859013743386</v>
      </c>
      <c r="AO325" s="48">
        <f t="shared" ref="AO325:AO388" si="114">AO324+(AR324*bt)+(0.5*AU324)*bt^2</f>
        <v>49896.75850890002</v>
      </c>
      <c r="AP325" s="20"/>
      <c r="AQ325" s="50">
        <f t="shared" ref="AQ325:AQ388" si="115">AQ324+(AT324*bt)</f>
        <v>-2847.299488090749</v>
      </c>
      <c r="AR325" s="50">
        <f t="shared" ref="AR325:AR388" si="116">AR324+(AU324*bt)</f>
        <v>1047.6559924221647</v>
      </c>
      <c r="AS325" s="20"/>
      <c r="AT325" s="52">
        <f t="shared" si="102"/>
        <v>158.20270129287991</v>
      </c>
      <c r="AU325" s="52">
        <f t="shared" si="103"/>
        <v>-183.53729097103206</v>
      </c>
      <c r="AV325" s="20"/>
      <c r="AW325" s="20"/>
      <c r="AX325" s="20">
        <f t="shared" si="104"/>
        <v>70.140060781737716</v>
      </c>
      <c r="AY325" s="20">
        <f t="shared" si="105"/>
        <v>-45.209766369475588</v>
      </c>
      <c r="AZ325" s="20"/>
      <c r="BA325" s="20">
        <f t="shared" si="106"/>
        <v>41.827139431266012</v>
      </c>
      <c r="BB325" s="20">
        <f t="shared" si="107"/>
        <v>-64.741480783144524</v>
      </c>
      <c r="BC325" s="20"/>
      <c r="BD325" s="20">
        <f t="shared" si="108"/>
        <v>46.235501079876158</v>
      </c>
      <c r="BE325" s="20">
        <f t="shared" si="109"/>
        <v>-73.586043818411966</v>
      </c>
      <c r="BF325" s="20"/>
      <c r="BG325" s="54">
        <f t="shared" si="110"/>
        <v>78255.662805050932</v>
      </c>
      <c r="BH325" s="54">
        <f t="shared" si="111"/>
        <v>47498.90785495875</v>
      </c>
      <c r="BI325" s="54">
        <f t="shared" si="112"/>
        <v>76643.720833941537</v>
      </c>
      <c r="BJ325" s="20"/>
    </row>
    <row r="326" spans="1:62" x14ac:dyDescent="0.3">
      <c r="AK326">
        <v>322</v>
      </c>
      <c r="AL326">
        <v>161</v>
      </c>
      <c r="AN326" s="48">
        <f t="shared" si="113"/>
        <v>-47179.733420127151</v>
      </c>
      <c r="AO326" s="48">
        <f t="shared" si="114"/>
        <v>50397.644343739725</v>
      </c>
      <c r="AP326" s="20"/>
      <c r="AQ326" s="50">
        <f t="shared" si="115"/>
        <v>-2768.1981374443089</v>
      </c>
      <c r="AR326" s="50">
        <f t="shared" si="116"/>
        <v>955.88734693664867</v>
      </c>
      <c r="AS326" s="20"/>
      <c r="AT326" s="52">
        <f t="shared" si="102"/>
        <v>154.58749442912631</v>
      </c>
      <c r="AU326" s="52">
        <f t="shared" si="103"/>
        <v>-175.17599314653197</v>
      </c>
      <c r="AV326" s="20"/>
      <c r="AW326" s="20"/>
      <c r="AX326" s="20">
        <f t="shared" si="104"/>
        <v>67.851842536346851</v>
      </c>
      <c r="AY326" s="20">
        <f t="shared" si="105"/>
        <v>-43.326819875703642</v>
      </c>
      <c r="AZ326" s="20"/>
      <c r="BA326" s="20">
        <f t="shared" si="106"/>
        <v>41.01036253228704</v>
      </c>
      <c r="BB326" s="20">
        <f t="shared" si="107"/>
        <v>-60.954315275230933</v>
      </c>
      <c r="BC326" s="20"/>
      <c r="BD326" s="20">
        <f t="shared" si="108"/>
        <v>45.725289360492397</v>
      </c>
      <c r="BE326" s="20">
        <f t="shared" si="109"/>
        <v>-70.894857995597391</v>
      </c>
      <c r="BF326" s="20"/>
      <c r="BG326" s="54">
        <f t="shared" si="110"/>
        <v>79707.744119635798</v>
      </c>
      <c r="BH326" s="54">
        <f t="shared" si="111"/>
        <v>48689.912480024679</v>
      </c>
      <c r="BI326" s="54">
        <f t="shared" si="112"/>
        <v>77820.188878614674</v>
      </c>
      <c r="BJ326" s="20"/>
    </row>
    <row r="327" spans="1:62" x14ac:dyDescent="0.3">
      <c r="AK327">
        <v>323</v>
      </c>
      <c r="AL327">
        <v>161.5</v>
      </c>
      <c r="AN327" s="48">
        <f t="shared" si="113"/>
        <v>-48544.509052045665</v>
      </c>
      <c r="AO327" s="48">
        <f t="shared" si="114"/>
        <v>50853.691018064732</v>
      </c>
      <c r="AP327" s="20"/>
      <c r="AQ327" s="50">
        <f t="shared" si="115"/>
        <v>-2690.9043902297458</v>
      </c>
      <c r="AR327" s="50">
        <f t="shared" si="116"/>
        <v>868.2993503633827</v>
      </c>
      <c r="AS327" s="20"/>
      <c r="AT327" s="52">
        <f t="shared" si="102"/>
        <v>151.22600559526518</v>
      </c>
      <c r="AU327" s="52">
        <f t="shared" si="103"/>
        <v>-167.57693517124048</v>
      </c>
      <c r="AV327" s="20"/>
      <c r="AW327" s="20"/>
      <c r="AX327" s="20">
        <f t="shared" si="104"/>
        <v>65.767628484635452</v>
      </c>
      <c r="AY327" s="20">
        <f t="shared" si="105"/>
        <v>-41.597342861538287</v>
      </c>
      <c r="AZ327" s="20"/>
      <c r="BA327" s="20">
        <f t="shared" si="106"/>
        <v>40.217087227174964</v>
      </c>
      <c r="BB327" s="20">
        <f t="shared" si="107"/>
        <v>-57.559807815570601</v>
      </c>
      <c r="BC327" s="20"/>
      <c r="BD327" s="20">
        <f t="shared" si="108"/>
        <v>45.241289883454748</v>
      </c>
      <c r="BE327" s="20">
        <f t="shared" si="109"/>
        <v>-68.419784494131591</v>
      </c>
      <c r="BF327" s="20"/>
      <c r="BG327" s="54">
        <f t="shared" si="110"/>
        <v>81104.206093616362</v>
      </c>
      <c r="BH327" s="54">
        <f t="shared" si="111"/>
        <v>49837.867799714506</v>
      </c>
      <c r="BI327" s="54">
        <f t="shared" si="112"/>
        <v>78948.292503932142</v>
      </c>
      <c r="BJ327" s="20"/>
    </row>
    <row r="328" spans="1:62" x14ac:dyDescent="0.3">
      <c r="AK328">
        <v>324</v>
      </c>
      <c r="AL328">
        <v>162</v>
      </c>
      <c r="AN328" s="48">
        <f t="shared" si="113"/>
        <v>-49871.057996461124</v>
      </c>
      <c r="AO328" s="48">
        <f t="shared" si="114"/>
        <v>51266.893576350012</v>
      </c>
      <c r="AP328" s="20"/>
      <c r="AQ328" s="50">
        <f t="shared" si="115"/>
        <v>-2615.291387432113</v>
      </c>
      <c r="AR328" s="50">
        <f t="shared" si="116"/>
        <v>784.5108827777625</v>
      </c>
      <c r="AS328" s="20"/>
      <c r="AT328" s="52">
        <f t="shared" si="102"/>
        <v>148.10240334582235</v>
      </c>
      <c r="AU328" s="52">
        <f t="shared" si="103"/>
        <v>-160.64852627623344</v>
      </c>
      <c r="AV328" s="20"/>
      <c r="AW328" s="20"/>
      <c r="AX328" s="20">
        <f t="shared" si="104"/>
        <v>63.864253172022757</v>
      </c>
      <c r="AY328" s="20">
        <f t="shared" si="105"/>
        <v>-40.004260019285297</v>
      </c>
      <c r="AZ328" s="20"/>
      <c r="BA328" s="20">
        <f t="shared" si="106"/>
        <v>39.454166803866833</v>
      </c>
      <c r="BB328" s="20">
        <f t="shared" si="107"/>
        <v>-54.505967041128038</v>
      </c>
      <c r="BC328" s="20"/>
      <c r="BD328" s="20">
        <f t="shared" si="108"/>
        <v>44.783983369932777</v>
      </c>
      <c r="BE328" s="20">
        <f t="shared" si="109"/>
        <v>-66.138299215820112</v>
      </c>
      <c r="BF328" s="20"/>
      <c r="BG328" s="54">
        <f t="shared" si="110"/>
        <v>82446.98732439155</v>
      </c>
      <c r="BH328" s="54">
        <f t="shared" si="111"/>
        <v>50943.464853401383</v>
      </c>
      <c r="BI328" s="54">
        <f t="shared" si="112"/>
        <v>80029.451016366933</v>
      </c>
      <c r="BJ328" s="20"/>
    </row>
    <row r="329" spans="1:62" x14ac:dyDescent="0.3">
      <c r="AK329">
        <v>325</v>
      </c>
      <c r="AL329">
        <v>162.5</v>
      </c>
      <c r="AN329" s="48">
        <f t="shared" si="113"/>
        <v>-51160.190889758953</v>
      </c>
      <c r="AO329" s="48">
        <f t="shared" si="114"/>
        <v>51639.067951954363</v>
      </c>
      <c r="AP329" s="20"/>
      <c r="AQ329" s="50">
        <f t="shared" si="115"/>
        <v>-2541.2401857592017</v>
      </c>
      <c r="AR329" s="50">
        <f t="shared" si="116"/>
        <v>704.18661963964576</v>
      </c>
      <c r="AS329" s="20"/>
      <c r="AT329" s="52">
        <f t="shared" si="102"/>
        <v>145.20141491105986</v>
      </c>
      <c r="AU329" s="52">
        <f t="shared" si="103"/>
        <v>-154.31280815822453</v>
      </c>
      <c r="AV329" s="20"/>
      <c r="AW329" s="20"/>
      <c r="AX329" s="20">
        <f t="shared" si="104"/>
        <v>62.121988502549996</v>
      </c>
      <c r="AY329" s="20">
        <f t="shared" si="105"/>
        <v>-38.532874034479278</v>
      </c>
      <c r="AZ329" s="20"/>
      <c r="BA329" s="20">
        <f t="shared" si="106"/>
        <v>38.725896397961733</v>
      </c>
      <c r="BB329" s="20">
        <f t="shared" si="107"/>
        <v>-51.74904856391742</v>
      </c>
      <c r="BC329" s="20"/>
      <c r="BD329" s="20">
        <f t="shared" si="108"/>
        <v>44.35353001054812</v>
      </c>
      <c r="BE329" s="20">
        <f t="shared" si="109"/>
        <v>-64.030885559827837</v>
      </c>
      <c r="BF329" s="20"/>
      <c r="BG329" s="54">
        <f t="shared" si="110"/>
        <v>83737.865312737573</v>
      </c>
      <c r="BH329" s="54">
        <f t="shared" si="111"/>
        <v>52007.398283260525</v>
      </c>
      <c r="BI329" s="54">
        <f t="shared" si="112"/>
        <v>81064.965308597879</v>
      </c>
      <c r="BJ329" s="20"/>
    </row>
    <row r="330" spans="1:62" x14ac:dyDescent="0.3">
      <c r="AK330">
        <v>326</v>
      </c>
      <c r="AL330">
        <v>163</v>
      </c>
      <c r="AN330" s="48">
        <f t="shared" si="113"/>
        <v>-52412.660805774671</v>
      </c>
      <c r="AO330" s="48">
        <f t="shared" si="114"/>
        <v>51971.872160754407</v>
      </c>
      <c r="AP330" s="20"/>
      <c r="AQ330" s="50">
        <f t="shared" si="115"/>
        <v>-2468.6394783036717</v>
      </c>
      <c r="AR330" s="50">
        <f t="shared" si="116"/>
        <v>627.03021556053352</v>
      </c>
      <c r="AS330" s="20"/>
      <c r="AT330" s="52">
        <f t="shared" si="102"/>
        <v>142.50857651739551</v>
      </c>
      <c r="AU330" s="52">
        <f t="shared" si="103"/>
        <v>-148.50310604624158</v>
      </c>
      <c r="AV330" s="20"/>
      <c r="AW330" s="20"/>
      <c r="AX330" s="20">
        <f t="shared" si="104"/>
        <v>60.523939461503417</v>
      </c>
      <c r="AY330" s="20">
        <f t="shared" si="105"/>
        <v>-37.170473622239435</v>
      </c>
      <c r="AZ330" s="20"/>
      <c r="BA330" s="20">
        <f t="shared" si="106"/>
        <v>38.03477572832594</v>
      </c>
      <c r="BB330" s="20">
        <f t="shared" si="107"/>
        <v>-49.252073259219941</v>
      </c>
      <c r="BC330" s="20"/>
      <c r="BD330" s="20">
        <f t="shared" si="108"/>
        <v>43.949861327566168</v>
      </c>
      <c r="BE330" s="20">
        <f t="shared" si="109"/>
        <v>-62.080559164782215</v>
      </c>
      <c r="BF330" s="20"/>
      <c r="BG330" s="54">
        <f t="shared" si="110"/>
        <v>84978.472911994948</v>
      </c>
      <c r="BH330" s="54">
        <f t="shared" si="111"/>
        <v>53030.355770906463</v>
      </c>
      <c r="BI330" s="54">
        <f t="shared" si="112"/>
        <v>82056.030036797849</v>
      </c>
      <c r="BJ330" s="20"/>
    </row>
    <row r="331" spans="1:62" x14ac:dyDescent="0.3">
      <c r="AK331">
        <v>327</v>
      </c>
      <c r="AL331">
        <v>163.5</v>
      </c>
      <c r="AN331" s="48">
        <f t="shared" si="113"/>
        <v>-53629.166972861829</v>
      </c>
      <c r="AO331" s="48">
        <f t="shared" si="114"/>
        <v>52266.824380278893</v>
      </c>
      <c r="AP331" s="20"/>
      <c r="AQ331" s="50">
        <f t="shared" si="115"/>
        <v>-2397.385190044974</v>
      </c>
      <c r="AR331" s="50">
        <f t="shared" si="116"/>
        <v>552.77866253741274</v>
      </c>
      <c r="AS331" s="20"/>
      <c r="AT331" s="52">
        <f t="shared" si="102"/>
        <v>140.01036150134141</v>
      </c>
      <c r="AU331" s="52">
        <f t="shared" si="103"/>
        <v>-143.16213068257963</v>
      </c>
      <c r="AV331" s="20"/>
      <c r="AW331" s="20"/>
      <c r="AX331" s="20">
        <f t="shared" si="104"/>
        <v>59.055562309011655</v>
      </c>
      <c r="AY331" s="20">
        <f t="shared" si="105"/>
        <v>-35.906015173858549</v>
      </c>
      <c r="AZ331" s="20"/>
      <c r="BA331" s="20">
        <f t="shared" si="106"/>
        <v>37.382050178594625</v>
      </c>
      <c r="BB331" s="20">
        <f t="shared" si="107"/>
        <v>-46.983636292521972</v>
      </c>
      <c r="BC331" s="20"/>
      <c r="BD331" s="20">
        <f t="shared" si="108"/>
        <v>43.572749013735127</v>
      </c>
      <c r="BE331" s="20">
        <f t="shared" si="109"/>
        <v>-60.272479216199116</v>
      </c>
      <c r="BF331" s="20"/>
      <c r="BG331" s="54">
        <f t="shared" si="110"/>
        <v>86170.312719708163</v>
      </c>
      <c r="BH331" s="54">
        <f t="shared" si="111"/>
        <v>54013.010603760638</v>
      </c>
      <c r="BI331" s="54">
        <f t="shared" si="112"/>
        <v>83003.744148572951</v>
      </c>
      <c r="BJ331" s="20"/>
    </row>
    <row r="332" spans="1:62" x14ac:dyDescent="0.3">
      <c r="AK332">
        <v>328</v>
      </c>
      <c r="AL332">
        <v>164</v>
      </c>
      <c r="AN332" s="48">
        <f t="shared" si="113"/>
        <v>-54810.358272696649</v>
      </c>
      <c r="AO332" s="48">
        <f t="shared" si="114"/>
        <v>52525.31844521228</v>
      </c>
      <c r="AP332" s="20"/>
      <c r="AQ332" s="50">
        <f t="shared" si="115"/>
        <v>-2327.3800092943034</v>
      </c>
      <c r="AR332" s="50">
        <f t="shared" si="116"/>
        <v>481.19759719612296</v>
      </c>
      <c r="AS332" s="20"/>
      <c r="AT332" s="52">
        <f t="shared" si="102"/>
        <v>137.69423045823319</v>
      </c>
      <c r="AU332" s="52">
        <f t="shared" si="103"/>
        <v>-138.24043794525787</v>
      </c>
      <c r="AV332" s="20"/>
      <c r="AW332" s="20"/>
      <c r="AX332" s="20">
        <f t="shared" si="104"/>
        <v>57.704277457460648</v>
      </c>
      <c r="AY332" s="20">
        <f t="shared" si="105"/>
        <v>-34.729862657552488</v>
      </c>
      <c r="AZ332" s="20"/>
      <c r="BA332" s="20">
        <f t="shared" si="106"/>
        <v>36.768096337892906</v>
      </c>
      <c r="BB332" s="20">
        <f t="shared" si="107"/>
        <v>-44.916946649742542</v>
      </c>
      <c r="BC332" s="20"/>
      <c r="BD332" s="20">
        <f t="shared" si="108"/>
        <v>43.221856662879638</v>
      </c>
      <c r="BE332" s="20">
        <f t="shared" si="109"/>
        <v>-58.593628637962844</v>
      </c>
      <c r="BF332" s="20"/>
      <c r="BG332" s="54">
        <f t="shared" si="110"/>
        <v>87314.769689795343</v>
      </c>
      <c r="BH332" s="54">
        <f t="shared" si="111"/>
        <v>54956.016521762307</v>
      </c>
      <c r="BI332" s="54">
        <f t="shared" si="112"/>
        <v>83909.120019111899</v>
      </c>
      <c r="BJ332" s="20"/>
    </row>
    <row r="333" spans="1:62" x14ac:dyDescent="0.3">
      <c r="AK333">
        <v>329</v>
      </c>
      <c r="AL333">
        <v>164.5</v>
      </c>
      <c r="AN333" s="48">
        <f t="shared" si="113"/>
        <v>-55956.836498536519</v>
      </c>
      <c r="AO333" s="48">
        <f t="shared" si="114"/>
        <v>52748.637189067187</v>
      </c>
      <c r="AP333" s="20"/>
      <c r="AQ333" s="50">
        <f t="shared" si="115"/>
        <v>-2258.5328940651866</v>
      </c>
      <c r="AR333" s="50">
        <f t="shared" si="116"/>
        <v>412.07737822349401</v>
      </c>
      <c r="AS333" s="20"/>
      <c r="AT333" s="52">
        <f t="shared" si="102"/>
        <v>135.54863256402152</v>
      </c>
      <c r="AU333" s="52">
        <f t="shared" si="103"/>
        <v>-133.69517297480746</v>
      </c>
      <c r="AV333" s="20"/>
      <c r="AW333" s="20"/>
      <c r="AX333" s="20">
        <f t="shared" si="104"/>
        <v>56.459156178284296</v>
      </c>
      <c r="AY333" s="20">
        <f t="shared" si="105"/>
        <v>-33.633573904322475</v>
      </c>
      <c r="AZ333" s="20"/>
      <c r="BA333" s="20">
        <f t="shared" si="106"/>
        <v>36.192697662292481</v>
      </c>
      <c r="BB333" s="20">
        <f t="shared" si="107"/>
        <v>-43.029049602901353</v>
      </c>
      <c r="BC333" s="20"/>
      <c r="BD333" s="20">
        <f t="shared" si="108"/>
        <v>42.896778723444747</v>
      </c>
      <c r="BE333" s="20">
        <f t="shared" si="109"/>
        <v>-57.032549467583621</v>
      </c>
      <c r="BF333" s="20"/>
      <c r="BG333" s="54">
        <f t="shared" si="110"/>
        <v>88413.122206679502</v>
      </c>
      <c r="BH333" s="54">
        <f t="shared" si="111"/>
        <v>55860.004229367776</v>
      </c>
      <c r="BI333" s="54">
        <f t="shared" si="112"/>
        <v>84773.091408267283</v>
      </c>
      <c r="BJ333" s="20"/>
    </row>
    <row r="334" spans="1:62" x14ac:dyDescent="0.3">
      <c r="AK334">
        <v>330</v>
      </c>
      <c r="AL334">
        <v>165</v>
      </c>
      <c r="AN334" s="48">
        <f t="shared" si="113"/>
        <v>-57069.159366498607</v>
      </c>
      <c r="AO334" s="48">
        <f t="shared" si="114"/>
        <v>52937.963981557084</v>
      </c>
      <c r="AP334" s="20"/>
      <c r="AQ334" s="50">
        <f t="shared" si="115"/>
        <v>-2190.758577783176</v>
      </c>
      <c r="AR334" s="50">
        <f t="shared" si="116"/>
        <v>345.22979173609031</v>
      </c>
      <c r="AS334" s="20"/>
      <c r="AT334" s="52">
        <f t="shared" si="102"/>
        <v>133.56297725161585</v>
      </c>
      <c r="AU334" s="52">
        <f t="shared" si="103"/>
        <v>-129.4890414518685</v>
      </c>
      <c r="AV334" s="20"/>
      <c r="AW334" s="20"/>
      <c r="AX334" s="20">
        <f t="shared" si="104"/>
        <v>55.310665342110283</v>
      </c>
      <c r="AY334" s="20">
        <f t="shared" si="105"/>
        <v>-32.60972404875141</v>
      </c>
      <c r="AZ334" s="20"/>
      <c r="BA334" s="20">
        <f t="shared" si="106"/>
        <v>35.65524204050346</v>
      </c>
      <c r="BB334" s="20">
        <f t="shared" si="107"/>
        <v>-41.300194680768819</v>
      </c>
      <c r="BC334" s="20"/>
      <c r="BD334" s="20">
        <f t="shared" si="108"/>
        <v>42.597069869002105</v>
      </c>
      <c r="BE334" s="20">
        <f t="shared" si="109"/>
        <v>-55.579122722348266</v>
      </c>
      <c r="BF334" s="20"/>
      <c r="BG334" s="54">
        <f t="shared" si="110"/>
        <v>89466.551829429751</v>
      </c>
      <c r="BH334" s="54">
        <f t="shared" si="111"/>
        <v>56725.57912459215</v>
      </c>
      <c r="BI334" s="54">
        <f t="shared" si="112"/>
        <v>85596.520414635888</v>
      </c>
      <c r="BJ334" s="20"/>
    </row>
    <row r="335" spans="1:62" x14ac:dyDescent="0.3">
      <c r="AK335">
        <v>331</v>
      </c>
      <c r="AL335">
        <v>165.5</v>
      </c>
      <c r="AN335" s="48">
        <f t="shared" si="113"/>
        <v>-58147.843283233742</v>
      </c>
      <c r="AO335" s="48">
        <f t="shared" si="114"/>
        <v>53094.392747243641</v>
      </c>
      <c r="AP335" s="20"/>
      <c r="AQ335" s="50">
        <f t="shared" si="115"/>
        <v>-2123.977089157368</v>
      </c>
      <c r="AR335" s="50">
        <f t="shared" si="116"/>
        <v>280.48527101015605</v>
      </c>
      <c r="AS335" s="20"/>
      <c r="AT335" s="52">
        <f t="shared" si="102"/>
        <v>131.72758883248147</v>
      </c>
      <c r="AU335" s="52">
        <f t="shared" si="103"/>
        <v>-125.58946297514777</v>
      </c>
      <c r="AV335" s="20"/>
      <c r="AW335" s="20"/>
      <c r="AX335" s="20">
        <f t="shared" si="104"/>
        <v>54.250458123443387</v>
      </c>
      <c r="AY335" s="20">
        <f t="shared" si="105"/>
        <v>-31.651758903100195</v>
      </c>
      <c r="AZ335" s="20"/>
      <c r="BA335" s="20">
        <f t="shared" si="106"/>
        <v>35.154863552395938</v>
      </c>
      <c r="BB335" s="20">
        <f t="shared" si="107"/>
        <v>-39.713319719140067</v>
      </c>
      <c r="BC335" s="20"/>
      <c r="BD335" s="20">
        <f t="shared" si="108"/>
        <v>42.322267156642134</v>
      </c>
      <c r="BE335" s="20">
        <f t="shared" si="109"/>
        <v>-54.224384352907499</v>
      </c>
      <c r="BF335" s="20"/>
      <c r="BG335" s="54">
        <f t="shared" si="110"/>
        <v>90476.151884409657</v>
      </c>
      <c r="BH335" s="54">
        <f t="shared" si="111"/>
        <v>57553.319916542147</v>
      </c>
      <c r="BI335" s="54">
        <f t="shared" si="112"/>
        <v>86380.203572780723</v>
      </c>
      <c r="BJ335" s="20"/>
    </row>
    <row r="336" spans="1:62" x14ac:dyDescent="0.3">
      <c r="AK336">
        <v>332</v>
      </c>
      <c r="AL336">
        <v>166</v>
      </c>
      <c r="AN336" s="48">
        <f t="shared" si="113"/>
        <v>-59193.365879208366</v>
      </c>
      <c r="AO336" s="48">
        <f t="shared" si="114"/>
        <v>53218.936699876824</v>
      </c>
      <c r="AP336" s="20"/>
      <c r="AQ336" s="50">
        <f t="shared" si="115"/>
        <v>-2058.1132947411274</v>
      </c>
      <c r="AR336" s="50">
        <f t="shared" si="116"/>
        <v>217.69053952258218</v>
      </c>
      <c r="AS336" s="20"/>
      <c r="AT336" s="52">
        <f t="shared" si="102"/>
        <v>130.03365227769777</v>
      </c>
      <c r="AU336" s="52">
        <f t="shared" si="103"/>
        <v>-121.96787105821565</v>
      </c>
      <c r="AV336" s="20"/>
      <c r="AW336" s="20"/>
      <c r="AX336" s="20">
        <f t="shared" si="104"/>
        <v>53.271201372948596</v>
      </c>
      <c r="AY336" s="20">
        <f t="shared" si="105"/>
        <v>-30.753872580830045</v>
      </c>
      <c r="AZ336" s="20"/>
      <c r="BA336" s="20">
        <f t="shared" si="106"/>
        <v>34.690544160722119</v>
      </c>
      <c r="BB336" s="20">
        <f t="shared" si="107"/>
        <v>-38.253627840672046</v>
      </c>
      <c r="BC336" s="20"/>
      <c r="BD336" s="20">
        <f t="shared" si="108"/>
        <v>42.071906744027046</v>
      </c>
      <c r="BE336" s="20">
        <f t="shared" si="109"/>
        <v>-52.96037063671357</v>
      </c>
      <c r="BF336" s="20"/>
      <c r="BG336" s="54">
        <f t="shared" si="110"/>
        <v>91442.93505922427</v>
      </c>
      <c r="BH336" s="54">
        <f t="shared" si="111"/>
        <v>58343.777889415549</v>
      </c>
      <c r="BI336" s="54">
        <f t="shared" si="112"/>
        <v>87124.877215291082</v>
      </c>
      <c r="BJ336" s="20"/>
    </row>
    <row r="337" spans="37:62" x14ac:dyDescent="0.3">
      <c r="AK337">
        <v>333</v>
      </c>
      <c r="AL337">
        <v>166.5</v>
      </c>
      <c r="AN337" s="48">
        <f t="shared" si="113"/>
        <v>-60206.168320044213</v>
      </c>
      <c r="AO337" s="48">
        <f t="shared" si="114"/>
        <v>53312.535985755836</v>
      </c>
      <c r="AP337" s="20"/>
      <c r="AQ337" s="50">
        <f t="shared" si="115"/>
        <v>-1993.0964686022785</v>
      </c>
      <c r="AR337" s="50">
        <f t="shared" si="116"/>
        <v>156.70660399347435</v>
      </c>
      <c r="AS337" s="20"/>
      <c r="AT337" s="52">
        <f t="shared" si="102"/>
        <v>128.47315546075953</v>
      </c>
      <c r="AU337" s="52">
        <f t="shared" si="103"/>
        <v>-118.59913170598081</v>
      </c>
      <c r="AV337" s="20"/>
      <c r="AW337" s="20"/>
      <c r="AX337" s="20">
        <f t="shared" si="104"/>
        <v>52.366432440045564</v>
      </c>
      <c r="AY337" s="20">
        <f t="shared" si="105"/>
        <v>-29.910904869964956</v>
      </c>
      <c r="AZ337" s="20"/>
      <c r="BA337" s="20">
        <f t="shared" si="106"/>
        <v>34.26118652548724</v>
      </c>
      <c r="BB337" s="20">
        <f t="shared" si="107"/>
        <v>-36.908239116137374</v>
      </c>
      <c r="BC337" s="20"/>
      <c r="BD337" s="20">
        <f t="shared" si="108"/>
        <v>41.84553649522671</v>
      </c>
      <c r="BE337" s="20">
        <f t="shared" si="109"/>
        <v>-51.779987719878477</v>
      </c>
      <c r="BF337" s="20"/>
      <c r="BG337" s="54">
        <f t="shared" si="110"/>
        <v>92367.840128636963</v>
      </c>
      <c r="BH337" s="54">
        <f t="shared" si="111"/>
        <v>59097.47663392339</v>
      </c>
      <c r="BI337" s="54">
        <f t="shared" si="112"/>
        <v>87831.222201368917</v>
      </c>
      <c r="BJ337" s="20"/>
    </row>
    <row r="338" spans="37:62" x14ac:dyDescent="0.3">
      <c r="AK338">
        <v>334</v>
      </c>
      <c r="AL338">
        <v>167</v>
      </c>
      <c r="AN338" s="48">
        <f t="shared" si="113"/>
        <v>-61186.657409912754</v>
      </c>
      <c r="AO338" s="48">
        <f t="shared" si="114"/>
        <v>53376.064396289323</v>
      </c>
      <c r="AP338" s="20"/>
      <c r="AQ338" s="50">
        <f t="shared" si="115"/>
        <v>-1928.8598908718986</v>
      </c>
      <c r="AR338" s="50">
        <f t="shared" si="116"/>
        <v>97.407038140483934</v>
      </c>
      <c r="AS338" s="20"/>
      <c r="AT338" s="52">
        <f t="shared" ref="AT338:AT401" si="117">AX338+BA338+BD338</f>
        <v>127.03883122592801</v>
      </c>
      <c r="AU338" s="52">
        <f t="shared" ref="AU338:AU401" si="118">AY338+BB338+BE338</f>
        <v>-115.46105832856061</v>
      </c>
      <c r="AV338" s="20"/>
      <c r="AW338" s="20"/>
      <c r="AX338" s="20">
        <f t="shared" si="104"/>
        <v>51.530439801834198</v>
      </c>
      <c r="AY338" s="20">
        <f t="shared" si="105"/>
        <v>-29.11825477408328</v>
      </c>
      <c r="AZ338" s="20"/>
      <c r="BA338" s="20">
        <f t="shared" si="106"/>
        <v>33.865665944244988</v>
      </c>
      <c r="BB338" s="20">
        <f t="shared" si="107"/>
        <v>-35.665902483925429</v>
      </c>
      <c r="BC338" s="20"/>
      <c r="BD338" s="20">
        <f t="shared" si="108"/>
        <v>41.642725479848821</v>
      </c>
      <c r="BE338" s="20">
        <f t="shared" si="109"/>
        <v>-50.676901070551907</v>
      </c>
      <c r="BF338" s="20"/>
      <c r="BG338" s="54">
        <f t="shared" si="110"/>
        <v>93251.737924217945</v>
      </c>
      <c r="BH338" s="54">
        <f t="shared" si="111"/>
        <v>59814.91211322273</v>
      </c>
      <c r="BI338" s="54">
        <f t="shared" si="112"/>
        <v>88499.868097214741</v>
      </c>
      <c r="BJ338" s="20"/>
    </row>
    <row r="339" spans="37:62" x14ac:dyDescent="0.3">
      <c r="AK339">
        <v>335</v>
      </c>
      <c r="AL339">
        <v>167.5</v>
      </c>
      <c r="AN339" s="48">
        <f t="shared" si="113"/>
        <v>-62135.20750144546</v>
      </c>
      <c r="AO339" s="48">
        <f t="shared" si="114"/>
        <v>53410.335283068496</v>
      </c>
      <c r="AP339" s="20"/>
      <c r="AQ339" s="50">
        <f t="shared" si="115"/>
        <v>-1865.3404752589347</v>
      </c>
      <c r="AR339" s="50">
        <f t="shared" si="116"/>
        <v>39.676508976203628</v>
      </c>
      <c r="AS339" s="20"/>
      <c r="AT339" s="52">
        <f t="shared" si="117"/>
        <v>125.72410135737883</v>
      </c>
      <c r="AU339" s="52">
        <f t="shared" si="118"/>
        <v>-112.53400527662734</v>
      </c>
      <c r="AV339" s="20"/>
      <c r="AW339" s="20"/>
      <c r="AX339" s="20">
        <f t="shared" si="104"/>
        <v>50.758163054120359</v>
      </c>
      <c r="AY339" s="20">
        <f t="shared" si="105"/>
        <v>-28.371807353458202</v>
      </c>
      <c r="AZ339" s="20"/>
      <c r="BA339" s="20">
        <f t="shared" si="106"/>
        <v>33.50286717527888</v>
      </c>
      <c r="BB339" s="20">
        <f t="shared" si="107"/>
        <v>-34.516756490948175</v>
      </c>
      <c r="BC339" s="20"/>
      <c r="BD339" s="20">
        <f t="shared" si="108"/>
        <v>41.463071127979596</v>
      </c>
      <c r="BE339" s="20">
        <f t="shared" si="109"/>
        <v>-49.645441432220956</v>
      </c>
      <c r="BF339" s="20"/>
      <c r="BG339" s="54">
        <f t="shared" si="110"/>
        <v>94095.436643384921</v>
      </c>
      <c r="BH339" s="54">
        <f t="shared" si="111"/>
        <v>60496.552964431678</v>
      </c>
      <c r="BI339" s="54">
        <f t="shared" si="112"/>
        <v>89131.396879971973</v>
      </c>
      <c r="BJ339" s="20"/>
    </row>
    <row r="340" spans="37:62" x14ac:dyDescent="0.3">
      <c r="AK340">
        <v>336</v>
      </c>
      <c r="AL340">
        <v>168</v>
      </c>
      <c r="AN340" s="48">
        <f t="shared" si="113"/>
        <v>-63052.162226405257</v>
      </c>
      <c r="AO340" s="48">
        <f t="shared" si="114"/>
        <v>53416.10678689702</v>
      </c>
      <c r="AP340" s="20"/>
      <c r="AQ340" s="50">
        <f t="shared" si="115"/>
        <v>-1802.4784245802452</v>
      </c>
      <c r="AR340" s="50">
        <f t="shared" si="116"/>
        <v>-16.590493662110042</v>
      </c>
      <c r="AS340" s="20"/>
      <c r="AT340" s="52">
        <f t="shared" si="117"/>
        <v>124.52302367117736</v>
      </c>
      <c r="AU340" s="52">
        <f t="shared" si="118"/>
        <v>-109.80052582760911</v>
      </c>
      <c r="AV340" s="20"/>
      <c r="AW340" s="20"/>
      <c r="AX340" s="20">
        <f t="shared" si="104"/>
        <v>50.045108742072024</v>
      </c>
      <c r="AY340" s="20">
        <f t="shared" si="105"/>
        <v>-27.667871558824693</v>
      </c>
      <c r="AZ340" s="20"/>
      <c r="BA340" s="20">
        <f t="shared" si="106"/>
        <v>33.171710306496777</v>
      </c>
      <c r="BB340" s="20">
        <f t="shared" si="107"/>
        <v>-33.452129753603046</v>
      </c>
      <c r="BC340" s="20"/>
      <c r="BD340" s="20">
        <f t="shared" si="108"/>
        <v>41.306204622608561</v>
      </c>
      <c r="BE340" s="20">
        <f t="shared" si="109"/>
        <v>-48.680524515181375</v>
      </c>
      <c r="BF340" s="20"/>
      <c r="BG340" s="54">
        <f t="shared" si="110"/>
        <v>94899.686579813671</v>
      </c>
      <c r="BH340" s="54">
        <f t="shared" si="111"/>
        <v>61142.840961963491</v>
      </c>
      <c r="BI340" s="54">
        <f t="shared" si="112"/>
        <v>89726.346225826957</v>
      </c>
      <c r="BJ340" s="20"/>
    </row>
    <row r="341" spans="37:62" x14ac:dyDescent="0.3">
      <c r="AK341">
        <v>337</v>
      </c>
      <c r="AL341">
        <v>168.5</v>
      </c>
      <c r="AN341" s="48">
        <f t="shared" si="113"/>
        <v>-63937.836060736481</v>
      </c>
      <c r="AO341" s="48">
        <f t="shared" si="114"/>
        <v>53394.086474337513</v>
      </c>
      <c r="AP341" s="20"/>
      <c r="AQ341" s="50">
        <f t="shared" si="115"/>
        <v>-1740.2169127446566</v>
      </c>
      <c r="AR341" s="50">
        <f t="shared" si="116"/>
        <v>-71.490756575914588</v>
      </c>
      <c r="AS341" s="20"/>
      <c r="AT341" s="52">
        <f t="shared" si="117"/>
        <v>123.43024289134598</v>
      </c>
      <c r="AU341" s="52">
        <f t="shared" si="118"/>
        <v>-107.24508323896076</v>
      </c>
      <c r="AV341" s="20"/>
      <c r="AW341" s="20"/>
      <c r="AX341" s="20">
        <f t="shared" si="104"/>
        <v>49.387279221302663</v>
      </c>
      <c r="AY341" s="20">
        <f t="shared" si="105"/>
        <v>-27.003127191349584</v>
      </c>
      <c r="AZ341" s="20"/>
      <c r="BA341" s="20">
        <f t="shared" si="106"/>
        <v>32.871168694585897</v>
      </c>
      <c r="BB341" s="20">
        <f t="shared" si="107"/>
        <v>-32.464373868426854</v>
      </c>
      <c r="BC341" s="20"/>
      <c r="BD341" s="20">
        <f t="shared" si="108"/>
        <v>41.171794975457431</v>
      </c>
      <c r="BE341" s="20">
        <f t="shared" si="109"/>
        <v>-47.777582179184321</v>
      </c>
      <c r="BF341" s="20"/>
      <c r="BG341" s="54">
        <f t="shared" si="110"/>
        <v>95665.18434557601</v>
      </c>
      <c r="BH341" s="54">
        <f t="shared" si="111"/>
        <v>61754.191587635869</v>
      </c>
      <c r="BI341" s="54">
        <f t="shared" si="112"/>
        <v>90285.212433606241</v>
      </c>
      <c r="BJ341" s="20"/>
    </row>
    <row r="342" spans="37:62" x14ac:dyDescent="0.3">
      <c r="AK342">
        <v>338</v>
      </c>
      <c r="AL342">
        <v>169</v>
      </c>
      <c r="AN342" s="48">
        <f t="shared" si="113"/>
        <v>-64792.515736747388</v>
      </c>
      <c r="AO342" s="48">
        <f t="shared" si="114"/>
        <v>53344.93546064468</v>
      </c>
      <c r="AP342" s="20"/>
      <c r="AQ342" s="50">
        <f t="shared" si="115"/>
        <v>-1678.5017912989836</v>
      </c>
      <c r="AR342" s="50">
        <f t="shared" si="116"/>
        <v>-125.11329819539498</v>
      </c>
      <c r="AS342" s="20"/>
      <c r="AT342" s="52">
        <f t="shared" si="117"/>
        <v>122.44094560725085</v>
      </c>
      <c r="AU342" s="52">
        <f t="shared" si="118"/>
        <v>-104.85380568378648</v>
      </c>
      <c r="AV342" s="20"/>
      <c r="AW342" s="20"/>
      <c r="AX342" s="20">
        <f t="shared" si="104"/>
        <v>48.781112295900002</v>
      </c>
      <c r="AY342" s="20">
        <f t="shared" si="105"/>
        <v>-26.374579471697398</v>
      </c>
      <c r="AZ342" s="20"/>
      <c r="BA342" s="20">
        <f t="shared" si="106"/>
        <v>32.600281181568832</v>
      </c>
      <c r="BB342" s="20">
        <f t="shared" si="107"/>
        <v>-31.546722941813041</v>
      </c>
      <c r="BC342" s="20"/>
      <c r="BD342" s="20">
        <f t="shared" si="108"/>
        <v>41.05955212978202</v>
      </c>
      <c r="BE342" s="20">
        <f t="shared" si="109"/>
        <v>-46.93250327027603</v>
      </c>
      <c r="BF342" s="20"/>
      <c r="BG342" s="54">
        <f t="shared" si="110"/>
        <v>96392.576645492925</v>
      </c>
      <c r="BH342" s="54">
        <f t="shared" si="111"/>
        <v>62330.994666491686</v>
      </c>
      <c r="BI342" s="54">
        <f t="shared" si="112"/>
        <v>90808.453027506592</v>
      </c>
      <c r="BJ342" s="20"/>
    </row>
    <row r="343" spans="37:62" x14ac:dyDescent="0.3">
      <c r="AK343">
        <v>339</v>
      </c>
      <c r="AL343">
        <v>169.5</v>
      </c>
      <c r="AN343" s="48">
        <f t="shared" si="113"/>
        <v>-65616.461514195966</v>
      </c>
      <c r="AO343" s="48">
        <f t="shared" si="114"/>
        <v>53269.272085836506</v>
      </c>
      <c r="AP343" s="20"/>
      <c r="AQ343" s="50">
        <f t="shared" si="115"/>
        <v>-1617.2813184953582</v>
      </c>
      <c r="AR343" s="50">
        <f t="shared" si="116"/>
        <v>-177.54020103728823</v>
      </c>
      <c r="AS343" s="20"/>
      <c r="AT343" s="52">
        <f t="shared" si="117"/>
        <v>121.5508193778725</v>
      </c>
      <c r="AU343" s="52">
        <f t="shared" si="118"/>
        <v>-102.61427762638561</v>
      </c>
      <c r="AV343" s="20"/>
      <c r="AW343" s="20"/>
      <c r="AX343" s="20">
        <f t="shared" si="104"/>
        <v>48.223429815705835</v>
      </c>
      <c r="AY343" s="20">
        <f t="shared" si="105"/>
        <v>-25.779519979125929</v>
      </c>
      <c r="AZ343" s="20"/>
      <c r="BA343" s="20">
        <f t="shared" si="106"/>
        <v>32.358160205853743</v>
      </c>
      <c r="BB343" s="20">
        <f t="shared" si="107"/>
        <v>-30.693175044023391</v>
      </c>
      <c r="BC343" s="20"/>
      <c r="BD343" s="20">
        <f t="shared" si="108"/>
        <v>40.969229356312916</v>
      </c>
      <c r="BE343" s="20">
        <f t="shared" si="109"/>
        <v>-46.141582603236294</v>
      </c>
      <c r="BF343" s="20"/>
      <c r="BG343" s="54">
        <f t="shared" si="110"/>
        <v>97082.463655796935</v>
      </c>
      <c r="BH343" s="54">
        <f t="shared" si="111"/>
        <v>62873.615037742755</v>
      </c>
      <c r="BI343" s="54">
        <f t="shared" si="112"/>
        <v>91296.489076152197</v>
      </c>
      <c r="BJ343" s="20"/>
    </row>
    <row r="344" spans="37:62" x14ac:dyDescent="0.3">
      <c r="AK344">
        <v>340</v>
      </c>
      <c r="AL344">
        <v>170</v>
      </c>
      <c r="AN344" s="48">
        <f t="shared" si="113"/>
        <v>-66409.908321021416</v>
      </c>
      <c r="AO344" s="48">
        <f t="shared" si="114"/>
        <v>53167.675200614562</v>
      </c>
      <c r="AP344" s="20"/>
      <c r="AQ344" s="50">
        <f t="shared" si="115"/>
        <v>-1556.505908806422</v>
      </c>
      <c r="AR344" s="50">
        <f t="shared" si="116"/>
        <v>-228.84733985048103</v>
      </c>
      <c r="AS344" s="20"/>
      <c r="AT344" s="52">
        <f t="shared" si="117"/>
        <v>120.75601590576744</v>
      </c>
      <c r="AU344" s="52">
        <f t="shared" si="118"/>
        <v>-100.51536158134346</v>
      </c>
      <c r="AV344" s="20"/>
      <c r="AW344" s="20"/>
      <c r="AX344" s="20">
        <f t="shared" si="104"/>
        <v>47.711393759016637</v>
      </c>
      <c r="AY344" s="20">
        <f t="shared" si="105"/>
        <v>-25.215492943942113</v>
      </c>
      <c r="AZ344" s="20"/>
      <c r="BA344" s="20">
        <f t="shared" si="106"/>
        <v>32.143996996966443</v>
      </c>
      <c r="BB344" s="20">
        <f t="shared" si="107"/>
        <v>-29.898391792040467</v>
      </c>
      <c r="BC344" s="20"/>
      <c r="BD344" s="20">
        <f t="shared" si="108"/>
        <v>40.900625149784368</v>
      </c>
      <c r="BE344" s="20">
        <f t="shared" si="109"/>
        <v>-45.401476845360875</v>
      </c>
      <c r="BF344" s="20"/>
      <c r="BG344" s="54">
        <f t="shared" si="110"/>
        <v>97735.40205205149</v>
      </c>
      <c r="BH344" s="54">
        <f t="shared" si="111"/>
        <v>63382.393238117533</v>
      </c>
      <c r="BI344" s="54">
        <f t="shared" si="112"/>
        <v>91749.70725976587</v>
      </c>
      <c r="BJ344" s="20"/>
    </row>
    <row r="345" spans="37:62" x14ac:dyDescent="0.3">
      <c r="AK345">
        <v>341</v>
      </c>
      <c r="AL345">
        <v>170.5</v>
      </c>
      <c r="AN345" s="48">
        <f t="shared" si="113"/>
        <v>-67173.066773436411</v>
      </c>
      <c r="AO345" s="48">
        <f t="shared" si="114"/>
        <v>53040.68711049165</v>
      </c>
      <c r="AP345" s="20"/>
      <c r="AQ345" s="50">
        <f t="shared" si="115"/>
        <v>-1496.1279008535382</v>
      </c>
      <c r="AR345" s="50">
        <f t="shared" si="116"/>
        <v>-279.10502064115275</v>
      </c>
      <c r="AS345" s="20"/>
      <c r="AT345" s="52">
        <f t="shared" si="117"/>
        <v>120.05311812038244</v>
      </c>
      <c r="AU345" s="52">
        <f t="shared" si="118"/>
        <v>-98.547045307109244</v>
      </c>
      <c r="AV345" s="20"/>
      <c r="AW345" s="20"/>
      <c r="AX345" s="20">
        <f t="shared" si="104"/>
        <v>47.242468599849644</v>
      </c>
      <c r="AY345" s="20">
        <f t="shared" si="105"/>
        <v>-24.680266055393332</v>
      </c>
      <c r="AZ345" s="20"/>
      <c r="BA345" s="20">
        <f t="shared" si="106"/>
        <v>31.957064731593313</v>
      </c>
      <c r="BB345" s="20">
        <f t="shared" si="107"/>
        <v>-29.157612980480771</v>
      </c>
      <c r="BC345" s="20"/>
      <c r="BD345" s="20">
        <f t="shared" si="108"/>
        <v>40.853584788939493</v>
      </c>
      <c r="BE345" s="20">
        <f t="shared" si="109"/>
        <v>-44.709166271235134</v>
      </c>
      <c r="BF345" s="20"/>
      <c r="BG345" s="54">
        <f t="shared" si="110"/>
        <v>98351.907725176861</v>
      </c>
      <c r="BH345" s="54">
        <f t="shared" si="111"/>
        <v>63857.64618081638</v>
      </c>
      <c r="BI345" s="54">
        <f t="shared" si="112"/>
        <v>92168.461712681354</v>
      </c>
      <c r="BJ345" s="20"/>
    </row>
    <row r="346" spans="37:62" x14ac:dyDescent="0.3">
      <c r="AK346">
        <v>342</v>
      </c>
      <c r="AL346">
        <v>171</v>
      </c>
      <c r="AN346" s="48">
        <f t="shared" si="113"/>
        <v>-67906.124084098134</v>
      </c>
      <c r="AO346" s="48">
        <f t="shared" si="114"/>
        <v>52888.816219507687</v>
      </c>
      <c r="AP346" s="20"/>
      <c r="AQ346" s="50">
        <f t="shared" si="115"/>
        <v>-1436.101341793347</v>
      </c>
      <c r="AR346" s="50">
        <f t="shared" si="116"/>
        <v>-328.37854329470736</v>
      </c>
      <c r="AS346" s="20"/>
      <c r="AT346" s="52">
        <f t="shared" si="117"/>
        <v>119.43911096684937</v>
      </c>
      <c r="AU346" s="52">
        <f t="shared" si="118"/>
        <v>-96.700310373254212</v>
      </c>
      <c r="AV346" s="20"/>
      <c r="AW346" s="20"/>
      <c r="AX346" s="20">
        <f t="shared" si="104"/>
        <v>46.814388976839581</v>
      </c>
      <c r="AY346" s="20">
        <f t="shared" si="105"/>
        <v>-24.171805091366721</v>
      </c>
      <c r="AZ346" s="20"/>
      <c r="BA346" s="20">
        <f t="shared" si="106"/>
        <v>31.796720300948575</v>
      </c>
      <c r="BB346" s="20">
        <f t="shared" si="107"/>
        <v>-28.466583749845555</v>
      </c>
      <c r="BC346" s="20"/>
      <c r="BD346" s="20">
        <f t="shared" si="108"/>
        <v>40.828001689061203</v>
      </c>
      <c r="BE346" s="20">
        <f t="shared" si="109"/>
        <v>-44.061921532041936</v>
      </c>
      <c r="BF346" s="20"/>
      <c r="BG346" s="54">
        <f t="shared" si="110"/>
        <v>98932.458219216918</v>
      </c>
      <c r="BH346" s="54">
        <f t="shared" si="111"/>
        <v>64299.667817740032</v>
      </c>
      <c r="BI346" s="54">
        <f t="shared" si="112"/>
        <v>92553.075664561475</v>
      </c>
      <c r="BJ346" s="20"/>
    </row>
    <row r="347" spans="37:62" x14ac:dyDescent="0.3">
      <c r="AK347">
        <v>343</v>
      </c>
      <c r="AL347">
        <v>171.5</v>
      </c>
      <c r="AN347" s="48">
        <f t="shared" si="113"/>
        <v>-68609.244866123947</v>
      </c>
      <c r="AO347" s="48">
        <f t="shared" si="114"/>
        <v>52712.539409063676</v>
      </c>
      <c r="AP347" s="20"/>
      <c r="AQ347" s="50">
        <f t="shared" si="115"/>
        <v>-1376.3817863099223</v>
      </c>
      <c r="AR347" s="50">
        <f t="shared" si="116"/>
        <v>-376.72869848133445</v>
      </c>
      <c r="AS347" s="20"/>
      <c r="AT347" s="52">
        <f t="shared" si="117"/>
        <v>118.91135567906565</v>
      </c>
      <c r="AU347" s="52">
        <f t="shared" si="118"/>
        <v>-94.967018756114129</v>
      </c>
      <c r="AV347" s="20"/>
      <c r="AW347" s="20"/>
      <c r="AX347" s="20">
        <f t="shared" si="104"/>
        <v>46.425131855796728</v>
      </c>
      <c r="AY347" s="20">
        <f t="shared" si="105"/>
        <v>-23.68825179328045</v>
      </c>
      <c r="AZ347" s="20"/>
      <c r="BA347" s="20">
        <f t="shared" si="106"/>
        <v>31.662405172822929</v>
      </c>
      <c r="BB347" s="20">
        <f t="shared" si="107"/>
        <v>-27.821492237836082</v>
      </c>
      <c r="BC347" s="20"/>
      <c r="BD347" s="20">
        <f t="shared" si="108"/>
        <v>40.823818650445979</v>
      </c>
      <c r="BE347" s="20">
        <f t="shared" si="109"/>
        <v>-43.457274724997603</v>
      </c>
      <c r="BF347" s="20"/>
      <c r="BG347" s="54">
        <f t="shared" si="110"/>
        <v>99477.494920011173</v>
      </c>
      <c r="BH347" s="54">
        <f t="shared" si="111"/>
        <v>64708.729776017193</v>
      </c>
      <c r="BI347" s="54">
        <f t="shared" si="112"/>
        <v>92903.842900401694</v>
      </c>
      <c r="BJ347" s="20"/>
    </row>
    <row r="348" spans="37:62" x14ac:dyDescent="0.3">
      <c r="AK348">
        <v>344</v>
      </c>
      <c r="AL348">
        <v>172</v>
      </c>
      <c r="AN348" s="48">
        <f t="shared" si="113"/>
        <v>-69282.571839819022</v>
      </c>
      <c r="AO348" s="48">
        <f t="shared" si="114"/>
        <v>52512.304182478489</v>
      </c>
      <c r="AP348" s="20"/>
      <c r="AQ348" s="50">
        <f t="shared" si="115"/>
        <v>-1316.9261084703894</v>
      </c>
      <c r="AR348" s="50">
        <f t="shared" si="116"/>
        <v>-424.21220785939153</v>
      </c>
      <c r="AS348" s="20"/>
      <c r="AT348" s="52">
        <f t="shared" si="117"/>
        <v>118.46756731559341</v>
      </c>
      <c r="AU348" s="52">
        <f t="shared" si="118"/>
        <v>-93.339814696205934</v>
      </c>
      <c r="AV348" s="20"/>
      <c r="AW348" s="20"/>
      <c r="AX348" s="20">
        <f t="shared" si="104"/>
        <v>46.072892519166132</v>
      </c>
      <c r="AY348" s="20">
        <f t="shared" si="105"/>
        <v>-23.227904504812116</v>
      </c>
      <c r="AZ348" s="20"/>
      <c r="BA348" s="20">
        <f t="shared" si="106"/>
        <v>31.553645709490358</v>
      </c>
      <c r="BB348" s="20">
        <f t="shared" si="107"/>
        <v>-27.21891602629757</v>
      </c>
      <c r="BC348" s="20"/>
      <c r="BD348" s="20">
        <f t="shared" si="108"/>
        <v>40.841029086936928</v>
      </c>
      <c r="BE348" s="20">
        <f t="shared" si="109"/>
        <v>-42.892994165096241</v>
      </c>
      <c r="BF348" s="20"/>
      <c r="BG348" s="54">
        <f t="shared" si="110"/>
        <v>99987.425020091468</v>
      </c>
      <c r="BH348" s="54">
        <f t="shared" si="111"/>
        <v>65085.081962385979</v>
      </c>
      <c r="BI348" s="54">
        <f t="shared" si="112"/>
        <v>93221.029056586776</v>
      </c>
      <c r="BJ348" s="20"/>
    </row>
    <row r="349" spans="37:62" x14ac:dyDescent="0.3">
      <c r="AK349">
        <v>345</v>
      </c>
      <c r="AL349">
        <v>172.5</v>
      </c>
      <c r="AN349" s="48">
        <f t="shared" si="113"/>
        <v>-69926.226448139772</v>
      </c>
      <c r="AO349" s="48">
        <f t="shared" si="114"/>
        <v>52288.530601711762</v>
      </c>
      <c r="AP349" s="20"/>
      <c r="AQ349" s="50">
        <f t="shared" si="115"/>
        <v>-1257.6923248125927</v>
      </c>
      <c r="AR349" s="50">
        <f t="shared" si="116"/>
        <v>-470.88211520749451</v>
      </c>
      <c r="AS349" s="20"/>
      <c r="AT349" s="52">
        <f t="shared" si="117"/>
        <v>118.10579534759589</v>
      </c>
      <c r="AU349" s="52">
        <f t="shared" si="118"/>
        <v>-91.812039520712489</v>
      </c>
      <c r="AV349" s="20"/>
      <c r="AW349" s="20"/>
      <c r="AX349" s="20">
        <f t="shared" si="104"/>
        <v>45.756063830231177</v>
      </c>
      <c r="AY349" s="20">
        <f t="shared" si="105"/>
        <v>-22.789201170984736</v>
      </c>
      <c r="AZ349" s="20"/>
      <c r="BA349" s="20">
        <f t="shared" si="106"/>
        <v>31.470053213117875</v>
      </c>
      <c r="BB349" s="20">
        <f t="shared" si="107"/>
        <v>-26.655775992259446</v>
      </c>
      <c r="BC349" s="20"/>
      <c r="BD349" s="20">
        <f t="shared" si="108"/>
        <v>40.879678304246838</v>
      </c>
      <c r="BE349" s="20">
        <f t="shared" si="109"/>
        <v>-42.367062357468313</v>
      </c>
      <c r="BF349" s="20"/>
      <c r="BG349" s="54">
        <f t="shared" si="110"/>
        <v>100462.62328180857</v>
      </c>
      <c r="BH349" s="54">
        <f t="shared" si="111"/>
        <v>65428.953130879629</v>
      </c>
      <c r="BI349" s="54">
        <f t="shared" si="112"/>
        <v>93504.872767854336</v>
      </c>
      <c r="BJ349" s="20"/>
    </row>
    <row r="350" spans="37:62" x14ac:dyDescent="0.3">
      <c r="AK350">
        <v>346</v>
      </c>
      <c r="AL350">
        <v>173</v>
      </c>
      <c r="AN350" s="48">
        <f t="shared" si="113"/>
        <v>-70540.309386127614</v>
      </c>
      <c r="AO350" s="48">
        <f t="shared" si="114"/>
        <v>52041.613039167925</v>
      </c>
      <c r="AP350" s="20"/>
      <c r="AQ350" s="50">
        <f t="shared" si="115"/>
        <v>-1198.6394271387946</v>
      </c>
      <c r="AR350" s="50">
        <f t="shared" si="116"/>
        <v>-516.78813496785074</v>
      </c>
      <c r="AS350" s="20"/>
      <c r="AT350" s="52">
        <f t="shared" si="117"/>
        <v>117.82440710551285</v>
      </c>
      <c r="AU350" s="52">
        <f t="shared" si="118"/>
        <v>-90.377657517342698</v>
      </c>
      <c r="AV350" s="20"/>
      <c r="AW350" s="20"/>
      <c r="AX350" s="20">
        <f t="shared" si="104"/>
        <v>45.473218313360881</v>
      </c>
      <c r="AY350" s="20">
        <f t="shared" si="105"/>
        <v>-22.370704358004545</v>
      </c>
      <c r="AZ350" s="20"/>
      <c r="BA350" s="20">
        <f t="shared" si="106"/>
        <v>31.411323904900829</v>
      </c>
      <c r="BB350" s="20">
        <f t="shared" si="107"/>
        <v>-26.129296411079778</v>
      </c>
      <c r="BC350" s="20"/>
      <c r="BD350" s="20">
        <f t="shared" si="108"/>
        <v>40.939864887251133</v>
      </c>
      <c r="BE350" s="20">
        <f t="shared" si="109"/>
        <v>-41.877656748258367</v>
      </c>
      <c r="BF350" s="20"/>
      <c r="BG350" s="54">
        <f t="shared" si="110"/>
        <v>100903.43361782434</v>
      </c>
      <c r="BH350" s="54">
        <f t="shared" si="111"/>
        <v>65740.551410682849</v>
      </c>
      <c r="BI350" s="54">
        <f t="shared" si="112"/>
        <v>93755.586677930056</v>
      </c>
      <c r="BJ350" s="20"/>
    </row>
    <row r="351" spans="37:62" x14ac:dyDescent="0.3">
      <c r="AK351">
        <v>347</v>
      </c>
      <c r="AL351">
        <v>173.5</v>
      </c>
      <c r="AN351" s="48">
        <f t="shared" si="113"/>
        <v>-71124.90104880881</v>
      </c>
      <c r="AO351" s="48">
        <f t="shared" si="114"/>
        <v>51771.921764494335</v>
      </c>
      <c r="AP351" s="20"/>
      <c r="AQ351" s="50">
        <f t="shared" si="115"/>
        <v>-1139.7272235860382</v>
      </c>
      <c r="AR351" s="50">
        <f t="shared" si="116"/>
        <v>-561.97696372652206</v>
      </c>
      <c r="AS351" s="20"/>
      <c r="AT351" s="52">
        <f t="shared" si="117"/>
        <v>117.62207391286441</v>
      </c>
      <c r="AU351" s="52">
        <f t="shared" si="118"/>
        <v>-89.031191259300527</v>
      </c>
      <c r="AV351" s="20"/>
      <c r="AW351" s="20"/>
      <c r="AX351" s="20">
        <f t="shared" si="104"/>
        <v>45.223092668254083</v>
      </c>
      <c r="AY351" s="20">
        <f t="shared" si="105"/>
        <v>-21.971088006834041</v>
      </c>
      <c r="AZ351" s="20"/>
      <c r="BA351" s="20">
        <f t="shared" si="106"/>
        <v>31.377238996645485</v>
      </c>
      <c r="BB351" s="20">
        <f t="shared" si="107"/>
        <v>-25.636970354278159</v>
      </c>
      <c r="BC351" s="20"/>
      <c r="BD351" s="20">
        <f t="shared" si="108"/>
        <v>41.021742247964831</v>
      </c>
      <c r="BE351" s="20">
        <f t="shared" si="109"/>
        <v>-41.423132898188321</v>
      </c>
      <c r="BF351" s="20"/>
      <c r="BG351" s="54">
        <f t="shared" si="110"/>
        <v>101310.17050561462</v>
      </c>
      <c r="BH351" s="54">
        <f t="shared" si="111"/>
        <v>66020.064792073084</v>
      </c>
      <c r="BI351" s="54">
        <f t="shared" si="112"/>
        <v>93973.358324785368</v>
      </c>
      <c r="BJ351" s="20"/>
    </row>
    <row r="352" spans="37:62" x14ac:dyDescent="0.3">
      <c r="AK352">
        <v>348</v>
      </c>
      <c r="AL352">
        <v>174</v>
      </c>
      <c r="AN352" s="48">
        <f t="shared" si="113"/>
        <v>-71680.061901362715</v>
      </c>
      <c r="AO352" s="48">
        <f t="shared" si="114"/>
        <v>51479.804383723662</v>
      </c>
      <c r="AP352" s="20"/>
      <c r="AQ352" s="50">
        <f t="shared" si="115"/>
        <v>-1080.916186629606</v>
      </c>
      <c r="AR352" s="50">
        <f t="shared" si="116"/>
        <v>-606.49255935617236</v>
      </c>
      <c r="AS352" s="20"/>
      <c r="AT352" s="52">
        <f t="shared" si="117"/>
        <v>117.49775975963011</v>
      </c>
      <c r="AU352" s="52">
        <f t="shared" si="118"/>
        <v>-87.767665038442573</v>
      </c>
      <c r="AV352" s="20"/>
      <c r="AW352" s="20"/>
      <c r="AX352" s="20">
        <f t="shared" si="104"/>
        <v>45.004574399307806</v>
      </c>
      <c r="AY352" s="20">
        <f t="shared" si="105"/>
        <v>-21.589125676897861</v>
      </c>
      <c r="AZ352" s="20"/>
      <c r="BA352" s="20">
        <f t="shared" si="106"/>
        <v>31.367664979416968</v>
      </c>
      <c r="BB352" s="20">
        <f t="shared" si="107"/>
        <v>-25.176529583183154</v>
      </c>
      <c r="BC352" s="20"/>
      <c r="BD352" s="20">
        <f t="shared" si="108"/>
        <v>41.125520380905343</v>
      </c>
      <c r="BE352" s="20">
        <f t="shared" si="109"/>
        <v>-41.002009778361554</v>
      </c>
      <c r="BF352" s="20"/>
      <c r="BG352" s="54">
        <f t="shared" si="110"/>
        <v>101683.12025045404</v>
      </c>
      <c r="BH352" s="54">
        <f t="shared" si="111"/>
        <v>66267.661569129355</v>
      </c>
      <c r="BI352" s="54">
        <f t="shared" si="112"/>
        <v>94158.35090987802</v>
      </c>
      <c r="BJ352" s="20"/>
    </row>
    <row r="353" spans="37:62" x14ac:dyDescent="0.3">
      <c r="AK353">
        <v>349</v>
      </c>
      <c r="AL353">
        <v>174.5</v>
      </c>
      <c r="AN353" s="48">
        <f t="shared" si="113"/>
        <v>-72205.832774707567</v>
      </c>
      <c r="AO353" s="48">
        <f t="shared" si="114"/>
        <v>51165.587145915764</v>
      </c>
      <c r="AP353" s="20"/>
      <c r="AQ353" s="50">
        <f t="shared" si="115"/>
        <v>-1022.167306749791</v>
      </c>
      <c r="AR353" s="50">
        <f t="shared" si="116"/>
        <v>-650.37639187539367</v>
      </c>
      <c r="AS353" s="20"/>
      <c r="AT353" s="52">
        <f t="shared" si="117"/>
        <v>117.45071239310218</v>
      </c>
      <c r="AU353" s="52">
        <f t="shared" si="118"/>
        <v>-86.58255527579044</v>
      </c>
      <c r="AV353" s="20"/>
      <c r="AW353" s="20"/>
      <c r="AX353" s="20">
        <f t="shared" si="104"/>
        <v>44.816690293598832</v>
      </c>
      <c r="AY353" s="20">
        <f t="shared" si="105"/>
        <v>-21.223680072259548</v>
      </c>
      <c r="AZ353" s="20"/>
      <c r="BA353" s="20">
        <f t="shared" si="106"/>
        <v>31.382554229925987</v>
      </c>
      <c r="BB353" s="20">
        <f t="shared" si="107"/>
        <v>-24.745918269104408</v>
      </c>
      <c r="BC353" s="20"/>
      <c r="BD353" s="20">
        <f t="shared" si="108"/>
        <v>41.251467869577375</v>
      </c>
      <c r="BE353" s="20">
        <f t="shared" si="109"/>
        <v>-40.612956934426478</v>
      </c>
      <c r="BF353" s="20"/>
      <c r="BG353" s="54">
        <f t="shared" si="110"/>
        <v>102022.54210945197</v>
      </c>
      <c r="BH353" s="54">
        <f t="shared" si="111"/>
        <v>66483.490738443594</v>
      </c>
      <c r="BI353" s="54">
        <f t="shared" si="112"/>
        <v>94310.703959337145</v>
      </c>
      <c r="BJ353" s="20"/>
    </row>
    <row r="354" spans="37:62" x14ac:dyDescent="0.3">
      <c r="AK354">
        <v>350</v>
      </c>
      <c r="AL354">
        <v>175</v>
      </c>
      <c r="AN354" s="48">
        <f t="shared" si="113"/>
        <v>-72702.235089033318</v>
      </c>
      <c r="AO354" s="48">
        <f t="shared" si="114"/>
        <v>50829.576130568588</v>
      </c>
      <c r="AP354" s="20"/>
      <c r="AQ354" s="50">
        <f t="shared" si="115"/>
        <v>-963.44195055323996</v>
      </c>
      <c r="AR354" s="50">
        <f t="shared" si="116"/>
        <v>-693.66766951328884</v>
      </c>
      <c r="AS354" s="20"/>
      <c r="AT354" s="52">
        <f t="shared" si="117"/>
        <v>117.48045673029569</v>
      </c>
      <c r="AU354" s="52">
        <f t="shared" si="118"/>
        <v>-85.471746953875652</v>
      </c>
      <c r="AV354" s="20"/>
      <c r="AW354" s="20"/>
      <c r="AX354" s="20">
        <f t="shared" si="104"/>
        <v>44.658596524626944</v>
      </c>
      <c r="AY354" s="20">
        <f t="shared" si="105"/>
        <v>-20.873693672431035</v>
      </c>
      <c r="AZ354" s="20"/>
      <c r="BA354" s="20">
        <f t="shared" si="106"/>
        <v>31.421946019112433</v>
      </c>
      <c r="BB354" s="20">
        <f t="shared" si="107"/>
        <v>-24.343269976891978</v>
      </c>
      <c r="BC354" s="20"/>
      <c r="BD354" s="20">
        <f t="shared" si="108"/>
        <v>41.399914186556316</v>
      </c>
      <c r="BE354" s="20">
        <f t="shared" si="109"/>
        <v>-40.254783304552632</v>
      </c>
      <c r="BF354" s="20"/>
      <c r="BG354" s="54">
        <f t="shared" si="110"/>
        <v>102328.66928753222</v>
      </c>
      <c r="BH354" s="54">
        <f t="shared" si="111"/>
        <v>66667.682353458411</v>
      </c>
      <c r="BI354" s="54">
        <f t="shared" si="112"/>
        <v>94430.533883808268</v>
      </c>
      <c r="BJ354" s="20"/>
    </row>
    <row r="355" spans="37:62" x14ac:dyDescent="0.3">
      <c r="AK355">
        <v>351</v>
      </c>
      <c r="AL355">
        <v>175.5</v>
      </c>
      <c r="AN355" s="48">
        <f t="shared" si="113"/>
        <v>-73169.271007218646</v>
      </c>
      <c r="AO355" s="48">
        <f t="shared" si="114"/>
        <v>50472.058327442704</v>
      </c>
      <c r="AP355" s="20"/>
      <c r="AQ355" s="50">
        <f t="shared" si="115"/>
        <v>-904.70172218809216</v>
      </c>
      <c r="AR355" s="50">
        <f t="shared" si="116"/>
        <v>-736.4035429902267</v>
      </c>
      <c r="AS355" s="20"/>
      <c r="AT355" s="52">
        <f t="shared" si="117"/>
        <v>117.58679052271569</v>
      </c>
      <c r="AU355" s="52">
        <f t="shared" si="118"/>
        <v>-84.431495260804169</v>
      </c>
      <c r="AV355" s="20"/>
      <c r="AW355" s="20"/>
      <c r="AX355" s="20">
        <f t="shared" si="104"/>
        <v>44.529570195591774</v>
      </c>
      <c r="AY355" s="20">
        <f t="shared" si="105"/>
        <v>-20.538180314759206</v>
      </c>
      <c r="AZ355" s="20"/>
      <c r="BA355" s="20">
        <f t="shared" si="106"/>
        <v>31.485967997216324</v>
      </c>
      <c r="BB355" s="20">
        <f t="shared" si="107"/>
        <v>-23.966887435908699</v>
      </c>
      <c r="BC355" s="20"/>
      <c r="BD355" s="20">
        <f t="shared" si="108"/>
        <v>41.571252329907601</v>
      </c>
      <c r="BE355" s="20">
        <f t="shared" si="109"/>
        <v>-39.926427510136264</v>
      </c>
      <c r="BF355" s="20"/>
      <c r="BG355" s="54">
        <f t="shared" si="110"/>
        <v>102601.70981476718</v>
      </c>
      <c r="BH355" s="54">
        <f t="shared" si="111"/>
        <v>66820.347834316053</v>
      </c>
      <c r="BI355" s="54">
        <f t="shared" si="112"/>
        <v>94517.934442557933</v>
      </c>
      <c r="BJ355" s="20"/>
    </row>
    <row r="356" spans="37:62" x14ac:dyDescent="0.3">
      <c r="AK356">
        <v>352</v>
      </c>
      <c r="AL356">
        <v>176</v>
      </c>
      <c r="AN356" s="48">
        <f t="shared" si="113"/>
        <v>-73606.923519497359</v>
      </c>
      <c r="AO356" s="48">
        <f t="shared" si="114"/>
        <v>50093.302619039991</v>
      </c>
      <c r="AP356" s="20"/>
      <c r="AQ356" s="50">
        <f t="shared" si="115"/>
        <v>-845.90832692673428</v>
      </c>
      <c r="AR356" s="50">
        <f t="shared" si="116"/>
        <v>-778.61929062062882</v>
      </c>
      <c r="AS356" s="20"/>
      <c r="AT356" s="52">
        <f t="shared" si="117"/>
        <v>117.76978223139061</v>
      </c>
      <c r="AU356" s="52">
        <f t="shared" si="118"/>
        <v>-83.458391756791684</v>
      </c>
      <c r="AV356" s="20"/>
      <c r="AW356" s="20"/>
      <c r="AX356" s="20">
        <f t="shared" si="104"/>
        <v>44.42900216688934</v>
      </c>
      <c r="AY356" s="20">
        <f t="shared" si="105"/>
        <v>-20.216217595936033</v>
      </c>
      <c r="AZ356" s="20"/>
      <c r="BA356" s="20">
        <f t="shared" si="106"/>
        <v>31.574838224224781</v>
      </c>
      <c r="BB356" s="20">
        <f t="shared" si="107"/>
        <v>-23.615224694075959</v>
      </c>
      <c r="BC356" s="20"/>
      <c r="BD356" s="20">
        <f t="shared" si="108"/>
        <v>41.765941840276483</v>
      </c>
      <c r="BE356" s="20">
        <f t="shared" si="109"/>
        <v>-39.626949466779692</v>
      </c>
      <c r="BF356" s="20"/>
      <c r="BG356" s="54">
        <f t="shared" si="110"/>
        <v>102841.84731315431</v>
      </c>
      <c r="BH356" s="54">
        <f t="shared" si="111"/>
        <v>66941.58023326876</v>
      </c>
      <c r="BI356" s="54">
        <f t="shared" si="112"/>
        <v>94572.97711642622</v>
      </c>
      <c r="BJ356" s="20"/>
    </row>
    <row r="357" spans="37:62" x14ac:dyDescent="0.3">
      <c r="AK357">
        <v>353</v>
      </c>
      <c r="AL357">
        <v>176.5</v>
      </c>
      <c r="AN357" s="48">
        <f t="shared" si="113"/>
        <v>-74015.156460181795</v>
      </c>
      <c r="AO357" s="48">
        <f t="shared" si="114"/>
        <v>49693.560674760076</v>
      </c>
      <c r="AP357" s="20"/>
      <c r="AQ357" s="50">
        <f t="shared" si="115"/>
        <v>-787.02343581103901</v>
      </c>
      <c r="AR357" s="50">
        <f t="shared" si="116"/>
        <v>-820.3484864990246</v>
      </c>
      <c r="AS357" s="20"/>
      <c r="AT357" s="52">
        <f t="shared" si="117"/>
        <v>118.02977109784575</v>
      </c>
      <c r="AU357" s="52">
        <f t="shared" si="118"/>
        <v>-82.549334474691904</v>
      </c>
      <c r="AV357" s="20"/>
      <c r="AW357" s="20"/>
      <c r="AX357" s="20">
        <f t="shared" si="104"/>
        <v>44.356391038860757</v>
      </c>
      <c r="AY357" s="20">
        <f t="shared" si="105"/>
        <v>-19.906939977323912</v>
      </c>
      <c r="AZ357" s="20"/>
      <c r="BA357" s="20">
        <f t="shared" si="106"/>
        <v>31.688867813110658</v>
      </c>
      <c r="BB357" s="20">
        <f t="shared" si="107"/>
        <v>-23.286871309562919</v>
      </c>
      <c r="BC357" s="20"/>
      <c r="BD357" s="20">
        <f t="shared" si="108"/>
        <v>41.984512245874349</v>
      </c>
      <c r="BE357" s="20">
        <f t="shared" si="109"/>
        <v>-39.355523187805076</v>
      </c>
      <c r="BF357" s="20"/>
      <c r="BG357" s="54">
        <f t="shared" si="110"/>
        <v>103049.2416597382</v>
      </c>
      <c r="BH357" s="54">
        <f t="shared" si="111"/>
        <v>67031.454455790968</v>
      </c>
      <c r="BI357" s="54">
        <f t="shared" si="112"/>
        <v>94595.711393288002</v>
      </c>
      <c r="BJ357" s="20"/>
    </row>
    <row r="358" spans="37:62" x14ac:dyDescent="0.3">
      <c r="AK358">
        <v>354</v>
      </c>
      <c r="AL358">
        <v>177</v>
      </c>
      <c r="AN358" s="48">
        <f t="shared" si="113"/>
        <v>-74393.914456700091</v>
      </c>
      <c r="AO358" s="48">
        <f t="shared" si="114"/>
        <v>49273.067764701227</v>
      </c>
      <c r="AP358" s="20"/>
      <c r="AQ358" s="50">
        <f t="shared" si="115"/>
        <v>-728.00855026211616</v>
      </c>
      <c r="AR358" s="50">
        <f t="shared" si="116"/>
        <v>-861.62315373637057</v>
      </c>
      <c r="AS358" s="20"/>
      <c r="AT358" s="52">
        <f t="shared" si="117"/>
        <v>118.36736942525968</v>
      </c>
      <c r="AU358" s="52">
        <f t="shared" si="118"/>
        <v>-81.701501450142018</v>
      </c>
      <c r="AV358" s="20"/>
      <c r="AW358" s="20"/>
      <c r="AX358" s="20">
        <f t="shared" si="104"/>
        <v>44.311338183416126</v>
      </c>
      <c r="AY358" s="20">
        <f t="shared" si="105"/>
        <v>-19.609532493003304</v>
      </c>
      <c r="AZ358" s="20"/>
      <c r="BA358" s="20">
        <f t="shared" si="106"/>
        <v>31.828464255118845</v>
      </c>
      <c r="BB358" s="20">
        <f t="shared" si="107"/>
        <v>-22.980538283059378</v>
      </c>
      <c r="BC358" s="20"/>
      <c r="BD358" s="20">
        <f t="shared" si="108"/>
        <v>42.227566986724717</v>
      </c>
      <c r="BE358" s="20">
        <f t="shared" si="109"/>
        <v>-39.111430674079344</v>
      </c>
      <c r="BF358" s="20"/>
      <c r="BG358" s="54">
        <f t="shared" si="110"/>
        <v>103224.02955190781</v>
      </c>
      <c r="BH358" s="54">
        <f t="shared" si="111"/>
        <v>67090.027437567958</v>
      </c>
      <c r="BI358" s="54">
        <f t="shared" si="112"/>
        <v>94586.164968824509</v>
      </c>
      <c r="BJ358" s="20"/>
    </row>
    <row r="359" spans="37:62" x14ac:dyDescent="0.3">
      <c r="AK359">
        <v>355</v>
      </c>
      <c r="AL359">
        <v>177.5</v>
      </c>
      <c r="AN359" s="48">
        <f t="shared" si="113"/>
        <v>-74743.122810652989</v>
      </c>
      <c r="AO359" s="48">
        <f t="shared" si="114"/>
        <v>48832.043500151776</v>
      </c>
      <c r="AP359" s="20"/>
      <c r="AQ359" s="50">
        <f t="shared" si="115"/>
        <v>-668.82486554948628</v>
      </c>
      <c r="AR359" s="50">
        <f t="shared" si="116"/>
        <v>-902.47390446144163</v>
      </c>
      <c r="AS359" s="20"/>
      <c r="AT359" s="52">
        <f t="shared" si="117"/>
        <v>118.7834671138809</v>
      </c>
      <c r="AU359" s="52">
        <f t="shared" si="118"/>
        <v>-80.912327247247646</v>
      </c>
      <c r="AV359" s="20"/>
      <c r="AW359" s="20"/>
      <c r="AX359" s="20">
        <f t="shared" si="104"/>
        <v>44.293543737768374</v>
      </c>
      <c r="AY359" s="20">
        <f t="shared" si="105"/>
        <v>-19.323224971210973</v>
      </c>
      <c r="AZ359" s="20"/>
      <c r="BA359" s="20">
        <f t="shared" si="106"/>
        <v>31.994135501157267</v>
      </c>
      <c r="BB359" s="20">
        <f t="shared" si="107"/>
        <v>-22.695045473162505</v>
      </c>
      <c r="BC359" s="20"/>
      <c r="BD359" s="20">
        <f t="shared" si="108"/>
        <v>42.495787874955248</v>
      </c>
      <c r="BE359" s="20">
        <f t="shared" si="109"/>
        <v>-38.894056802874161</v>
      </c>
      <c r="BF359" s="20"/>
      <c r="BG359" s="54">
        <f t="shared" si="110"/>
        <v>103366.32497971917</v>
      </c>
      <c r="BH359" s="54">
        <f t="shared" si="111"/>
        <v>67117.338277526433</v>
      </c>
      <c r="BI359" s="54">
        <f t="shared" si="112"/>
        <v>94544.343864596653</v>
      </c>
      <c r="BJ359" s="20"/>
    </row>
    <row r="360" spans="37:62" x14ac:dyDescent="0.3">
      <c r="AK360">
        <v>356</v>
      </c>
      <c r="AL360">
        <v>178</v>
      </c>
      <c r="AN360" s="48">
        <f t="shared" si="113"/>
        <v>-75062.687310038498</v>
      </c>
      <c r="AO360" s="48">
        <f t="shared" si="114"/>
        <v>48370.692507015148</v>
      </c>
      <c r="AP360" s="20"/>
      <c r="AQ360" s="50">
        <f t="shared" si="115"/>
        <v>-609.43313199254578</v>
      </c>
      <c r="AR360" s="50">
        <f t="shared" si="116"/>
        <v>-942.9300680850655</v>
      </c>
      <c r="AS360" s="20"/>
      <c r="AT360" s="52">
        <f t="shared" si="117"/>
        <v>119.27923852635256</v>
      </c>
      <c r="AU360" s="52">
        <f t="shared" si="118"/>
        <v>-80.179482104472513</v>
      </c>
      <c r="AV360" s="20"/>
      <c r="AW360" s="20"/>
      <c r="AX360" s="20">
        <f t="shared" si="104"/>
        <v>44.302803490739031</v>
      </c>
      <c r="AY360" s="20">
        <f t="shared" si="105"/>
        <v>-19.047286689501213</v>
      </c>
      <c r="AZ360" s="20"/>
      <c r="BA360" s="20">
        <f t="shared" si="106"/>
        <v>32.186494880895516</v>
      </c>
      <c r="BB360" s="20">
        <f t="shared" si="107"/>
        <v>-22.429310269575279</v>
      </c>
      <c r="BC360" s="20"/>
      <c r="BD360" s="20">
        <f t="shared" si="108"/>
        <v>42.78994015471801</v>
      </c>
      <c r="BE360" s="20">
        <f t="shared" si="109"/>
        <v>-38.702885145396024</v>
      </c>
      <c r="BF360" s="20"/>
      <c r="BG360" s="54">
        <f t="shared" si="110"/>
        <v>103476.21960918915</v>
      </c>
      <c r="BH360" s="54">
        <f t="shared" si="111"/>
        <v>67113.408327032404</v>
      </c>
      <c r="BI360" s="54">
        <f t="shared" si="112"/>
        <v>94470.232464638801</v>
      </c>
      <c r="BJ360" s="20"/>
    </row>
    <row r="361" spans="37:62" x14ac:dyDescent="0.3">
      <c r="AK361">
        <v>357</v>
      </c>
      <c r="AL361">
        <v>178.5</v>
      </c>
      <c r="AN361" s="48">
        <f t="shared" si="113"/>
        <v>-75352.493971218981</v>
      </c>
      <c r="AO361" s="48">
        <f t="shared" si="114"/>
        <v>47889.205037709551</v>
      </c>
      <c r="AP361" s="20"/>
      <c r="AQ361" s="50">
        <f t="shared" si="115"/>
        <v>-549.79351272936947</v>
      </c>
      <c r="AR361" s="50">
        <f t="shared" si="116"/>
        <v>-983.01980913730176</v>
      </c>
      <c r="AS361" s="20"/>
      <c r="AT361" s="52">
        <f t="shared" si="117"/>
        <v>119.85615179244418</v>
      </c>
      <c r="AU361" s="52">
        <f t="shared" si="118"/>
        <v>-79.500853374375012</v>
      </c>
      <c r="AV361" s="20"/>
      <c r="AW361" s="20"/>
      <c r="AX361" s="20">
        <f t="shared" si="104"/>
        <v>44.339006607409765</v>
      </c>
      <c r="AY361" s="20">
        <f t="shared" si="105"/>
        <v>-18.781021391800913</v>
      </c>
      <c r="AZ361" s="20"/>
      <c r="BA361" s="20">
        <f t="shared" si="106"/>
        <v>32.406266951459322</v>
      </c>
      <c r="BB361" s="20">
        <f t="shared" si="107"/>
        <v>-22.182337324656473</v>
      </c>
      <c r="BC361" s="20"/>
      <c r="BD361" s="20">
        <f t="shared" si="108"/>
        <v>43.110878233575093</v>
      </c>
      <c r="BE361" s="20">
        <f t="shared" si="109"/>
        <v>-38.537494657917627</v>
      </c>
      <c r="BF361" s="20"/>
      <c r="BG361" s="54">
        <f t="shared" si="110"/>
        <v>103553.78307966105</v>
      </c>
      <c r="BH361" s="54">
        <f t="shared" si="111"/>
        <v>67078.241235317342</v>
      </c>
      <c r="BI361" s="54">
        <f t="shared" si="112"/>
        <v>94363.793471042038</v>
      </c>
      <c r="BJ361" s="20"/>
    </row>
    <row r="362" spans="37:62" x14ac:dyDescent="0.3">
      <c r="AK362">
        <v>358</v>
      </c>
      <c r="AL362">
        <v>179</v>
      </c>
      <c r="AN362" s="48">
        <f t="shared" si="113"/>
        <v>-75612.408708609611</v>
      </c>
      <c r="AO362" s="48">
        <f t="shared" si="114"/>
        <v>47387.757526469104</v>
      </c>
      <c r="AP362" s="20"/>
      <c r="AQ362" s="50">
        <f t="shared" si="115"/>
        <v>-489.86543683314738</v>
      </c>
      <c r="AR362" s="50">
        <f t="shared" si="116"/>
        <v>-1022.7702358244893</v>
      </c>
      <c r="AS362" s="20"/>
      <c r="AT362" s="52">
        <f t="shared" si="117"/>
        <v>120.51598069959468</v>
      </c>
      <c r="AU362" s="52">
        <f t="shared" si="118"/>
        <v>-78.874528971526459</v>
      </c>
      <c r="AV362" s="20"/>
      <c r="AW362" s="20"/>
      <c r="AX362" s="20">
        <f t="shared" si="104"/>
        <v>44.402134151778164</v>
      </c>
      <c r="AY362" s="20">
        <f t="shared" si="105"/>
        <v>-18.5237626017929</v>
      </c>
      <c r="AZ362" s="20"/>
      <c r="BA362" s="20">
        <f t="shared" si="106"/>
        <v>32.654294380680057</v>
      </c>
      <c r="BB362" s="20">
        <f t="shared" si="107"/>
        <v>-21.953209164159073</v>
      </c>
      <c r="BC362" s="20"/>
      <c r="BD362" s="20">
        <f t="shared" si="108"/>
        <v>43.459552167136451</v>
      </c>
      <c r="BE362" s="20">
        <f t="shared" si="109"/>
        <v>-38.397557205574486</v>
      </c>
      <c r="BF362" s="20"/>
      <c r="BG362" s="54">
        <f t="shared" si="110"/>
        <v>103599.06321754362</v>
      </c>
      <c r="BH362" s="54">
        <f t="shared" si="111"/>
        <v>67011.822951114271</v>
      </c>
      <c r="BI362" s="54">
        <f t="shared" si="112"/>
        <v>94224.967778255188</v>
      </c>
      <c r="BJ362" s="20"/>
    </row>
    <row r="363" spans="37:62" x14ac:dyDescent="0.3">
      <c r="AK363">
        <v>359</v>
      </c>
      <c r="AL363">
        <v>179.5</v>
      </c>
      <c r="AN363" s="48">
        <f t="shared" si="113"/>
        <v>-75842.27692943874</v>
      </c>
      <c r="AO363" s="48">
        <f t="shared" si="114"/>
        <v>46866.513092435423</v>
      </c>
      <c r="AP363" s="20"/>
      <c r="AQ363" s="50">
        <f t="shared" si="115"/>
        <v>-429.60744648335003</v>
      </c>
      <c r="AR363" s="50">
        <f t="shared" si="116"/>
        <v>-1062.2075003102525</v>
      </c>
      <c r="AS363" s="20"/>
      <c r="AT363" s="52">
        <f t="shared" si="117"/>
        <v>121.26081935638791</v>
      </c>
      <c r="AU363" s="52">
        <f t="shared" si="118"/>
        <v>-78.298782576444566</v>
      </c>
      <c r="AV363" s="20"/>
      <c r="AW363" s="20"/>
      <c r="AX363" s="20">
        <f t="shared" si="104"/>
        <v>44.492258379848181</v>
      </c>
      <c r="AY363" s="20">
        <f t="shared" si="105"/>
        <v>-18.274869171898022</v>
      </c>
      <c r="AZ363" s="20"/>
      <c r="BA363" s="20">
        <f t="shared" si="106"/>
        <v>32.931545985987121</v>
      </c>
      <c r="BB363" s="20">
        <f t="shared" si="107"/>
        <v>-21.741077513379533</v>
      </c>
      <c r="BC363" s="20"/>
      <c r="BD363" s="20">
        <f t="shared" si="108"/>
        <v>43.837014990552596</v>
      </c>
      <c r="BE363" s="20">
        <f t="shared" si="109"/>
        <v>-38.282835891167011</v>
      </c>
      <c r="BF363" s="20"/>
      <c r="BG363" s="54">
        <f t="shared" si="110"/>
        <v>103612.08616795685</v>
      </c>
      <c r="BH363" s="54">
        <f t="shared" si="111"/>
        <v>66914.121680395969</v>
      </c>
      <c r="BI363" s="54">
        <f t="shared" si="112"/>
        <v>94053.674265090624</v>
      </c>
      <c r="BJ363" s="20"/>
    </row>
    <row r="364" spans="37:62" x14ac:dyDescent="0.3">
      <c r="AK364">
        <v>360</v>
      </c>
      <c r="AL364">
        <v>180</v>
      </c>
      <c r="AN364" s="48">
        <f t="shared" si="113"/>
        <v>-76041.923050260855</v>
      </c>
      <c r="AO364" s="48">
        <f t="shared" si="114"/>
        <v>46325.621994458241</v>
      </c>
      <c r="AP364" s="20"/>
      <c r="AQ364" s="50">
        <f t="shared" si="115"/>
        <v>-368.9770368051561</v>
      </c>
      <c r="AR364" s="50">
        <f t="shared" si="116"/>
        <v>-1101.3568915984747</v>
      </c>
      <c r="AS364" s="20"/>
      <c r="AT364" s="52">
        <f t="shared" si="117"/>
        <v>122.09309986164982</v>
      </c>
      <c r="AU364" s="52">
        <f t="shared" si="118"/>
        <v>-77.77206037058329</v>
      </c>
      <c r="AV364" s="20"/>
      <c r="AW364" s="20"/>
      <c r="AX364" s="20">
        <f t="shared" si="104"/>
        <v>44.609542787626616</v>
      </c>
      <c r="AY364" s="20">
        <f t="shared" si="105"/>
        <v>-18.033721010684175</v>
      </c>
      <c r="AZ364" s="20"/>
      <c r="BA364" s="20">
        <f t="shared" si="106"/>
        <v>33.239126069519102</v>
      </c>
      <c r="BB364" s="20">
        <f t="shared" si="107"/>
        <v>-21.545155185781461</v>
      </c>
      <c r="BC364" s="20"/>
      <c r="BD364" s="20">
        <f t="shared" si="108"/>
        <v>44.244431004504094</v>
      </c>
      <c r="BE364" s="20">
        <f t="shared" si="109"/>
        <v>-38.193184174117647</v>
      </c>
      <c r="BF364" s="20"/>
      <c r="BG364" s="54">
        <f t="shared" si="110"/>
        <v>103592.85644506956</v>
      </c>
      <c r="BH364" s="54">
        <f t="shared" si="111"/>
        <v>66785.087800014371</v>
      </c>
      <c r="BI364" s="54">
        <f t="shared" si="112"/>
        <v>93849.809502664226</v>
      </c>
      <c r="BJ364" s="20"/>
    </row>
    <row r="365" spans="37:62" x14ac:dyDescent="0.3">
      <c r="AK365">
        <v>361</v>
      </c>
      <c r="AL365">
        <v>180.5</v>
      </c>
      <c r="AN365" s="48">
        <f t="shared" si="113"/>
        <v>-76211.149931180727</v>
      </c>
      <c r="AO365" s="48">
        <f t="shared" si="114"/>
        <v>45765.222041112676</v>
      </c>
      <c r="AP365" s="20"/>
      <c r="AQ365" s="50">
        <f t="shared" si="115"/>
        <v>-307.93048687433122</v>
      </c>
      <c r="AR365" s="50">
        <f t="shared" si="116"/>
        <v>-1140.2429217837664</v>
      </c>
      <c r="AS365" s="20"/>
      <c r="AT365" s="52">
        <f t="shared" si="117"/>
        <v>123.01561326337713</v>
      </c>
      <c r="AU365" s="52">
        <f t="shared" si="118"/>
        <v>-77.292969098928239</v>
      </c>
      <c r="AV365" s="20"/>
      <c r="AW365" s="20"/>
      <c r="AX365" s="20">
        <f t="shared" si="104"/>
        <v>44.754242910067866</v>
      </c>
      <c r="AY365" s="20">
        <f t="shared" si="105"/>
        <v>-17.799714933878278</v>
      </c>
      <c r="AZ365" s="20"/>
      <c r="BA365" s="20">
        <f t="shared" si="106"/>
        <v>33.57828521339372</v>
      </c>
      <c r="BB365" s="20">
        <f t="shared" si="107"/>
        <v>-21.364708387697824</v>
      </c>
      <c r="BC365" s="20"/>
      <c r="BD365" s="20">
        <f t="shared" si="108"/>
        <v>44.683085139915548</v>
      </c>
      <c r="BE365" s="20">
        <f t="shared" si="109"/>
        <v>-38.12854577735213</v>
      </c>
      <c r="BF365" s="20"/>
      <c r="BG365" s="54">
        <f t="shared" si="110"/>
        <v>103541.35690117159</v>
      </c>
      <c r="BH365" s="54">
        <f t="shared" si="111"/>
        <v>66624.653726948338</v>
      </c>
      <c r="BI365" s="54">
        <f t="shared" si="112"/>
        <v>93613.247375715073</v>
      </c>
      <c r="BJ365" s="20"/>
    </row>
    <row r="366" spans="37:62" x14ac:dyDescent="0.3">
      <c r="AK366">
        <v>362</v>
      </c>
      <c r="AL366">
        <v>181</v>
      </c>
      <c r="AN366" s="48">
        <f t="shared" si="113"/>
        <v>-76349.738222959975</v>
      </c>
      <c r="AO366" s="48">
        <f t="shared" si="114"/>
        <v>45185.438959083425</v>
      </c>
      <c r="AP366" s="20"/>
      <c r="AQ366" s="50">
        <f t="shared" si="115"/>
        <v>-246.42268024264266</v>
      </c>
      <c r="AR366" s="50">
        <f t="shared" si="116"/>
        <v>-1178.8894063332305</v>
      </c>
      <c r="AS366" s="20"/>
      <c r="AT366" s="52">
        <f t="shared" si="117"/>
        <v>124.03153415064679</v>
      </c>
      <c r="AU366" s="52">
        <f t="shared" si="118"/>
        <v>-76.860265273024112</v>
      </c>
      <c r="AV366" s="20"/>
      <c r="AW366" s="20"/>
      <c r="AX366" s="20">
        <f t="shared" si="104"/>
        <v>44.926707878435685</v>
      </c>
      <c r="AY366" s="20">
        <f t="shared" si="105"/>
        <v>-17.572260585362979</v>
      </c>
      <c r="AZ366" s="20"/>
      <c r="BA366" s="20">
        <f t="shared" si="106"/>
        <v>33.950432726948847</v>
      </c>
      <c r="BB366" s="20">
        <f t="shared" si="107"/>
        <v>-21.199049294993838</v>
      </c>
      <c r="BC366" s="20"/>
      <c r="BD366" s="20">
        <f t="shared" si="108"/>
        <v>45.154393545262245</v>
      </c>
      <c r="BE366" s="20">
        <f t="shared" si="109"/>
        <v>-38.088955392667302</v>
      </c>
      <c r="BF366" s="20"/>
      <c r="BG366" s="54">
        <f t="shared" si="110"/>
        <v>103457.54861377548</v>
      </c>
      <c r="BH366" s="54">
        <f t="shared" si="111"/>
        <v>66432.733742783021</v>
      </c>
      <c r="BI366" s="54">
        <f t="shared" si="112"/>
        <v>93343.838613924978</v>
      </c>
      <c r="BJ366" s="20"/>
    </row>
    <row r="367" spans="37:62" x14ac:dyDescent="0.3">
      <c r="AK367">
        <v>363</v>
      </c>
      <c r="AL367">
        <v>181.5</v>
      </c>
      <c r="AN367" s="48">
        <f t="shared" si="113"/>
        <v>-76457.445621312479</v>
      </c>
      <c r="AO367" s="48">
        <f t="shared" si="114"/>
        <v>44586.386722757685</v>
      </c>
      <c r="AP367" s="20"/>
      <c r="AQ367" s="50">
        <f t="shared" si="115"/>
        <v>-184.40691316731926</v>
      </c>
      <c r="AR367" s="50">
        <f t="shared" si="116"/>
        <v>-1217.3195389697426</v>
      </c>
      <c r="AS367" s="20"/>
      <c r="AT367" s="52">
        <f t="shared" si="117"/>
        <v>125.14444928959378</v>
      </c>
      <c r="AU367" s="52">
        <f t="shared" si="118"/>
        <v>-76.472845338461909</v>
      </c>
      <c r="AV367" s="20"/>
      <c r="AW367" s="20"/>
      <c r="AX367" s="20">
        <f t="shared" si="104"/>
        <v>45.127382755072809</v>
      </c>
      <c r="AY367" s="20">
        <f t="shared" si="105"/>
        <v>-17.350776374600038</v>
      </c>
      <c r="AZ367" s="20"/>
      <c r="BA367" s="20">
        <f t="shared" si="106"/>
        <v>34.357150970940573</v>
      </c>
      <c r="BB367" s="20">
        <f t="shared" si="107"/>
        <v>-21.047528755437444</v>
      </c>
      <c r="BC367" s="20"/>
      <c r="BD367" s="20">
        <f t="shared" si="108"/>
        <v>45.659915563580398</v>
      </c>
      <c r="BE367" s="20">
        <f t="shared" si="109"/>
        <v>-38.074540208424423</v>
      </c>
      <c r="BF367" s="20"/>
      <c r="BG367" s="54">
        <f t="shared" si="110"/>
        <v>103341.37068927618</v>
      </c>
      <c r="BH367" s="54">
        <f t="shared" si="111"/>
        <v>66209.223772972939</v>
      </c>
      <c r="BI367" s="54">
        <f t="shared" si="112"/>
        <v>93041.410228977402</v>
      </c>
      <c r="BJ367" s="20"/>
    </row>
    <row r="368" spans="37:62" x14ac:dyDescent="0.3">
      <c r="AK368">
        <v>364</v>
      </c>
      <c r="AL368">
        <v>182</v>
      </c>
      <c r="AN368" s="48">
        <f t="shared" si="113"/>
        <v>-76534.006021734953</v>
      </c>
      <c r="AO368" s="48">
        <f t="shared" si="114"/>
        <v>43968.167847605509</v>
      </c>
      <c r="AP368" s="20"/>
      <c r="AQ368" s="50">
        <f t="shared" si="115"/>
        <v>-121.83468852252237</v>
      </c>
      <c r="AR368" s="50">
        <f t="shared" si="116"/>
        <v>-1255.5559616389735</v>
      </c>
      <c r="AS368" s="20"/>
      <c r="AT368" s="52">
        <f t="shared" si="117"/>
        <v>126.35839079356619</v>
      </c>
      <c r="AU368" s="52">
        <f t="shared" si="118"/>
        <v>-76.129736637026951</v>
      </c>
      <c r="AV368" s="20"/>
      <c r="AW368" s="20"/>
      <c r="AX368" s="20">
        <f t="shared" si="104"/>
        <v>45.356811676491589</v>
      </c>
      <c r="AY368" s="20">
        <f t="shared" si="105"/>
        <v>-17.134685375826081</v>
      </c>
      <c r="AZ368" s="20"/>
      <c r="BA368" s="20">
        <f t="shared" si="106"/>
        <v>34.800211823213139</v>
      </c>
      <c r="BB368" s="20">
        <f t="shared" si="107"/>
        <v>-20.909528963658833</v>
      </c>
      <c r="BC368" s="20"/>
      <c r="BD368" s="20">
        <f t="shared" si="108"/>
        <v>46.201367293861452</v>
      </c>
      <c r="BE368" s="20">
        <f t="shared" si="109"/>
        <v>-38.085522297542042</v>
      </c>
      <c r="BF368" s="20"/>
      <c r="BG368" s="54">
        <f t="shared" si="110"/>
        <v>103192.73998089928</v>
      </c>
      <c r="BH368" s="54">
        <f t="shared" si="111"/>
        <v>65954.001120391971</v>
      </c>
      <c r="BI368" s="54">
        <f t="shared" si="112"/>
        <v>92705.764852143839</v>
      </c>
      <c r="BJ368" s="20"/>
    </row>
    <row r="369" spans="37:62" x14ac:dyDescent="0.3">
      <c r="AK369">
        <v>365</v>
      </c>
      <c r="AL369">
        <v>182.5</v>
      </c>
      <c r="AN369" s="48">
        <f t="shared" si="113"/>
        <v>-76579.128567147025</v>
      </c>
      <c r="AO369" s="48">
        <f t="shared" si="114"/>
        <v>43330.873649706395</v>
      </c>
      <c r="AP369" s="20"/>
      <c r="AQ369" s="50">
        <f t="shared" si="115"/>
        <v>-58.655493125739277</v>
      </c>
      <c r="AR369" s="50">
        <f t="shared" si="116"/>
        <v>-1293.6208299574869</v>
      </c>
      <c r="AS369" s="20"/>
      <c r="AT369" s="52">
        <f t="shared" si="117"/>
        <v>127.67787441009054</v>
      </c>
      <c r="AU369" s="52">
        <f t="shared" si="118"/>
        <v>-75.830088994611828</v>
      </c>
      <c r="AV369" s="20"/>
      <c r="AW369" s="20"/>
      <c r="AX369" s="20">
        <f t="shared" si="104"/>
        <v>45.615641848313615</v>
      </c>
      <c r="AY369" s="20">
        <f t="shared" si="105"/>
        <v>-16.92341113205249</v>
      </c>
      <c r="AZ369" s="20"/>
      <c r="BA369" s="20">
        <f t="shared" si="106"/>
        <v>35.281595597488185</v>
      </c>
      <c r="BB369" s="20">
        <f t="shared" si="107"/>
        <v>-20.78445594340149</v>
      </c>
      <c r="BC369" s="20"/>
      <c r="BD369" s="20">
        <f t="shared" si="108"/>
        <v>46.780636964288739</v>
      </c>
      <c r="BE369" s="20">
        <f t="shared" si="109"/>
        <v>-38.122221919157859</v>
      </c>
      <c r="BF369" s="20"/>
      <c r="BG369" s="54">
        <f t="shared" si="110"/>
        <v>103011.55071782357</v>
      </c>
      <c r="BH369" s="54">
        <f t="shared" si="111"/>
        <v>65666.924152654232</v>
      </c>
      <c r="BI369" s="54">
        <f t="shared" si="112"/>
        <v>92336.679966144409</v>
      </c>
      <c r="BJ369" s="20"/>
    </row>
    <row r="370" spans="37:62" x14ac:dyDescent="0.3">
      <c r="AK370">
        <v>366</v>
      </c>
      <c r="AL370">
        <v>183</v>
      </c>
      <c r="AN370" s="48">
        <f t="shared" si="113"/>
        <v>-76592.496579408631</v>
      </c>
      <c r="AO370" s="48">
        <f t="shared" si="114"/>
        <v>42674.584473603318</v>
      </c>
      <c r="AP370" s="20"/>
      <c r="AQ370" s="50">
        <f t="shared" si="115"/>
        <v>5.1834440793059926</v>
      </c>
      <c r="AR370" s="50">
        <f t="shared" si="116"/>
        <v>-1331.5358744547927</v>
      </c>
      <c r="AS370" s="20"/>
      <c r="AT370" s="52">
        <f t="shared" si="117"/>
        <v>129.10794361626682</v>
      </c>
      <c r="AU370" s="52">
        <f t="shared" si="118"/>
        <v>-75.573166761134303</v>
      </c>
      <c r="AV370" s="20"/>
      <c r="AW370" s="20"/>
      <c r="AX370" s="20">
        <f t="shared" si="104"/>
        <v>45.904628449191463</v>
      </c>
      <c r="AY370" s="20">
        <f t="shared" si="105"/>
        <v>-16.716373303262067</v>
      </c>
      <c r="AZ370" s="20"/>
      <c r="BA370" s="20">
        <f t="shared" si="106"/>
        <v>35.80351278325449</v>
      </c>
      <c r="BB370" s="20">
        <f t="shared" si="107"/>
        <v>-20.67173165344758</v>
      </c>
      <c r="BC370" s="20"/>
      <c r="BD370" s="20">
        <f t="shared" si="108"/>
        <v>47.399802383820855</v>
      </c>
      <c r="BE370" s="20">
        <f t="shared" si="109"/>
        <v>-38.185061804424663</v>
      </c>
      <c r="BF370" s="20"/>
      <c r="BG370" s="54">
        <f t="shared" si="110"/>
        <v>102797.67404145739</v>
      </c>
      <c r="BH370" s="54">
        <f t="shared" si="111"/>
        <v>65347.831942712663</v>
      </c>
      <c r="BI370" s="54">
        <f t="shared" si="112"/>
        <v>91933.907023880165</v>
      </c>
      <c r="BJ370" s="20"/>
    </row>
    <row r="371" spans="37:62" x14ac:dyDescent="0.3">
      <c r="AK371">
        <v>367</v>
      </c>
      <c r="AL371">
        <v>183.5</v>
      </c>
      <c r="AN371" s="48">
        <f t="shared" si="113"/>
        <v>-76573.766364416952</v>
      </c>
      <c r="AO371" s="48">
        <f t="shared" si="114"/>
        <v>41999.369890530776</v>
      </c>
      <c r="AP371" s="20"/>
      <c r="AQ371" s="50">
        <f t="shared" si="115"/>
        <v>69.737415887439397</v>
      </c>
      <c r="AR371" s="50">
        <f t="shared" si="116"/>
        <v>-1369.32245783536</v>
      </c>
      <c r="AS371" s="20"/>
      <c r="AT371" s="52">
        <f t="shared" si="117"/>
        <v>130.65422034339218</v>
      </c>
      <c r="AU371" s="52">
        <f t="shared" si="118"/>
        <v>-75.358341117337147</v>
      </c>
      <c r="AV371" s="20"/>
      <c r="AW371" s="20"/>
      <c r="AX371" s="20">
        <f t="shared" si="104"/>
        <v>46.22464051581062</v>
      </c>
      <c r="AY371" s="20">
        <f t="shared" si="105"/>
        <v>-16.512983093091297</v>
      </c>
      <c r="AZ371" s="20"/>
      <c r="BA371" s="20">
        <f t="shared" si="106"/>
        <v>36.368429042243314</v>
      </c>
      <c r="BB371" s="20">
        <f t="shared" si="107"/>
        <v>-20.570785507967113</v>
      </c>
      <c r="BC371" s="20"/>
      <c r="BD371" s="20">
        <f t="shared" si="108"/>
        <v>48.061150785338249</v>
      </c>
      <c r="BE371" s="20">
        <f t="shared" si="109"/>
        <v>-38.274572516278745</v>
      </c>
      <c r="BF371" s="20"/>
      <c r="BG371" s="54">
        <f t="shared" si="110"/>
        <v>102550.95744386131</v>
      </c>
      <c r="BH371" s="54">
        <f t="shared" si="111"/>
        <v>64996.543862321188</v>
      </c>
      <c r="BI371" s="54">
        <f t="shared" si="112"/>
        <v>91497.170445351425</v>
      </c>
      <c r="BJ371" s="20"/>
    </row>
    <row r="372" spans="37:62" x14ac:dyDescent="0.3">
      <c r="AK372">
        <v>368</v>
      </c>
      <c r="AL372">
        <v>184</v>
      </c>
      <c r="AN372" s="48">
        <f t="shared" si="113"/>
        <v>-76522.565878930312</v>
      </c>
      <c r="AO372" s="48">
        <f t="shared" si="114"/>
        <v>41305.288868973432</v>
      </c>
      <c r="AP372" s="20"/>
      <c r="AQ372" s="50">
        <f t="shared" si="115"/>
        <v>135.06452605913549</v>
      </c>
      <c r="AR372" s="50">
        <f t="shared" si="116"/>
        <v>-1407.0016283940286</v>
      </c>
      <c r="AS372" s="20"/>
      <c r="AT372" s="52">
        <f t="shared" si="117"/>
        <v>132.32296330541345</v>
      </c>
      <c r="AU372" s="52">
        <f t="shared" si="118"/>
        <v>-75.185082444255187</v>
      </c>
      <c r="AV372" s="20"/>
      <c r="AW372" s="20"/>
      <c r="AX372" s="20">
        <f t="shared" si="104"/>
        <v>46.576667897793904</v>
      </c>
      <c r="AY372" s="20">
        <f t="shared" si="105"/>
        <v>-16.312638381517235</v>
      </c>
      <c r="AZ372" s="20"/>
      <c r="BA372" s="20">
        <f t="shared" si="106"/>
        <v>36.979093978075667</v>
      </c>
      <c r="BB372" s="20">
        <f t="shared" si="107"/>
        <v>-20.481045067490541</v>
      </c>
      <c r="BC372" s="20"/>
      <c r="BD372" s="20">
        <f t="shared" si="108"/>
        <v>48.767201429543888</v>
      </c>
      <c r="BE372" s="20">
        <f t="shared" si="109"/>
        <v>-38.391398995247421</v>
      </c>
      <c r="BF372" s="20"/>
      <c r="BG372" s="54">
        <f t="shared" si="110"/>
        <v>102271.22410222329</v>
      </c>
      <c r="BH372" s="54">
        <f t="shared" si="111"/>
        <v>64612.859128101496</v>
      </c>
      <c r="BI372" s="54">
        <f t="shared" si="112"/>
        <v>91026.166482635483</v>
      </c>
      <c r="BJ372" s="20"/>
    </row>
    <row r="373" spans="37:62" x14ac:dyDescent="0.3">
      <c r="AK373">
        <v>369</v>
      </c>
      <c r="AL373">
        <v>184.5</v>
      </c>
      <c r="AN373" s="48">
        <f t="shared" si="113"/>
        <v>-76438.493245487567</v>
      </c>
      <c r="AO373" s="48">
        <f t="shared" si="114"/>
        <v>40592.389919470879</v>
      </c>
      <c r="AP373" s="20"/>
      <c r="AQ373" s="50">
        <f t="shared" si="115"/>
        <v>201.22600771184221</v>
      </c>
      <c r="AR373" s="50">
        <f t="shared" si="116"/>
        <v>-1444.5941696161563</v>
      </c>
      <c r="AS373" s="20"/>
      <c r="AT373" s="52">
        <f t="shared" si="117"/>
        <v>134.12113508991811</v>
      </c>
      <c r="AU373" s="52">
        <f t="shared" si="118"/>
        <v>-75.052952522770852</v>
      </c>
      <c r="AV373" s="20"/>
      <c r="AW373" s="20"/>
      <c r="AX373" s="20">
        <f t="shared" si="104"/>
        <v>46.96182939025303</v>
      </c>
      <c r="AY373" s="20">
        <f t="shared" si="105"/>
        <v>-16.114718482359088</v>
      </c>
      <c r="AZ373" s="20"/>
      <c r="BA373" s="20">
        <f t="shared" si="106"/>
        <v>37.638574293437358</v>
      </c>
      <c r="BB373" s="20">
        <f t="shared" si="107"/>
        <v>-20.401925611114205</v>
      </c>
      <c r="BC373" s="20"/>
      <c r="BD373" s="20">
        <f t="shared" si="108"/>
        <v>49.520731406227718</v>
      </c>
      <c r="BE373" s="20">
        <f t="shared" si="109"/>
        <v>-38.536308429297556</v>
      </c>
      <c r="BF373" s="20"/>
      <c r="BG373" s="54">
        <f t="shared" si="110"/>
        <v>101958.27210208228</v>
      </c>
      <c r="BH373" s="54">
        <f t="shared" si="111"/>
        <v>64196.556300208882</v>
      </c>
      <c r="BI373" s="54">
        <f t="shared" si="112"/>
        <v>90520.561941163731</v>
      </c>
      <c r="BJ373" s="20"/>
    </row>
    <row r="374" spans="37:62" x14ac:dyDescent="0.3">
      <c r="AK374">
        <v>370</v>
      </c>
      <c r="AL374">
        <v>185</v>
      </c>
      <c r="AN374" s="48">
        <f t="shared" si="113"/>
        <v>-76321.11509974541</v>
      </c>
      <c r="AO374" s="48">
        <f t="shared" si="114"/>
        <v>39860.711215597454</v>
      </c>
      <c r="AP374" s="20"/>
      <c r="AQ374" s="50">
        <f t="shared" si="115"/>
        <v>268.28657525680126</v>
      </c>
      <c r="AR374" s="50">
        <f t="shared" si="116"/>
        <v>-1482.1206458775416</v>
      </c>
      <c r="AS374" s="20"/>
      <c r="AT374" s="52">
        <f t="shared" si="117"/>
        <v>136.0564793916551</v>
      </c>
      <c r="AU374" s="52">
        <f t="shared" si="118"/>
        <v>-74.96159629071802</v>
      </c>
      <c r="AV374" s="20"/>
      <c r="AW374" s="20"/>
      <c r="AX374" s="20">
        <f t="shared" si="104"/>
        <v>47.381382173432584</v>
      </c>
      <c r="AY374" s="20">
        <f t="shared" si="105"/>
        <v>-15.918578433425568</v>
      </c>
      <c r="AZ374" s="20"/>
      <c r="BA374" s="20">
        <f t="shared" si="106"/>
        <v>38.350292067338891</v>
      </c>
      <c r="BB374" s="20">
        <f t="shared" si="107"/>
        <v>-20.332818241054341</v>
      </c>
      <c r="BC374" s="20"/>
      <c r="BD374" s="20">
        <f t="shared" si="108"/>
        <v>50.324805150883648</v>
      </c>
      <c r="BE374" s="20">
        <f t="shared" si="109"/>
        <v>-38.710199616238114</v>
      </c>
      <c r="BF374" s="20"/>
      <c r="BG374" s="54">
        <f t="shared" si="110"/>
        <v>101611.87354063352</v>
      </c>
      <c r="BH374" s="54">
        <f t="shared" si="111"/>
        <v>63747.39273397837</v>
      </c>
      <c r="BI374" s="54">
        <f t="shared" si="112"/>
        <v>89979.992743677823</v>
      </c>
      <c r="BJ374" s="20"/>
    </row>
    <row r="375" spans="37:62" x14ac:dyDescent="0.3">
      <c r="AK375">
        <v>371</v>
      </c>
      <c r="AL375">
        <v>185.5</v>
      </c>
      <c r="AN375" s="48">
        <f t="shared" si="113"/>
        <v>-76169.96475219306</v>
      </c>
      <c r="AO375" s="48">
        <f t="shared" si="114"/>
        <v>39110.280693122346</v>
      </c>
      <c r="AP375" s="20"/>
      <c r="AQ375" s="50">
        <f t="shared" si="115"/>
        <v>336.31481495262881</v>
      </c>
      <c r="AR375" s="50">
        <f t="shared" si="116"/>
        <v>-1519.6014440229005</v>
      </c>
      <c r="AS375" s="20"/>
      <c r="AT375" s="52">
        <f t="shared" si="117"/>
        <v>138.13761003580726</v>
      </c>
      <c r="AU375" s="52">
        <f t="shared" si="118"/>
        <v>-74.910732830471801</v>
      </c>
      <c r="AV375" s="20"/>
      <c r="AW375" s="20"/>
      <c r="AX375" s="20">
        <f t="shared" si="104"/>
        <v>47.836732713999154</v>
      </c>
      <c r="AY375" s="20">
        <f t="shared" si="105"/>
        <v>-15.723542713442651</v>
      </c>
      <c r="AZ375" s="20"/>
      <c r="BA375" s="20">
        <f t="shared" si="106"/>
        <v>39.118069028413075</v>
      </c>
      <c r="BB375" s="20">
        <f t="shared" si="107"/>
        <v>-20.273076093493192</v>
      </c>
      <c r="BC375" s="20"/>
      <c r="BD375" s="20">
        <f t="shared" si="108"/>
        <v>51.182808293395027</v>
      </c>
      <c r="BE375" s="20">
        <f t="shared" si="109"/>
        <v>-38.914114023535952</v>
      </c>
      <c r="BF375" s="20"/>
      <c r="BG375" s="54">
        <f t="shared" si="110"/>
        <v>101231.77349990486</v>
      </c>
      <c r="BH375" s="54">
        <f t="shared" si="111"/>
        <v>63265.103985490947</v>
      </c>
      <c r="BI375" s="54">
        <f t="shared" si="112"/>
        <v>89404.062321109843</v>
      </c>
      <c r="BJ375" s="20"/>
    </row>
    <row r="376" spans="37:62" x14ac:dyDescent="0.3">
      <c r="AK376">
        <v>372</v>
      </c>
      <c r="AL376">
        <v>186</v>
      </c>
      <c r="AN376" s="48">
        <f t="shared" si="113"/>
        <v>-75984.540143462262</v>
      </c>
      <c r="AO376" s="48">
        <f t="shared" si="114"/>
        <v>38341.116129507085</v>
      </c>
      <c r="AP376" s="20"/>
      <c r="AQ376" s="50">
        <f t="shared" si="115"/>
        <v>405.38361997053244</v>
      </c>
      <c r="AR376" s="50">
        <f t="shared" si="116"/>
        <v>-1557.0568104381364</v>
      </c>
      <c r="AS376" s="20"/>
      <c r="AT376" s="52">
        <f t="shared" si="117"/>
        <v>140.37411376224551</v>
      </c>
      <c r="AU376" s="52">
        <f t="shared" si="118"/>
        <v>-74.900145186710802</v>
      </c>
      <c r="AV376" s="20"/>
      <c r="AW376" s="20"/>
      <c r="AX376" s="20">
        <f t="shared" si="104"/>
        <v>48.329449311840037</v>
      </c>
      <c r="AY376" s="20">
        <f t="shared" si="105"/>
        <v>-15.528898262926239</v>
      </c>
      <c r="AZ376" s="20"/>
      <c r="BA376" s="20">
        <f t="shared" si="106"/>
        <v>39.946177874743846</v>
      </c>
      <c r="BB376" s="20">
        <f t="shared" si="107"/>
        <v>-20.221998129786694</v>
      </c>
      <c r="BC376" s="20"/>
      <c r="BD376" s="20">
        <f t="shared" si="108"/>
        <v>52.098486575661632</v>
      </c>
      <c r="BE376" s="20">
        <f t="shared" si="109"/>
        <v>-39.14924879399787</v>
      </c>
      <c r="BF376" s="20"/>
      <c r="BG376" s="54">
        <f t="shared" si="110"/>
        <v>100817.68887782372</v>
      </c>
      <c r="BH376" s="54">
        <f t="shared" si="111"/>
        <v>62749.403172788378</v>
      </c>
      <c r="BI376" s="54">
        <f t="shared" si="112"/>
        <v>88792.339812172795</v>
      </c>
      <c r="BJ376" s="20"/>
    </row>
    <row r="377" spans="37:62" x14ac:dyDescent="0.3">
      <c r="AK377">
        <v>373</v>
      </c>
      <c r="AL377">
        <v>186.5</v>
      </c>
      <c r="AN377" s="48">
        <f t="shared" si="113"/>
        <v>-75764.301569256713</v>
      </c>
      <c r="AO377" s="48">
        <f t="shared" si="114"/>
        <v>37553.225206139679</v>
      </c>
      <c r="AP377" s="20"/>
      <c r="AQ377" s="50">
        <f t="shared" si="115"/>
        <v>475.57067685165521</v>
      </c>
      <c r="AR377" s="50">
        <f t="shared" si="116"/>
        <v>-1594.5068830314917</v>
      </c>
      <c r="AS377" s="20"/>
      <c r="AT377" s="52">
        <f t="shared" si="117"/>
        <v>142.77666913651908</v>
      </c>
      <c r="AU377" s="52">
        <f t="shared" si="118"/>
        <v>-74.929668516539834</v>
      </c>
      <c r="AV377" s="20"/>
      <c r="AW377" s="20"/>
      <c r="AX377" s="20">
        <f t="shared" si="104"/>
        <v>48.861276510705636</v>
      </c>
      <c r="AY377" s="20">
        <f t="shared" si="105"/>
        <v>-15.333886665207123</v>
      </c>
      <c r="AZ377" s="20"/>
      <c r="BA377" s="20">
        <f t="shared" si="106"/>
        <v>40.839401903848326</v>
      </c>
      <c r="BB377" s="20">
        <f t="shared" si="107"/>
        <v>-20.178809852809948</v>
      </c>
      <c r="BC377" s="20"/>
      <c r="BD377" s="20">
        <f t="shared" si="108"/>
        <v>53.075990721965105</v>
      </c>
      <c r="BE377" s="20">
        <f t="shared" si="109"/>
        <v>-39.416971998522762</v>
      </c>
      <c r="BF377" s="20"/>
      <c r="BG377" s="54">
        <f t="shared" si="110"/>
        <v>100369.30706315798</v>
      </c>
      <c r="BH377" s="54">
        <f t="shared" si="111"/>
        <v>62199.980295553614</v>
      </c>
      <c r="BI377" s="54">
        <f t="shared" si="112"/>
        <v>88144.358050597555</v>
      </c>
      <c r="BJ377" s="20"/>
    </row>
    <row r="378" spans="37:62" x14ac:dyDescent="0.3">
      <c r="AK378">
        <v>374</v>
      </c>
      <c r="AL378">
        <v>187</v>
      </c>
      <c r="AN378" s="48">
        <f t="shared" si="113"/>
        <v>-75508.669147188819</v>
      </c>
      <c r="AO378" s="48">
        <f t="shared" si="114"/>
        <v>36746.605556059367</v>
      </c>
      <c r="AP378" s="20"/>
      <c r="AQ378" s="50">
        <f t="shared" si="115"/>
        <v>546.95901141991476</v>
      </c>
      <c r="AR378" s="50">
        <f t="shared" si="116"/>
        <v>-1631.9717172897617</v>
      </c>
      <c r="AS378" s="20"/>
      <c r="AT378" s="52">
        <f t="shared" si="117"/>
        <v>145.35718443576607</v>
      </c>
      <c r="AU378" s="52">
        <f t="shared" si="118"/>
        <v>-74.99917594494535</v>
      </c>
      <c r="AV378" s="20"/>
      <c r="AW378" s="20"/>
      <c r="AX378" s="20">
        <f t="shared" si="104"/>
        <v>49.434151631855293</v>
      </c>
      <c r="AY378" s="20">
        <f t="shared" si="105"/>
        <v>-15.137695317973709</v>
      </c>
      <c r="AZ378" s="20"/>
      <c r="BA378" s="20">
        <f t="shared" si="106"/>
        <v>41.803104477625595</v>
      </c>
      <c r="BB378" s="20">
        <f t="shared" si="107"/>
        <v>-20.142640125581458</v>
      </c>
      <c r="BC378" s="20"/>
      <c r="BD378" s="20">
        <f t="shared" si="108"/>
        <v>54.119928326285191</v>
      </c>
      <c r="BE378" s="20">
        <f t="shared" si="109"/>
        <v>-39.718840501390183</v>
      </c>
      <c r="BF378" s="20"/>
      <c r="BG378" s="54">
        <f t="shared" si="110"/>
        <v>99886.284437949245</v>
      </c>
      <c r="BH378" s="54">
        <f t="shared" si="111"/>
        <v>61616.501517560195</v>
      </c>
      <c r="BI378" s="54">
        <f t="shared" si="112"/>
        <v>87459.611315636037</v>
      </c>
      <c r="BJ378" s="20"/>
    </row>
    <row r="379" spans="37:62" x14ac:dyDescent="0.3">
      <c r="AK379">
        <v>375</v>
      </c>
      <c r="AL379">
        <v>187.5</v>
      </c>
      <c r="AN379" s="48">
        <f t="shared" si="113"/>
        <v>-75217.019993424386</v>
      </c>
      <c r="AO379" s="48">
        <f t="shared" si="114"/>
        <v>35921.244800421366</v>
      </c>
      <c r="AP379" s="20"/>
      <c r="AQ379" s="50">
        <f t="shared" si="115"/>
        <v>619.63760363779784</v>
      </c>
      <c r="AR379" s="50">
        <f t="shared" si="116"/>
        <v>-1669.4713052622344</v>
      </c>
      <c r="AS379" s="20"/>
      <c r="AT379" s="52">
        <f t="shared" si="117"/>
        <v>148.12895795003465</v>
      </c>
      <c r="AU379" s="52">
        <f t="shared" si="118"/>
        <v>-75.108561327460649</v>
      </c>
      <c r="AV379" s="20"/>
      <c r="AW379" s="20"/>
      <c r="AX379" s="20">
        <f t="shared" si="104"/>
        <v>50.050223738499653</v>
      </c>
      <c r="AY379" s="20">
        <f t="shared" si="105"/>
        <v>-14.939447393816728</v>
      </c>
      <c r="AZ379" s="20"/>
      <c r="BA379" s="20">
        <f t="shared" si="106"/>
        <v>42.843310168198464</v>
      </c>
      <c r="BB379" s="20">
        <f t="shared" si="107"/>
        <v>-20.112493051282126</v>
      </c>
      <c r="BC379" s="20"/>
      <c r="BD379" s="20">
        <f t="shared" si="108"/>
        <v>55.235424043336529</v>
      </c>
      <c r="BE379" s="20">
        <f t="shared" si="109"/>
        <v>-40.056620882361806</v>
      </c>
      <c r="BF379" s="20"/>
      <c r="BG379" s="54">
        <f t="shared" si="110"/>
        <v>99368.244688298975</v>
      </c>
      <c r="BH379" s="54">
        <f t="shared" si="111"/>
        <v>60998.608418205738</v>
      </c>
      <c r="BI379" s="54">
        <f t="shared" si="112"/>
        <v>86737.552817573771</v>
      </c>
      <c r="BJ379" s="20"/>
    </row>
    <row r="380" spans="37:62" x14ac:dyDescent="0.3">
      <c r="AK380">
        <v>376</v>
      </c>
      <c r="AL380">
        <v>188</v>
      </c>
      <c r="AN380" s="48">
        <f t="shared" si="113"/>
        <v>-74888.685071861735</v>
      </c>
      <c r="AO380" s="48">
        <f t="shared" si="114"/>
        <v>35077.120577624315</v>
      </c>
      <c r="AP380" s="20"/>
      <c r="AQ380" s="50">
        <f t="shared" si="115"/>
        <v>693.70208261281516</v>
      </c>
      <c r="AR380" s="50">
        <f t="shared" si="116"/>
        <v>-1707.0255859259648</v>
      </c>
      <c r="AS380" s="20"/>
      <c r="AT380" s="52">
        <f t="shared" si="117"/>
        <v>151.10686486973279</v>
      </c>
      <c r="AU380" s="52">
        <f t="shared" si="118"/>
        <v>-75.257717895175546</v>
      </c>
      <c r="AV380" s="20"/>
      <c r="AW380" s="20"/>
      <c r="AX380" s="20">
        <f t="shared" si="104"/>
        <v>50.711875397063288</v>
      </c>
      <c r="AY380" s="20">
        <f t="shared" si="105"/>
        <v>-14.738190348861535</v>
      </c>
      <c r="AZ380" s="20"/>
      <c r="BA380" s="20">
        <f t="shared" si="106"/>
        <v>43.966799826691158</v>
      </c>
      <c r="BB380" s="20">
        <f t="shared" si="107"/>
        <v>-20.08721358915237</v>
      </c>
      <c r="BC380" s="20"/>
      <c r="BD380" s="20">
        <f t="shared" si="108"/>
        <v>56.428189645978343</v>
      </c>
      <c r="BE380" s="20">
        <f t="shared" si="109"/>
        <v>-40.432313957161639</v>
      </c>
      <c r="BF380" s="20"/>
      <c r="BG380" s="54">
        <f t="shared" si="110"/>
        <v>98814.77690112844</v>
      </c>
      <c r="BH380" s="54">
        <f t="shared" si="111"/>
        <v>60345.917222151213</v>
      </c>
      <c r="BI380" s="54">
        <f t="shared" si="112"/>
        <v>85977.591885443006</v>
      </c>
      <c r="BJ380" s="20"/>
    </row>
    <row r="381" spans="37:62" x14ac:dyDescent="0.3">
      <c r="AK381">
        <v>377</v>
      </c>
      <c r="AL381">
        <v>188.5</v>
      </c>
      <c r="AN381" s="48">
        <f t="shared" si="113"/>
        <v>-74522.945672446614</v>
      </c>
      <c r="AO381" s="48">
        <f t="shared" si="114"/>
        <v>34214.20056992444</v>
      </c>
      <c r="AP381" s="20"/>
      <c r="AQ381" s="50">
        <f t="shared" si="115"/>
        <v>769.25551504768157</v>
      </c>
      <c r="AR381" s="50">
        <f t="shared" si="116"/>
        <v>-1744.6544448735526</v>
      </c>
      <c r="AS381" s="20"/>
      <c r="AT381" s="52">
        <f t="shared" si="117"/>
        <v>154.30757583408462</v>
      </c>
      <c r="AU381" s="52">
        <f t="shared" si="118"/>
        <v>-75.446511456057124</v>
      </c>
      <c r="AV381" s="20"/>
      <c r="AW381" s="20"/>
      <c r="AX381" s="20">
        <f t="shared" si="104"/>
        <v>51.421747671478485</v>
      </c>
      <c r="AY381" s="20">
        <f t="shared" si="105"/>
        <v>-14.532882689799113</v>
      </c>
      <c r="AZ381" s="20"/>
      <c r="BA381" s="20">
        <f t="shared" si="106"/>
        <v>45.181222307273131</v>
      </c>
      <c r="BB381" s="20">
        <f t="shared" si="107"/>
        <v>-20.065445207512457</v>
      </c>
      <c r="BC381" s="20"/>
      <c r="BD381" s="20">
        <f t="shared" si="108"/>
        <v>57.704605855332986</v>
      </c>
      <c r="BE381" s="20">
        <f t="shared" si="109"/>
        <v>-40.848183558745546</v>
      </c>
      <c r="BF381" s="20"/>
      <c r="BG381" s="54">
        <f t="shared" si="110"/>
        <v>98225.433420710571</v>
      </c>
      <c r="BH381" s="54">
        <f t="shared" si="111"/>
        <v>59658.018019718809</v>
      </c>
      <c r="BI381" s="54">
        <f t="shared" si="112"/>
        <v>85179.090818760887</v>
      </c>
      <c r="BJ381" s="20"/>
    </row>
    <row r="382" spans="37:62" x14ac:dyDescent="0.3">
      <c r="AK382">
        <v>378</v>
      </c>
      <c r="AL382">
        <v>189</v>
      </c>
      <c r="AN382" s="48">
        <f t="shared" si="113"/>
        <v>-74119.029467943517</v>
      </c>
      <c r="AO382" s="48">
        <f t="shared" si="114"/>
        <v>33332.442533555659</v>
      </c>
      <c r="AP382" s="20"/>
      <c r="AQ382" s="50">
        <f t="shared" si="115"/>
        <v>846.40930296472391</v>
      </c>
      <c r="AR382" s="50">
        <f t="shared" si="116"/>
        <v>-1782.3777006015812</v>
      </c>
      <c r="AS382" s="20"/>
      <c r="AT382" s="52">
        <f t="shared" si="117"/>
        <v>157.74981333948458</v>
      </c>
      <c r="AU382" s="52">
        <f t="shared" si="118"/>
        <v>-75.674746425074375</v>
      </c>
      <c r="AV382" s="20"/>
      <c r="AW382" s="20"/>
      <c r="AX382" s="20">
        <f t="shared" si="104"/>
        <v>52.182768871622343</v>
      </c>
      <c r="AY382" s="20">
        <f t="shared" si="105"/>
        <v>-14.322378649018331</v>
      </c>
      <c r="AZ382" s="20"/>
      <c r="BA382" s="20">
        <f t="shared" si="106"/>
        <v>46.495226187487354</v>
      </c>
      <c r="BB382" s="20">
        <f t="shared" si="107"/>
        <v>-20.045577383216223</v>
      </c>
      <c r="BC382" s="20"/>
      <c r="BD382" s="20">
        <f t="shared" si="108"/>
        <v>59.071818280374892</v>
      </c>
      <c r="BE382" s="20">
        <f t="shared" si="109"/>
        <v>-41.306790392839829</v>
      </c>
      <c r="BF382" s="20"/>
      <c r="BG382" s="54">
        <f t="shared" si="110"/>
        <v>97599.727434235567</v>
      </c>
      <c r="BH382" s="54">
        <f t="shared" si="111"/>
        <v>58934.473995564054</v>
      </c>
      <c r="BI382" s="54">
        <f t="shared" si="112"/>
        <v>84341.36135876576</v>
      </c>
      <c r="BJ382" s="20"/>
    </row>
    <row r="383" spans="37:62" x14ac:dyDescent="0.3">
      <c r="AK383">
        <v>379</v>
      </c>
      <c r="AL383">
        <v>189.5</v>
      </c>
      <c r="AN383" s="48">
        <f t="shared" si="113"/>
        <v>-73676.106089793728</v>
      </c>
      <c r="AO383" s="48">
        <f t="shared" si="114"/>
        <v>32431.794339951735</v>
      </c>
      <c r="AP383" s="20"/>
      <c r="AQ383" s="50">
        <f t="shared" si="115"/>
        <v>925.28420963446615</v>
      </c>
      <c r="AR383" s="50">
        <f t="shared" si="116"/>
        <v>-1820.2150738141183</v>
      </c>
      <c r="AS383" s="20"/>
      <c r="AT383" s="52">
        <f t="shared" si="117"/>
        <v>161.45465361004645</v>
      </c>
      <c r="AU383" s="52">
        <f t="shared" si="118"/>
        <v>-75.942122418214382</v>
      </c>
      <c r="AV383" s="20"/>
      <c r="AW383" s="20"/>
      <c r="AX383" s="20">
        <f t="shared" si="104"/>
        <v>52.998187680383516</v>
      </c>
      <c r="AY383" s="20">
        <f t="shared" si="105"/>
        <v>-14.105410342002346</v>
      </c>
      <c r="AZ383" s="20"/>
      <c r="BA383" s="20">
        <f t="shared" si="106"/>
        <v>47.918615583924009</v>
      </c>
      <c r="BB383" s="20">
        <f t="shared" si="107"/>
        <v>-20.025680104954134</v>
      </c>
      <c r="BC383" s="20"/>
      <c r="BD383" s="20">
        <f t="shared" si="108"/>
        <v>60.537850345738924</v>
      </c>
      <c r="BE383" s="20">
        <f t="shared" si="109"/>
        <v>-41.811031971257904</v>
      </c>
      <c r="BF383" s="20"/>
      <c r="BG383" s="54">
        <f t="shared" si="110"/>
        <v>96937.13025026035</v>
      </c>
      <c r="BH383" s="54">
        <f t="shared" si="111"/>
        <v>58174.820689647873</v>
      </c>
      <c r="BI383" s="54">
        <f t="shared" si="112"/>
        <v>83463.660727073802</v>
      </c>
      <c r="BJ383" s="20"/>
    </row>
    <row r="384" spans="37:62" x14ac:dyDescent="0.3">
      <c r="AK384">
        <v>380</v>
      </c>
      <c r="AL384">
        <v>190</v>
      </c>
      <c r="AN384" s="48">
        <f t="shared" si="113"/>
        <v>-73193.282153275242</v>
      </c>
      <c r="AO384" s="48">
        <f t="shared" si="114"/>
        <v>31512.1940377424</v>
      </c>
      <c r="AP384" s="20"/>
      <c r="AQ384" s="50">
        <f t="shared" si="115"/>
        <v>1006.0115364394894</v>
      </c>
      <c r="AR384" s="50">
        <f t="shared" si="116"/>
        <v>-1858.1861350232255</v>
      </c>
      <c r="AS384" s="20"/>
      <c r="AT384" s="52">
        <f t="shared" si="117"/>
        <v>165.44588329205263</v>
      </c>
      <c r="AU384" s="52">
        <f t="shared" si="118"/>
        <v>-76.2481784225441</v>
      </c>
      <c r="AV384" s="20"/>
      <c r="AW384" s="20"/>
      <c r="AX384" s="20">
        <f t="shared" si="104"/>
        <v>53.87161141021366</v>
      </c>
      <c r="AY384" s="20">
        <f t="shared" si="105"/>
        <v>-13.880566886574085</v>
      </c>
      <c r="AZ384" s="20"/>
      <c r="BA384" s="20">
        <f t="shared" si="106"/>
        <v>49.462535108883344</v>
      </c>
      <c r="BB384" s="20">
        <f t="shared" si="107"/>
        <v>-20.003421668828693</v>
      </c>
      <c r="BC384" s="20"/>
      <c r="BD384" s="20">
        <f t="shared" si="108"/>
        <v>62.111736772955631</v>
      </c>
      <c r="BE384" s="20">
        <f t="shared" si="109"/>
        <v>-42.364189867141327</v>
      </c>
      <c r="BF384" s="20"/>
      <c r="BG384" s="54">
        <f t="shared" si="110"/>
        <v>96237.068227404772</v>
      </c>
      <c r="BH384" s="54">
        <f t="shared" si="111"/>
        <v>57378.565323258386</v>
      </c>
      <c r="BI384" s="54">
        <f t="shared" si="112"/>
        <v>82545.187170669175</v>
      </c>
      <c r="BJ384" s="20"/>
    </row>
    <row r="385" spans="37:62" x14ac:dyDescent="0.3">
      <c r="AK385">
        <v>381</v>
      </c>
      <c r="AL385">
        <v>190.5</v>
      </c>
      <c r="AN385" s="48">
        <f t="shared" si="113"/>
        <v>-72669.59564964399</v>
      </c>
      <c r="AO385" s="48">
        <f t="shared" si="114"/>
        <v>30573.569947927968</v>
      </c>
      <c r="AP385" s="20"/>
      <c r="AQ385" s="50">
        <f t="shared" si="115"/>
        <v>1088.7344780855158</v>
      </c>
      <c r="AR385" s="50">
        <f t="shared" si="116"/>
        <v>-1896.3102242344976</v>
      </c>
      <c r="AS385" s="20"/>
      <c r="AT385" s="52">
        <f t="shared" si="117"/>
        <v>169.75042254903633</v>
      </c>
      <c r="AU385" s="52">
        <f t="shared" si="118"/>
        <v>-76.592220576726817</v>
      </c>
      <c r="AV385" s="20"/>
      <c r="AW385" s="20"/>
      <c r="AX385" s="20">
        <f t="shared" si="104"/>
        <v>54.807050295418016</v>
      </c>
      <c r="AY385" s="20">
        <f t="shared" si="105"/>
        <v>-13.6462698446639</v>
      </c>
      <c r="AZ385" s="20"/>
      <c r="BA385" s="20">
        <f t="shared" si="106"/>
        <v>51.139690198611248</v>
      </c>
      <c r="BB385" s="20">
        <f t="shared" si="107"/>
        <v>-19.975964889026191</v>
      </c>
      <c r="BC385" s="20"/>
      <c r="BD385" s="20">
        <f t="shared" si="108"/>
        <v>63.803682055007073</v>
      </c>
      <c r="BE385" s="20">
        <f t="shared" si="109"/>
        <v>-42.969985843036717</v>
      </c>
      <c r="BF385" s="20"/>
      <c r="BG385" s="54">
        <f t="shared" si="110"/>
        <v>95498.919302840499</v>
      </c>
      <c r="BH385" s="54">
        <f t="shared" si="111"/>
        <v>56545.186234544155</v>
      </c>
      <c r="BI385" s="54">
        <f t="shared" si="112"/>
        <v>81585.074941345738</v>
      </c>
      <c r="BJ385" s="20"/>
    </row>
    <row r="386" spans="37:62" x14ac:dyDescent="0.3">
      <c r="AK386">
        <v>382</v>
      </c>
      <c r="AL386">
        <v>191</v>
      </c>
      <c r="AN386" s="48">
        <f t="shared" si="113"/>
        <v>-72104.009607782602</v>
      </c>
      <c r="AO386" s="48">
        <f t="shared" si="114"/>
        <v>29615.84080823863</v>
      </c>
      <c r="AP386" s="20"/>
      <c r="AQ386" s="50">
        <f t="shared" si="115"/>
        <v>1173.6096893600338</v>
      </c>
      <c r="AR386" s="50">
        <f t="shared" si="116"/>
        <v>-1934.6063345228611</v>
      </c>
      <c r="AS386" s="20"/>
      <c r="AT386" s="52">
        <f t="shared" si="117"/>
        <v>174.39882893395074</v>
      </c>
      <c r="AU386" s="52">
        <f t="shared" si="118"/>
        <v>-76.973228266157605</v>
      </c>
      <c r="AV386" s="20"/>
      <c r="AW386" s="20"/>
      <c r="AX386" s="20">
        <f t="shared" si="104"/>
        <v>55.808968918475365</v>
      </c>
      <c r="AY386" s="20">
        <f t="shared" si="105"/>
        <v>-13.400744197011008</v>
      </c>
      <c r="AZ386" s="20"/>
      <c r="BA386" s="20">
        <f t="shared" si="106"/>
        <v>52.964610529781453</v>
      </c>
      <c r="BB386" s="20">
        <f t="shared" si="107"/>
        <v>-19.939835272626862</v>
      </c>
      <c r="BC386" s="20"/>
      <c r="BD386" s="20">
        <f t="shared" si="108"/>
        <v>65.625249485693928</v>
      </c>
      <c r="BE386" s="20">
        <f t="shared" si="109"/>
        <v>-43.632648796519739</v>
      </c>
      <c r="BF386" s="20"/>
      <c r="BG386" s="54">
        <f t="shared" si="110"/>
        <v>94722.009060650016</v>
      </c>
      <c r="BH386" s="54">
        <f t="shared" si="111"/>
        <v>55674.132483785157</v>
      </c>
      <c r="BI386" s="54">
        <f t="shared" si="112"/>
        <v>80582.388624732834</v>
      </c>
      <c r="BJ386" s="20"/>
    </row>
    <row r="387" spans="37:62" x14ac:dyDescent="0.3">
      <c r="AK387">
        <v>383</v>
      </c>
      <c r="AL387">
        <v>191.5</v>
      </c>
      <c r="AN387" s="48">
        <f t="shared" si="113"/>
        <v>-71495.404909485835</v>
      </c>
      <c r="AO387" s="48">
        <f t="shared" si="114"/>
        <v>28638.915987443928</v>
      </c>
      <c r="AP387" s="20"/>
      <c r="AQ387" s="50">
        <f t="shared" si="115"/>
        <v>1260.8091038270093</v>
      </c>
      <c r="AR387" s="50">
        <f t="shared" si="116"/>
        <v>-1973.0929486559398</v>
      </c>
      <c r="AS387" s="20"/>
      <c r="AT387" s="52">
        <f t="shared" si="117"/>
        <v>179.42589996752787</v>
      </c>
      <c r="AU387" s="52">
        <f t="shared" si="118"/>
        <v>-77.389731415749793</v>
      </c>
      <c r="AV387" s="20"/>
      <c r="AW387" s="20"/>
      <c r="AX387" s="20">
        <f t="shared" si="104"/>
        <v>56.882346107331266</v>
      </c>
      <c r="AY387" s="20">
        <f t="shared" si="105"/>
        <v>-13.141983870349767</v>
      </c>
      <c r="AZ387" s="20"/>
      <c r="BA387" s="20">
        <f t="shared" si="106"/>
        <v>54.953966106980253</v>
      </c>
      <c r="BB387" s="20">
        <f t="shared" si="107"/>
        <v>-19.890752568025064</v>
      </c>
      <c r="BC387" s="20"/>
      <c r="BD387" s="20">
        <f t="shared" si="108"/>
        <v>67.58958775321635</v>
      </c>
      <c r="BE387" s="20">
        <f t="shared" si="109"/>
        <v>-44.35699497737496</v>
      </c>
      <c r="BF387" s="20"/>
      <c r="BG387" s="54">
        <f t="shared" si="110"/>
        <v>93905.606268608783</v>
      </c>
      <c r="BH387" s="54">
        <f t="shared" si="111"/>
        <v>54764.823709922508</v>
      </c>
      <c r="BI387" s="54">
        <f t="shared" si="112"/>
        <v>79536.116718354198</v>
      </c>
      <c r="BJ387" s="20"/>
    </row>
    <row r="388" spans="37:62" x14ac:dyDescent="0.3">
      <c r="AK388">
        <v>384</v>
      </c>
      <c r="AL388">
        <v>192</v>
      </c>
      <c r="AN388" s="48">
        <f t="shared" si="113"/>
        <v>-70842.57212007638</v>
      </c>
      <c r="AO388" s="48">
        <f t="shared" si="114"/>
        <v>27642.69579668899</v>
      </c>
      <c r="AP388" s="20"/>
      <c r="AQ388" s="50">
        <f t="shared" si="115"/>
        <v>1350.5220538107733</v>
      </c>
      <c r="AR388" s="50">
        <f t="shared" si="116"/>
        <v>-2011.7878143638147</v>
      </c>
      <c r="AS388" s="20"/>
      <c r="AT388" s="52">
        <f t="shared" si="117"/>
        <v>184.87139687609434</v>
      </c>
      <c r="AU388" s="52">
        <f t="shared" si="118"/>
        <v>-77.839649353518752</v>
      </c>
      <c r="AV388" s="20"/>
      <c r="AW388" s="20"/>
      <c r="AX388" s="20">
        <f t="shared" ref="AX388:AX451" si="119">Masse_1*(q_1x-AN388)/($BG388^2+Aarseth_1^2)^(3/2)</f>
        <v>58.032744938864539</v>
      </c>
      <c r="AY388" s="20">
        <f t="shared" ref="AY388:AY451" si="120">Masse_1*(q_1y-AO388)/($BG388^2+Aarseth_1^2)^(3/2)</f>
        <v>-12.867710592840577</v>
      </c>
      <c r="AZ388" s="20"/>
      <c r="BA388" s="20">
        <f t="shared" ref="BA388:BA451" si="121">Masse_2*(q_2x-AN388)/($BH388^2+Aarseth_2^2)^(3/2)</f>
        <v>57.126947947582238</v>
      </c>
      <c r="BB388" s="20">
        <f t="shared" ref="BB388:BB451" si="122">Masse_2*(q_2y-AO388)/($BH388^2+Aarseth_2^2)^(3/2)</f>
        <v>-19.823414166619187</v>
      </c>
      <c r="BC388" s="20"/>
      <c r="BD388" s="20">
        <f t="shared" ref="BD388:BD451" si="123">Masse_3*(q_3x-AN388)/($BI388^2+Aarseth_3^2)^(3/2)</f>
        <v>69.71170398964756</v>
      </c>
      <c r="BE388" s="20">
        <f t="shared" ref="BE388:BE451" si="124">Masse_3*(q_3y-AO388)/($BI388^2+Aarseth_3^2)^(3/2)</f>
        <v>-45.148524594058983</v>
      </c>
      <c r="BF388" s="20"/>
      <c r="BG388" s="54">
        <f t="shared" ref="BG388:BG451" si="125">SQRT((q_1x-AN388)^2+(q_1y-AO388)^2)</f>
        <v>93048.917797840244</v>
      </c>
      <c r="BH388" s="54">
        <f t="shared" ref="BH388:BH451" si="126">SQRT((q_2x-AN388)^2+(q_2y-AO388)^2)</f>
        <v>53816.650348750576</v>
      </c>
      <c r="BI388" s="54">
        <f t="shared" ref="BI388:BI451" si="127">SQRT((q_3x-AN388)^2+(q_3y-AO388)^2)</f>
        <v>78445.164339151059</v>
      </c>
      <c r="BJ388" s="20"/>
    </row>
    <row r="389" spans="37:62" x14ac:dyDescent="0.3">
      <c r="AK389">
        <v>385</v>
      </c>
      <c r="AL389">
        <v>192.5</v>
      </c>
      <c r="AN389" s="48">
        <f t="shared" ref="AN389:AN452" si="128">AN388+(AQ388*bt)+(0.5*AT388)*bt^2</f>
        <v>-70144.202168561489</v>
      </c>
      <c r="AO389" s="48">
        <f t="shared" ref="AO389:AO452" si="129">AO388+(AR388*bt)+(0.5*AU388)*bt^2</f>
        <v>26627.071933337891</v>
      </c>
      <c r="AP389" s="20"/>
      <c r="AQ389" s="50">
        <f t="shared" ref="AQ389:AQ452" si="130">AQ388+(AT388*bt)</f>
        <v>1442.9577522488205</v>
      </c>
      <c r="AR389" s="50">
        <f t="shared" ref="AR389:AR452" si="131">AR388+(AU388*bt)</f>
        <v>-2050.7076390405741</v>
      </c>
      <c r="AS389" s="20"/>
      <c r="AT389" s="52">
        <f t="shared" si="117"/>
        <v>190.78091772200818</v>
      </c>
      <c r="AU389" s="52">
        <f t="shared" si="118"/>
        <v>-78.320078134817862</v>
      </c>
      <c r="AV389" s="20"/>
      <c r="AW389" s="20"/>
      <c r="AX389" s="20">
        <f t="shared" si="119"/>
        <v>59.266394858695747</v>
      </c>
      <c r="AY389" s="20">
        <f t="shared" si="120"/>
        <v>-12.57532454025346</v>
      </c>
      <c r="AZ389" s="20"/>
      <c r="BA389" s="20">
        <f t="shared" si="121"/>
        <v>59.505728230118045</v>
      </c>
      <c r="BB389" s="20">
        <f t="shared" si="122"/>
        <v>-19.731214795319804</v>
      </c>
      <c r="BC389" s="20"/>
      <c r="BD389" s="20">
        <f t="shared" si="123"/>
        <v>72.008794633194384</v>
      </c>
      <c r="BE389" s="20">
        <f t="shared" si="124"/>
        <v>-46.013538799244607</v>
      </c>
      <c r="BF389" s="20"/>
      <c r="BG389" s="54">
        <f t="shared" si="125"/>
        <v>92151.082822447439</v>
      </c>
      <c r="BH389" s="54">
        <f t="shared" si="126"/>
        <v>52828.974362540481</v>
      </c>
      <c r="BI389" s="54">
        <f t="shared" si="127"/>
        <v>77308.344917749331</v>
      </c>
      <c r="BJ389" s="20"/>
    </row>
    <row r="390" spans="37:62" x14ac:dyDescent="0.3">
      <c r="AK390">
        <v>386</v>
      </c>
      <c r="AL390">
        <v>193</v>
      </c>
      <c r="AN390" s="48">
        <f t="shared" si="128"/>
        <v>-69398.875677721822</v>
      </c>
      <c r="AO390" s="48">
        <f t="shared" si="129"/>
        <v>25591.928104050752</v>
      </c>
      <c r="AP390" s="20"/>
      <c r="AQ390" s="50">
        <f t="shared" si="130"/>
        <v>1538.3482111098247</v>
      </c>
      <c r="AR390" s="50">
        <f t="shared" si="131"/>
        <v>-2089.867678107983</v>
      </c>
      <c r="AS390" s="20"/>
      <c r="AT390" s="52">
        <f t="shared" si="117"/>
        <v>197.20695556300268</v>
      </c>
      <c r="AU390" s="52">
        <f t="shared" si="118"/>
        <v>-78.827008347408835</v>
      </c>
      <c r="AV390" s="20"/>
      <c r="AW390" s="20"/>
      <c r="AX390" s="20">
        <f t="shared" si="119"/>
        <v>60.590288401849364</v>
      </c>
      <c r="AY390" s="20">
        <f t="shared" si="120"/>
        <v>-12.261844830372183</v>
      </c>
      <c r="AZ390" s="20"/>
      <c r="BA390" s="20">
        <f t="shared" si="121"/>
        <v>62.116018447058003</v>
      </c>
      <c r="BB390" s="20">
        <f t="shared" si="122"/>
        <v>-19.605881317116737</v>
      </c>
      <c r="BC390" s="20"/>
      <c r="BD390" s="20">
        <f t="shared" si="123"/>
        <v>74.500648714095306</v>
      </c>
      <c r="BE390" s="20">
        <f t="shared" si="124"/>
        <v>-46.959282199919912</v>
      </c>
      <c r="BF390" s="20"/>
      <c r="BG390" s="54">
        <f t="shared" si="125"/>
        <v>91211.166174777652</v>
      </c>
      <c r="BH390" s="54">
        <f t="shared" si="126"/>
        <v>51801.130684811353</v>
      </c>
      <c r="BI390" s="54">
        <f t="shared" si="127"/>
        <v>76124.370708460352</v>
      </c>
      <c r="BJ390" s="20"/>
    </row>
    <row r="391" spans="37:62" x14ac:dyDescent="0.3">
      <c r="AK391">
        <v>387</v>
      </c>
      <c r="AL391">
        <v>193.5</v>
      </c>
      <c r="AN391" s="48">
        <f t="shared" si="128"/>
        <v>-68605.050702721535</v>
      </c>
      <c r="AO391" s="48">
        <f t="shared" si="129"/>
        <v>24537.140888953334</v>
      </c>
      <c r="AP391" s="20"/>
      <c r="AQ391" s="50">
        <f t="shared" si="130"/>
        <v>1636.9516888913261</v>
      </c>
      <c r="AR391" s="50">
        <f t="shared" si="131"/>
        <v>-2129.2811822816875</v>
      </c>
      <c r="AS391" s="20"/>
      <c r="AT391" s="52">
        <f t="shared" si="117"/>
        <v>204.21018677497617</v>
      </c>
      <c r="AU391" s="52">
        <f t="shared" si="118"/>
        <v>-79.354948558080451</v>
      </c>
      <c r="AV391" s="20"/>
      <c r="AW391" s="20"/>
      <c r="AX391" s="20">
        <f t="shared" si="119"/>
        <v>62.012295602739535</v>
      </c>
      <c r="AY391" s="20">
        <f t="shared" si="120"/>
        <v>-11.923837395861268</v>
      </c>
      <c r="AZ391" s="20"/>
      <c r="BA391" s="20">
        <f t="shared" si="121"/>
        <v>64.987748666452362</v>
      </c>
      <c r="BB391" s="20">
        <f t="shared" si="122"/>
        <v>-19.436993579089275</v>
      </c>
      <c r="BC391" s="20"/>
      <c r="BD391" s="20">
        <f t="shared" si="123"/>
        <v>77.210142505784262</v>
      </c>
      <c r="BE391" s="20">
        <f t="shared" si="124"/>
        <v>-47.994117583129906</v>
      </c>
      <c r="BF391" s="20"/>
      <c r="BG391" s="54">
        <f t="shared" si="125"/>
        <v>90228.150705319786</v>
      </c>
      <c r="BH391" s="54">
        <f t="shared" si="126"/>
        <v>50732.4296583498</v>
      </c>
      <c r="BI391" s="54">
        <f t="shared" si="127"/>
        <v>74891.841909307608</v>
      </c>
      <c r="BJ391" s="20"/>
    </row>
    <row r="392" spans="37:62" x14ac:dyDescent="0.3">
      <c r="AK392">
        <v>388</v>
      </c>
      <c r="AL392">
        <v>194</v>
      </c>
      <c r="AN392" s="48">
        <f t="shared" si="128"/>
        <v>-67761.048584928998</v>
      </c>
      <c r="AO392" s="48">
        <f t="shared" si="129"/>
        <v>23462.580929242729</v>
      </c>
      <c r="AP392" s="20"/>
      <c r="AQ392" s="50">
        <f t="shared" si="130"/>
        <v>1739.0567822788141</v>
      </c>
      <c r="AR392" s="50">
        <f t="shared" si="131"/>
        <v>-2168.9586565607278</v>
      </c>
      <c r="AS392" s="20"/>
      <c r="AT392" s="52">
        <f t="shared" si="117"/>
        <v>211.86104686318555</v>
      </c>
      <c r="AU392" s="52">
        <f t="shared" si="118"/>
        <v>-79.896419823545813</v>
      </c>
      <c r="AV392" s="20"/>
      <c r="AW392" s="20"/>
      <c r="AX392" s="20">
        <f t="shared" si="119"/>
        <v>63.541299957210889</v>
      </c>
      <c r="AY392" s="20">
        <f t="shared" si="120"/>
        <v>-11.55732707471828</v>
      </c>
      <c r="AZ392" s="20"/>
      <c r="BA392" s="20">
        <f t="shared" si="121"/>
        <v>68.155896608566721</v>
      </c>
      <c r="BB392" s="20">
        <f t="shared" si="122"/>
        <v>-19.211351113163456</v>
      </c>
      <c r="BC392" s="20"/>
      <c r="BD392" s="20">
        <f t="shared" si="123"/>
        <v>80.163850297407947</v>
      </c>
      <c r="BE392" s="20">
        <f t="shared" si="124"/>
        <v>-49.127741635664073</v>
      </c>
      <c r="BF392" s="20"/>
      <c r="BG392" s="54">
        <f t="shared" si="125"/>
        <v>89200.928462930766</v>
      </c>
      <c r="BH392" s="54">
        <f t="shared" si="126"/>
        <v>49622.160847834493</v>
      </c>
      <c r="BI392" s="54">
        <f t="shared" si="127"/>
        <v>73609.23414367497</v>
      </c>
      <c r="BJ392" s="20"/>
    </row>
    <row r="393" spans="37:62" x14ac:dyDescent="0.3">
      <c r="AK393">
        <v>389</v>
      </c>
      <c r="AL393">
        <v>194.5</v>
      </c>
      <c r="AN393" s="48">
        <f t="shared" si="128"/>
        <v>-66865.037562931699</v>
      </c>
      <c r="AO393" s="48">
        <f t="shared" si="129"/>
        <v>22368.11454848442</v>
      </c>
      <c r="AP393" s="20"/>
      <c r="AQ393" s="50">
        <f t="shared" si="130"/>
        <v>1844.9873057104069</v>
      </c>
      <c r="AR393" s="50">
        <f t="shared" si="131"/>
        <v>-2208.906866472501</v>
      </c>
      <c r="AS393" s="20"/>
      <c r="AT393" s="52">
        <f t="shared" si="117"/>
        <v>220.2416667065894</v>
      </c>
      <c r="AU393" s="52">
        <f t="shared" si="118"/>
        <v>-80.441272753395253</v>
      </c>
      <c r="AV393" s="20"/>
      <c r="AW393" s="20"/>
      <c r="AX393" s="20">
        <f t="shared" si="119"/>
        <v>65.187360799119745</v>
      </c>
      <c r="AY393" s="20">
        <f t="shared" si="120"/>
        <v>-11.157689844691806</v>
      </c>
      <c r="AZ393" s="20"/>
      <c r="BA393" s="20">
        <f t="shared" si="121"/>
        <v>71.661501984688428</v>
      </c>
      <c r="BB393" s="20">
        <f t="shared" si="122"/>
        <v>-18.912129624838084</v>
      </c>
      <c r="BC393" s="20"/>
      <c r="BD393" s="20">
        <f t="shared" si="123"/>
        <v>83.392803922781241</v>
      </c>
      <c r="BE393" s="20">
        <f t="shared" si="124"/>
        <v>-50.371453283865357</v>
      </c>
      <c r="BF393" s="20"/>
      <c r="BG393" s="54">
        <f t="shared" si="125"/>
        <v>88128.290469272062</v>
      </c>
      <c r="BH393" s="54">
        <f t="shared" si="126"/>
        <v>48469.598752820624</v>
      </c>
      <c r="BI393" s="54">
        <f t="shared" si="127"/>
        <v>72274.884002477673</v>
      </c>
      <c r="BJ393" s="20"/>
    </row>
    <row r="394" spans="37:62" x14ac:dyDescent="0.3">
      <c r="AK394">
        <v>390</v>
      </c>
      <c r="AL394">
        <v>195</v>
      </c>
      <c r="AN394" s="48">
        <f t="shared" si="128"/>
        <v>-65915.013701738164</v>
      </c>
      <c r="AO394" s="48">
        <f t="shared" si="129"/>
        <v>21253.605956153995</v>
      </c>
      <c r="AP394" s="20"/>
      <c r="AQ394" s="50">
        <f t="shared" si="130"/>
        <v>1955.1081390637016</v>
      </c>
      <c r="AR394" s="50">
        <f t="shared" si="131"/>
        <v>-2249.1275028491987</v>
      </c>
      <c r="AS394" s="20"/>
      <c r="AT394" s="52">
        <f t="shared" si="117"/>
        <v>229.44826210039253</v>
      </c>
      <c r="AU394" s="52">
        <f t="shared" si="118"/>
        <v>-80.975758511318986</v>
      </c>
      <c r="AV394" s="20"/>
      <c r="AW394" s="20"/>
      <c r="AX394" s="20">
        <f t="shared" si="119"/>
        <v>66.961908254656024</v>
      </c>
      <c r="AY394" s="20">
        <f t="shared" si="120"/>
        <v>-10.719519913060811</v>
      </c>
      <c r="AZ394" s="20"/>
      <c r="BA394" s="20">
        <f t="shared" si="121"/>
        <v>75.55290938300891</v>
      </c>
      <c r="BB394" s="20">
        <f t="shared" si="122"/>
        <v>-18.517748389677717</v>
      </c>
      <c r="BC394" s="20"/>
      <c r="BD394" s="20">
        <f t="shared" si="123"/>
        <v>86.933444462727621</v>
      </c>
      <c r="BE394" s="20">
        <f t="shared" si="124"/>
        <v>-51.738490208580458</v>
      </c>
      <c r="BF394" s="20"/>
      <c r="BG394" s="54">
        <f t="shared" si="125"/>
        <v>87008.914808581598</v>
      </c>
      <c r="BH394" s="54">
        <f t="shared" si="126"/>
        <v>47274.011150389895</v>
      </c>
      <c r="BI394" s="54">
        <f t="shared" si="127"/>
        <v>70886.972280575166</v>
      </c>
      <c r="BJ394" s="20"/>
    </row>
    <row r="395" spans="37:62" x14ac:dyDescent="0.3">
      <c r="AK395">
        <v>391</v>
      </c>
      <c r="AL395">
        <v>195.5</v>
      </c>
      <c r="AN395" s="48">
        <f t="shared" si="128"/>
        <v>-64908.778599443765</v>
      </c>
      <c r="AO395" s="48">
        <f t="shared" si="129"/>
        <v>20118.92023491548</v>
      </c>
      <c r="AP395" s="20"/>
      <c r="AQ395" s="50">
        <f t="shared" si="130"/>
        <v>2069.8322701138977</v>
      </c>
      <c r="AR395" s="50">
        <f t="shared" si="131"/>
        <v>-2289.6153821048583</v>
      </c>
      <c r="AS395" s="20"/>
      <c r="AT395" s="52">
        <f t="shared" si="117"/>
        <v>239.59409462724142</v>
      </c>
      <c r="AU395" s="52">
        <f t="shared" si="118"/>
        <v>-81.48125591174086</v>
      </c>
      <c r="AV395" s="20"/>
      <c r="AW395" s="20"/>
      <c r="AX395" s="20">
        <f t="shared" si="119"/>
        <v>68.877978643441651</v>
      </c>
      <c r="AY395" s="20">
        <f t="shared" si="120"/>
        <v>-10.236464742286332</v>
      </c>
      <c r="AZ395" s="20"/>
      <c r="BA395" s="20">
        <f t="shared" si="121"/>
        <v>79.887291537486419</v>
      </c>
      <c r="BB395" s="20">
        <f t="shared" si="122"/>
        <v>-18.000336594798323</v>
      </c>
      <c r="BC395" s="20"/>
      <c r="BD395" s="20">
        <f t="shared" si="123"/>
        <v>90.828824446313334</v>
      </c>
      <c r="BE395" s="20">
        <f t="shared" si="124"/>
        <v>-53.244454574656203</v>
      </c>
      <c r="BF395" s="20"/>
      <c r="BG395" s="54">
        <f t="shared" si="125"/>
        <v>85841.352687061721</v>
      </c>
      <c r="BH395" s="54">
        <f t="shared" si="126"/>
        <v>46034.671086198068</v>
      </c>
      <c r="BI395" s="54">
        <f t="shared" si="127"/>
        <v>69443.504460413911</v>
      </c>
      <c r="BJ395" s="20"/>
    </row>
    <row r="396" spans="37:62" x14ac:dyDescent="0.3">
      <c r="AK396">
        <v>392</v>
      </c>
      <c r="AL396">
        <v>196</v>
      </c>
      <c r="AN396" s="48">
        <f t="shared" si="128"/>
        <v>-63843.913202558411</v>
      </c>
      <c r="AO396" s="48">
        <f t="shared" si="129"/>
        <v>18963.927386874086</v>
      </c>
      <c r="AP396" s="20"/>
      <c r="AQ396" s="50">
        <f t="shared" si="130"/>
        <v>2189.6293174275183</v>
      </c>
      <c r="AR396" s="50">
        <f t="shared" si="131"/>
        <v>-2330.3560100607287</v>
      </c>
      <c r="AS396" s="20"/>
      <c r="AT396" s="52">
        <f t="shared" si="117"/>
        <v>250.8131531320754</v>
      </c>
      <c r="AU396" s="52">
        <f t="shared" si="118"/>
        <v>-81.932513939610374</v>
      </c>
      <c r="AV396" s="20"/>
      <c r="AW396" s="20"/>
      <c r="AX396" s="20">
        <f t="shared" si="119"/>
        <v>70.950500451352696</v>
      </c>
      <c r="AY396" s="20">
        <f t="shared" si="120"/>
        <v>-9.7010188834061388</v>
      </c>
      <c r="AZ396" s="20"/>
      <c r="BA396" s="20">
        <f t="shared" si="121"/>
        <v>84.732512960469876</v>
      </c>
      <c r="BB396" s="20">
        <f t="shared" si="122"/>
        <v>-17.323638288762471</v>
      </c>
      <c r="BC396" s="20"/>
      <c r="BD396" s="20">
        <f t="shared" si="123"/>
        <v>95.130139720252814</v>
      </c>
      <c r="BE396" s="20">
        <f t="shared" si="124"/>
        <v>-54.907856767441764</v>
      </c>
      <c r="BF396" s="20"/>
      <c r="BG396" s="54">
        <f t="shared" si="125"/>
        <v>84624.012031158563</v>
      </c>
      <c r="BH396" s="54">
        <f t="shared" si="126"/>
        <v>44750.873948009408</v>
      </c>
      <c r="BI396" s="54">
        <f t="shared" si="127"/>
        <v>67942.287895912697</v>
      </c>
      <c r="BJ396" s="20"/>
    </row>
    <row r="397" spans="37:62" x14ac:dyDescent="0.3">
      <c r="AK397">
        <v>393</v>
      </c>
      <c r="AL397">
        <v>196.5</v>
      </c>
      <c r="AN397" s="48">
        <f t="shared" si="128"/>
        <v>-62717.746899703139</v>
      </c>
      <c r="AO397" s="48">
        <f t="shared" si="129"/>
        <v>17788.507817601268</v>
      </c>
      <c r="AP397" s="20"/>
      <c r="AQ397" s="50">
        <f t="shared" si="130"/>
        <v>2315.0358939935559</v>
      </c>
      <c r="AR397" s="50">
        <f t="shared" si="131"/>
        <v>-2371.322267030534</v>
      </c>
      <c r="AS397" s="20"/>
      <c r="AT397" s="52">
        <f t="shared" si="117"/>
        <v>263.26474267157511</v>
      </c>
      <c r="AU397" s="52">
        <f t="shared" si="118"/>
        <v>-82.295205815961523</v>
      </c>
      <c r="AV397" s="20"/>
      <c r="AW397" s="20"/>
      <c r="AX397" s="20">
        <f t="shared" si="119"/>
        <v>73.1966440098238</v>
      </c>
      <c r="AY397" s="20">
        <f t="shared" si="120"/>
        <v>-9.104264469756151</v>
      </c>
      <c r="AZ397" s="20"/>
      <c r="BA397" s="20">
        <f t="shared" si="121"/>
        <v>90.16939901961976</v>
      </c>
      <c r="BB397" s="20">
        <f t="shared" si="122"/>
        <v>-16.440124307623471</v>
      </c>
      <c r="BC397" s="20"/>
      <c r="BD397" s="20">
        <f t="shared" si="123"/>
        <v>99.898699642131518</v>
      </c>
      <c r="BE397" s="20">
        <f t="shared" si="124"/>
        <v>-56.7508170385819</v>
      </c>
      <c r="BF397" s="20"/>
      <c r="BG397" s="54">
        <f t="shared" si="125"/>
        <v>83355.138085640472</v>
      </c>
      <c r="BH397" s="54">
        <f t="shared" si="126"/>
        <v>43421.961657805528</v>
      </c>
      <c r="BI397" s="54">
        <f t="shared" si="127"/>
        <v>66380.90502609234</v>
      </c>
      <c r="BJ397" s="20"/>
    </row>
    <row r="398" spans="37:62" x14ac:dyDescent="0.3">
      <c r="AK398">
        <v>394</v>
      </c>
      <c r="AL398">
        <v>197</v>
      </c>
      <c r="AN398" s="48">
        <f t="shared" si="128"/>
        <v>-61527.320859872416</v>
      </c>
      <c r="AO398" s="48">
        <f t="shared" si="129"/>
        <v>16592.559783359007</v>
      </c>
      <c r="AP398" s="20"/>
      <c r="AQ398" s="50">
        <f t="shared" si="130"/>
        <v>2446.6682653293433</v>
      </c>
      <c r="AR398" s="50">
        <f t="shared" si="131"/>
        <v>-2412.4698699385149</v>
      </c>
      <c r="AS398" s="20"/>
      <c r="AT398" s="52">
        <f t="shared" si="117"/>
        <v>277.13921045075546</v>
      </c>
      <c r="AU398" s="52">
        <f t="shared" si="118"/>
        <v>-82.522496894267448</v>
      </c>
      <c r="AV398" s="20"/>
      <c r="AW398" s="20"/>
      <c r="AX398" s="20">
        <f t="shared" si="119"/>
        <v>75.636252069129029</v>
      </c>
      <c r="AY398" s="20">
        <f t="shared" si="120"/>
        <v>-8.4355420547894511</v>
      </c>
      <c r="AZ398" s="20"/>
      <c r="BA398" s="20">
        <f t="shared" si="121"/>
        <v>96.294471891656826</v>
      </c>
      <c r="BB398" s="20">
        <f t="shared" si="122"/>
        <v>-15.286973722549016</v>
      </c>
      <c r="BC398" s="20"/>
      <c r="BD398" s="20">
        <f t="shared" si="123"/>
        <v>105.20848648996962</v>
      </c>
      <c r="BE398" s="20">
        <f t="shared" si="124"/>
        <v>-58.799981116928983</v>
      </c>
      <c r="BF398" s="20"/>
      <c r="BG398" s="54">
        <f t="shared" si="125"/>
        <v>82032.790334125209</v>
      </c>
      <c r="BH398" s="54">
        <f t="shared" si="126"/>
        <v>42047.356900237588</v>
      </c>
      <c r="BI398" s="54">
        <f t="shared" si="127"/>
        <v>64756.681796244629</v>
      </c>
      <c r="BJ398" s="20"/>
    </row>
    <row r="399" spans="37:62" x14ac:dyDescent="0.3">
      <c r="AK399">
        <v>395</v>
      </c>
      <c r="AL399">
        <v>197.5</v>
      </c>
      <c r="AN399" s="48">
        <f t="shared" si="128"/>
        <v>-60269.344325901402</v>
      </c>
      <c r="AO399" s="48">
        <f t="shared" si="129"/>
        <v>15376.009536277967</v>
      </c>
      <c r="AP399" s="20"/>
      <c r="AQ399" s="50">
        <f t="shared" si="130"/>
        <v>2585.2378705547212</v>
      </c>
      <c r="AR399" s="50">
        <f t="shared" si="131"/>
        <v>-2453.7311183856486</v>
      </c>
      <c r="AS399" s="20"/>
      <c r="AT399" s="52">
        <f t="shared" si="117"/>
        <v>292.66508087836746</v>
      </c>
      <c r="AU399" s="52">
        <f t="shared" si="118"/>
        <v>-82.550188776707955</v>
      </c>
      <c r="AV399" s="20"/>
      <c r="AW399" s="20"/>
      <c r="AX399" s="20">
        <f t="shared" si="119"/>
        <v>78.292373962618029</v>
      </c>
      <c r="AY399" s="20">
        <f t="shared" si="120"/>
        <v>-7.6820296605866867</v>
      </c>
      <c r="AZ399" s="20"/>
      <c r="BA399" s="20">
        <f t="shared" si="121"/>
        <v>103.22319062457041</v>
      </c>
      <c r="BB399" s="20">
        <f t="shared" si="122"/>
        <v>-13.780429417267579</v>
      </c>
      <c r="BC399" s="20"/>
      <c r="BD399" s="20">
        <f t="shared" si="123"/>
        <v>111.14951629117903</v>
      </c>
      <c r="BE399" s="20">
        <f t="shared" si="124"/>
        <v>-61.087729698853686</v>
      </c>
      <c r="BF399" s="20"/>
      <c r="BG399" s="54">
        <f t="shared" si="125"/>
        <v>80654.814888670226</v>
      </c>
      <c r="BH399" s="54">
        <f t="shared" si="126"/>
        <v>40626.611610767628</v>
      </c>
      <c r="BI399" s="54">
        <f t="shared" si="127"/>
        <v>63066.650280184534</v>
      </c>
      <c r="BJ399" s="20"/>
    </row>
    <row r="400" spans="37:62" x14ac:dyDescent="0.3">
      <c r="AK400">
        <v>396</v>
      </c>
      <c r="AL400">
        <v>198</v>
      </c>
      <c r="AN400" s="48">
        <f t="shared" si="128"/>
        <v>-58940.142255514249</v>
      </c>
      <c r="AO400" s="48">
        <f t="shared" si="129"/>
        <v>14138.825203488055</v>
      </c>
      <c r="AP400" s="20"/>
      <c r="AQ400" s="50">
        <f t="shared" si="130"/>
        <v>2731.5704109939052</v>
      </c>
      <c r="AR400" s="50">
        <f t="shared" si="131"/>
        <v>-2495.0062127740025</v>
      </c>
      <c r="AS400" s="20"/>
      <c r="AT400" s="52">
        <f t="shared" si="117"/>
        <v>310.11790105509834</v>
      </c>
      <c r="AU400" s="52">
        <f t="shared" si="118"/>
        <v>-82.289793269493615</v>
      </c>
      <c r="AV400" s="20"/>
      <c r="AW400" s="20"/>
      <c r="AX400" s="20">
        <f t="shared" si="119"/>
        <v>81.191933622986582</v>
      </c>
      <c r="AY400" s="20">
        <f t="shared" si="120"/>
        <v>-6.82819969479546</v>
      </c>
      <c r="AZ400" s="20"/>
      <c r="BA400" s="20">
        <f t="shared" si="121"/>
        <v>111.09366389350333</v>
      </c>
      <c r="BB400" s="20">
        <f t="shared" si="122"/>
        <v>-11.807796002726503</v>
      </c>
      <c r="BC400" s="20"/>
      <c r="BD400" s="20">
        <f t="shared" si="123"/>
        <v>117.83230353860841</v>
      </c>
      <c r="BE400" s="20">
        <f t="shared" si="124"/>
        <v>-63.653797571971651</v>
      </c>
      <c r="BF400" s="20"/>
      <c r="BG400" s="54">
        <f t="shared" si="125"/>
        <v>79218.811272344232</v>
      </c>
      <c r="BH400" s="54">
        <f t="shared" si="126"/>
        <v>39159.475902324259</v>
      </c>
      <c r="BI400" s="54">
        <f t="shared" si="127"/>
        <v>61307.504277898515</v>
      </c>
      <c r="BJ400" s="20"/>
    </row>
    <row r="401" spans="37:62" x14ac:dyDescent="0.3">
      <c r="AK401">
        <v>397</v>
      </c>
      <c r="AL401">
        <v>198.5</v>
      </c>
      <c r="AN401" s="48">
        <f t="shared" si="128"/>
        <v>-57535.592312385408</v>
      </c>
      <c r="AO401" s="48">
        <f t="shared" si="129"/>
        <v>12881.035872942368</v>
      </c>
      <c r="AP401" s="20"/>
      <c r="AQ401" s="50">
        <f t="shared" si="130"/>
        <v>2886.6293615214545</v>
      </c>
      <c r="AR401" s="50">
        <f t="shared" si="131"/>
        <v>-2536.1511094087491</v>
      </c>
      <c r="AS401" s="20"/>
      <c r="AT401" s="52">
        <f t="shared" si="117"/>
        <v>329.83108251989051</v>
      </c>
      <c r="AU401" s="52">
        <f t="shared" si="118"/>
        <v>-81.618579605129696</v>
      </c>
      <c r="AV401" s="20"/>
      <c r="AW401" s="20"/>
      <c r="AX401" s="20">
        <f t="shared" si="119"/>
        <v>84.366572200755215</v>
      </c>
      <c r="AY401" s="20">
        <f t="shared" si="120"/>
        <v>-5.8551116713005138</v>
      </c>
      <c r="AZ401" s="20"/>
      <c r="BA401" s="20">
        <f t="shared" si="121"/>
        <v>120.07064315419358</v>
      </c>
      <c r="BB401" s="20">
        <f t="shared" si="122"/>
        <v>-9.2159949771286751</v>
      </c>
      <c r="BC401" s="20"/>
      <c r="BD401" s="20">
        <f t="shared" si="123"/>
        <v>125.39386716494174</v>
      </c>
      <c r="BE401" s="20">
        <f t="shared" si="124"/>
        <v>-66.547472956700503</v>
      </c>
      <c r="BF401" s="20"/>
      <c r="BG401" s="54">
        <f t="shared" si="125"/>
        <v>77722.092240870174</v>
      </c>
      <c r="BH401" s="54">
        <f t="shared" si="126"/>
        <v>37645.996572581091</v>
      </c>
      <c r="BI401" s="54">
        <f t="shared" si="127"/>
        <v>59475.54641162591</v>
      </c>
      <c r="BJ401" s="20"/>
    </row>
    <row r="402" spans="37:62" x14ac:dyDescent="0.3">
      <c r="AK402">
        <v>398</v>
      </c>
      <c r="AL402">
        <v>199</v>
      </c>
      <c r="AN402" s="48">
        <f t="shared" si="128"/>
        <v>-56051.048746309694</v>
      </c>
      <c r="AO402" s="48">
        <f t="shared" si="129"/>
        <v>11602.757995787353</v>
      </c>
      <c r="AP402" s="20"/>
      <c r="AQ402" s="50">
        <f t="shared" si="130"/>
        <v>3051.5449027813997</v>
      </c>
      <c r="AR402" s="50">
        <f t="shared" si="131"/>
        <v>-2576.9603992113139</v>
      </c>
      <c r="AS402" s="20"/>
      <c r="AT402" s="52">
        <f t="shared" ref="AT402:AT465" si="132">AX402+BA402+BD402</f>
        <v>352.20889651896954</v>
      </c>
      <c r="AU402" s="52">
        <f t="shared" ref="AU402:AU465" si="133">AY402+BB402+BE402</f>
        <v>-80.365183840046953</v>
      </c>
      <c r="AV402" s="20"/>
      <c r="AW402" s="20"/>
      <c r="AX402" s="20">
        <f t="shared" si="119"/>
        <v>87.853720724788275</v>
      </c>
      <c r="AY402" s="20">
        <f t="shared" si="120"/>
        <v>-4.7394817179399418</v>
      </c>
      <c r="AZ402" s="20"/>
      <c r="BA402" s="20">
        <f t="shared" si="121"/>
        <v>130.34925579246348</v>
      </c>
      <c r="BB402" s="20">
        <f t="shared" si="122"/>
        <v>-5.7950689156494333</v>
      </c>
      <c r="BC402" s="20"/>
      <c r="BD402" s="20">
        <f t="shared" si="123"/>
        <v>134.00592000171778</v>
      </c>
      <c r="BE402" s="20">
        <f t="shared" si="124"/>
        <v>-69.830633206457577</v>
      </c>
      <c r="BF402" s="20"/>
      <c r="BG402" s="54">
        <f t="shared" si="125"/>
        <v>76161.634952156659</v>
      </c>
      <c r="BH402" s="54">
        <f t="shared" si="126"/>
        <v>36086.658876956979</v>
      </c>
      <c r="BI402" s="54">
        <f t="shared" si="127"/>
        <v>57566.62497559256</v>
      </c>
      <c r="BJ402" s="20"/>
    </row>
    <row r="403" spans="37:62" x14ac:dyDescent="0.3">
      <c r="AK403">
        <v>399</v>
      </c>
      <c r="AL403">
        <v>199.5</v>
      </c>
      <c r="AN403" s="48">
        <f t="shared" si="128"/>
        <v>-54481.250182854121</v>
      </c>
      <c r="AO403" s="48">
        <f t="shared" si="129"/>
        <v>10304.232148201691</v>
      </c>
      <c r="AP403" s="20"/>
      <c r="AQ403" s="50">
        <f t="shared" si="130"/>
        <v>3227.6493510408845</v>
      </c>
      <c r="AR403" s="50">
        <f t="shared" si="131"/>
        <v>-2617.1429911313376</v>
      </c>
      <c r="AS403" s="20"/>
      <c r="AT403" s="52">
        <f t="shared" si="132"/>
        <v>377.74139386081072</v>
      </c>
      <c r="AU403" s="52">
        <f t="shared" si="133"/>
        <v>-78.288724316335177</v>
      </c>
      <c r="AV403" s="20"/>
      <c r="AW403" s="20"/>
      <c r="AX403" s="20">
        <f t="shared" si="119"/>
        <v>91.697979009839756</v>
      </c>
      <c r="AY403" s="20">
        <f t="shared" si="120"/>
        <v>-3.4524450117744085</v>
      </c>
      <c r="AZ403" s="20"/>
      <c r="BA403" s="20">
        <f t="shared" si="121"/>
        <v>142.15721454268191</v>
      </c>
      <c r="BB403" s="20">
        <f t="shared" si="122"/>
        <v>-1.2542699157756836</v>
      </c>
      <c r="BC403" s="20"/>
      <c r="BD403" s="20">
        <f t="shared" si="123"/>
        <v>143.88620030828903</v>
      </c>
      <c r="BE403" s="20">
        <f t="shared" si="124"/>
        <v>-73.582009388785082</v>
      </c>
      <c r="BF403" s="20"/>
      <c r="BG403" s="54">
        <f t="shared" si="125"/>
        <v>74534.021404603656</v>
      </c>
      <c r="BH403" s="54">
        <f t="shared" si="126"/>
        <v>34482.592294846057</v>
      </c>
      <c r="BI403" s="54">
        <f t="shared" si="127"/>
        <v>55576.058552836264</v>
      </c>
      <c r="BJ403" s="20"/>
    </row>
    <row r="404" spans="37:62" x14ac:dyDescent="0.3">
      <c r="AK404">
        <v>400</v>
      </c>
      <c r="AL404">
        <v>200</v>
      </c>
      <c r="AN404" s="48">
        <f t="shared" si="128"/>
        <v>-52820.207833101071</v>
      </c>
      <c r="AO404" s="48">
        <f t="shared" si="129"/>
        <v>8985.8745620964783</v>
      </c>
      <c r="AP404" s="20"/>
      <c r="AQ404" s="50">
        <f t="shared" si="130"/>
        <v>3416.5200479712898</v>
      </c>
      <c r="AR404" s="50">
        <f t="shared" si="131"/>
        <v>-2656.2873532895051</v>
      </c>
      <c r="AS404" s="20"/>
      <c r="AT404" s="52">
        <f t="shared" si="132"/>
        <v>407.02007884919277</v>
      </c>
      <c r="AU404" s="52">
        <f t="shared" si="133"/>
        <v>-75.048514574489218</v>
      </c>
      <c r="AV404" s="20"/>
      <c r="AW404" s="20"/>
      <c r="AX404" s="20">
        <f t="shared" si="119"/>
        <v>95.952906607678941</v>
      </c>
      <c r="AY404" s="20">
        <f t="shared" si="120"/>
        <v>-1.9578903621689605</v>
      </c>
      <c r="AZ404" s="20"/>
      <c r="BA404" s="20">
        <f t="shared" si="121"/>
        <v>155.75277101200098</v>
      </c>
      <c r="BB404" s="20">
        <f t="shared" si="122"/>
        <v>4.8126705324494594</v>
      </c>
      <c r="BC404" s="20"/>
      <c r="BD404" s="20">
        <f t="shared" si="123"/>
        <v>155.31440122951284</v>
      </c>
      <c r="BE404" s="20">
        <f t="shared" si="124"/>
        <v>-77.90329474476971</v>
      </c>
      <c r="BF404" s="20"/>
      <c r="BG404" s="54">
        <f t="shared" si="125"/>
        <v>72835.365668542639</v>
      </c>
      <c r="BH404" s="54">
        <f t="shared" si="126"/>
        <v>32835.872039763948</v>
      </c>
      <c r="BI404" s="54">
        <f t="shared" si="127"/>
        <v>53498.546295292996</v>
      </c>
      <c r="BJ404" s="20"/>
    </row>
    <row r="405" spans="37:62" x14ac:dyDescent="0.3">
      <c r="AK405">
        <v>401</v>
      </c>
      <c r="AL405">
        <v>200.5</v>
      </c>
      <c r="AN405" s="48">
        <f t="shared" si="128"/>
        <v>-51061.070299259278</v>
      </c>
      <c r="AO405" s="48">
        <f t="shared" si="129"/>
        <v>7648.3498211299147</v>
      </c>
      <c r="AP405" s="20"/>
      <c r="AQ405" s="50">
        <f t="shared" si="130"/>
        <v>3620.0300873958863</v>
      </c>
      <c r="AR405" s="50">
        <f t="shared" si="131"/>
        <v>-2693.8116105767494</v>
      </c>
      <c r="AS405" s="20"/>
      <c r="AT405" s="52">
        <f t="shared" si="132"/>
        <v>440.75107285504566</v>
      </c>
      <c r="AU405" s="52">
        <f t="shared" si="133"/>
        <v>-70.160524066988017</v>
      </c>
      <c r="AV405" s="20"/>
      <c r="AW405" s="20"/>
      <c r="AX405" s="20">
        <f t="shared" si="119"/>
        <v>100.68337400410236</v>
      </c>
      <c r="AY405" s="20">
        <f t="shared" si="120"/>
        <v>-0.21019048068602741</v>
      </c>
      <c r="AZ405" s="20"/>
      <c r="BA405" s="20">
        <f t="shared" si="121"/>
        <v>171.41274863914614</v>
      </c>
      <c r="BB405" s="20">
        <f t="shared" si="122"/>
        <v>12.977750512591768</v>
      </c>
      <c r="BC405" s="20"/>
      <c r="BD405" s="20">
        <f t="shared" si="123"/>
        <v>168.65495021179717</v>
      </c>
      <c r="BE405" s="20">
        <f t="shared" si="124"/>
        <v>-82.928084098893763</v>
      </c>
      <c r="BF405" s="20"/>
      <c r="BG405" s="54">
        <f t="shared" si="125"/>
        <v>71061.225149484279</v>
      </c>
      <c r="BH405" s="54">
        <f t="shared" si="126"/>
        <v>31149.965436566807</v>
      </c>
      <c r="BI405" s="54">
        <f t="shared" si="127"/>
        <v>51328.061981079903</v>
      </c>
      <c r="BJ405" s="20"/>
    </row>
    <row r="406" spans="37:62" x14ac:dyDescent="0.3">
      <c r="AK406">
        <v>402</v>
      </c>
      <c r="AL406">
        <v>201</v>
      </c>
      <c r="AN406" s="48">
        <f t="shared" si="128"/>
        <v>-49195.961371454454</v>
      </c>
      <c r="AO406" s="48">
        <f t="shared" si="129"/>
        <v>6292.6739503331664</v>
      </c>
      <c r="AP406" s="20"/>
      <c r="AQ406" s="50">
        <f t="shared" si="130"/>
        <v>3840.4056238234093</v>
      </c>
      <c r="AR406" s="50">
        <f t="shared" si="131"/>
        <v>-2728.8918726102434</v>
      </c>
      <c r="AS406" s="20"/>
      <c r="AT406" s="52">
        <f t="shared" si="132"/>
        <v>479.75810575739786</v>
      </c>
      <c r="AU406" s="52">
        <f t="shared" si="133"/>
        <v>-62.936273663425254</v>
      </c>
      <c r="AV406" s="20"/>
      <c r="AW406" s="20"/>
      <c r="AX406" s="20">
        <f t="shared" si="119"/>
        <v>105.96868309126361</v>
      </c>
      <c r="AY406" s="20">
        <f t="shared" si="120"/>
        <v>1.8489337962685017</v>
      </c>
      <c r="AZ406" s="20"/>
      <c r="BA406" s="20">
        <f t="shared" si="121"/>
        <v>189.39923324546493</v>
      </c>
      <c r="BB406" s="20">
        <f t="shared" si="122"/>
        <v>24.050063029757222</v>
      </c>
      <c r="BC406" s="20"/>
      <c r="BD406" s="20">
        <f t="shared" si="123"/>
        <v>184.39018942066932</v>
      </c>
      <c r="BE406" s="20">
        <f t="shared" si="124"/>
        <v>-88.835270489450977</v>
      </c>
      <c r="BF406" s="20"/>
      <c r="BG406" s="54">
        <f t="shared" si="125"/>
        <v>69206.493238062714</v>
      </c>
      <c r="BH406" s="54">
        <f t="shared" si="126"/>
        <v>29430.399705780397</v>
      </c>
      <c r="BI406" s="54">
        <f t="shared" si="127"/>
        <v>49057.73094530862</v>
      </c>
      <c r="BJ406" s="20"/>
    </row>
    <row r="407" spans="37:62" x14ac:dyDescent="0.3">
      <c r="AK407">
        <v>403</v>
      </c>
      <c r="AL407">
        <v>201.5</v>
      </c>
      <c r="AN407" s="48">
        <f t="shared" si="128"/>
        <v>-47215.788796323075</v>
      </c>
      <c r="AO407" s="48">
        <f t="shared" si="129"/>
        <v>4920.360979820116</v>
      </c>
      <c r="AP407" s="20"/>
      <c r="AQ407" s="50">
        <f t="shared" si="130"/>
        <v>4080.2846767021083</v>
      </c>
      <c r="AR407" s="50">
        <f t="shared" si="131"/>
        <v>-2760.3600094419562</v>
      </c>
      <c r="AS407" s="20"/>
      <c r="AT407" s="52">
        <f t="shared" si="132"/>
        <v>524.95891084051198</v>
      </c>
      <c r="AU407" s="52">
        <f t="shared" si="133"/>
        <v>-52.401728366996807</v>
      </c>
      <c r="AV407" s="20"/>
      <c r="AW407" s="20"/>
      <c r="AX407" s="20">
        <f t="shared" si="119"/>
        <v>111.90675253131064</v>
      </c>
      <c r="AY407" s="20">
        <f t="shared" si="120"/>
        <v>4.2948097555789539</v>
      </c>
      <c r="AZ407" s="20"/>
      <c r="BA407" s="20">
        <f t="shared" si="121"/>
        <v>209.88249033236477</v>
      </c>
      <c r="BB407" s="20">
        <f t="shared" si="122"/>
        <v>39.173117322575777</v>
      </c>
      <c r="BC407" s="20"/>
      <c r="BD407" s="20">
        <f t="shared" si="123"/>
        <v>203.16966797683651</v>
      </c>
      <c r="BE407" s="20">
        <f t="shared" si="124"/>
        <v>-95.869655445151537</v>
      </c>
      <c r="BF407" s="20"/>
      <c r="BG407" s="54">
        <f t="shared" si="125"/>
        <v>67265.271879227133</v>
      </c>
      <c r="BH407" s="54">
        <f t="shared" si="126"/>
        <v>27685.770575900515</v>
      </c>
      <c r="BI407" s="54">
        <f t="shared" si="127"/>
        <v>46679.691572054078</v>
      </c>
      <c r="BJ407" s="20"/>
    </row>
    <row r="408" spans="37:62" x14ac:dyDescent="0.3">
      <c r="AK408">
        <v>404</v>
      </c>
      <c r="AL408">
        <v>202</v>
      </c>
      <c r="AN408" s="48">
        <f t="shared" si="128"/>
        <v>-45110.026594116956</v>
      </c>
      <c r="AO408" s="48">
        <f t="shared" si="129"/>
        <v>3533.6307590532633</v>
      </c>
      <c r="AP408" s="20"/>
      <c r="AQ408" s="50">
        <f t="shared" si="130"/>
        <v>4342.7641321223646</v>
      </c>
      <c r="AR408" s="50">
        <f t="shared" si="131"/>
        <v>-2786.5608736254544</v>
      </c>
      <c r="AS408" s="20"/>
      <c r="AT408" s="52">
        <f t="shared" si="132"/>
        <v>577.2823583033794</v>
      </c>
      <c r="AU408" s="52">
        <f t="shared" si="133"/>
        <v>-37.203286178787252</v>
      </c>
      <c r="AV408" s="20"/>
      <c r="AW408" s="20"/>
      <c r="AX408" s="20">
        <f t="shared" si="119"/>
        <v>118.61978393826398</v>
      </c>
      <c r="AY408" s="20">
        <f t="shared" si="120"/>
        <v>7.2260738781972691</v>
      </c>
      <c r="AZ408" s="20"/>
      <c r="BA408" s="20">
        <f t="shared" si="121"/>
        <v>232.7776615285095</v>
      </c>
      <c r="BB408" s="20">
        <f t="shared" si="122"/>
        <v>59.945229641458241</v>
      </c>
      <c r="BC408" s="20"/>
      <c r="BD408" s="20">
        <f t="shared" si="123"/>
        <v>225.88491283660596</v>
      </c>
      <c r="BE408" s="20">
        <f t="shared" si="124"/>
        <v>-104.37458969844276</v>
      </c>
      <c r="BF408" s="20"/>
      <c r="BG408" s="54">
        <f t="shared" si="125"/>
        <v>65230.726257202943</v>
      </c>
      <c r="BH408" s="54">
        <f t="shared" si="126"/>
        <v>25929.276247468282</v>
      </c>
      <c r="BI408" s="54">
        <f t="shared" si="127"/>
        <v>44184.948823029037</v>
      </c>
      <c r="BJ408" s="20"/>
    </row>
    <row r="409" spans="37:62" x14ac:dyDescent="0.3">
      <c r="AK409">
        <v>405</v>
      </c>
      <c r="AL409">
        <v>202.5</v>
      </c>
      <c r="AN409" s="48">
        <f t="shared" si="128"/>
        <v>-42866.484233267853</v>
      </c>
      <c r="AO409" s="48">
        <f t="shared" si="129"/>
        <v>2135.6999114681876</v>
      </c>
      <c r="AP409" s="20"/>
      <c r="AQ409" s="50">
        <f t="shared" si="130"/>
        <v>4631.4053112740539</v>
      </c>
      <c r="AR409" s="50">
        <f t="shared" si="131"/>
        <v>-2805.1625167148482</v>
      </c>
      <c r="AS409" s="20"/>
      <c r="AT409" s="52">
        <f t="shared" si="132"/>
        <v>637.46750449541321</v>
      </c>
      <c r="AU409" s="52">
        <f t="shared" si="133"/>
        <v>-15.538985947070302</v>
      </c>
      <c r="AV409" s="20"/>
      <c r="AW409" s="20"/>
      <c r="AX409" s="20">
        <f t="shared" si="119"/>
        <v>126.26198239876419</v>
      </c>
      <c r="AY409" s="20">
        <f t="shared" si="120"/>
        <v>10.773740119563959</v>
      </c>
      <c r="AZ409" s="20"/>
      <c r="BA409" s="20">
        <f t="shared" si="121"/>
        <v>257.4201910757115</v>
      </c>
      <c r="BB409" s="20">
        <f t="shared" si="122"/>
        <v>88.532614406953911</v>
      </c>
      <c r="BC409" s="20"/>
      <c r="BD409" s="20">
        <f t="shared" si="123"/>
        <v>253.78533102093755</v>
      </c>
      <c r="BE409" s="20">
        <f t="shared" si="124"/>
        <v>-114.84534047358817</v>
      </c>
      <c r="BF409" s="20"/>
      <c r="BG409" s="54">
        <f t="shared" si="125"/>
        <v>63094.932881266606</v>
      </c>
      <c r="BH409" s="54">
        <f t="shared" si="126"/>
        <v>24181.052852859175</v>
      </c>
      <c r="BI409" s="54">
        <f t="shared" si="127"/>
        <v>41563.23904178082</v>
      </c>
      <c r="BJ409" s="20"/>
    </row>
    <row r="410" spans="37:62" x14ac:dyDescent="0.3">
      <c r="AK410">
        <v>406</v>
      </c>
      <c r="AL410">
        <v>203</v>
      </c>
      <c r="AN410" s="48">
        <f t="shared" si="128"/>
        <v>-40471.098139568901</v>
      </c>
      <c r="AO410" s="48">
        <f t="shared" si="129"/>
        <v>731.17627986737966</v>
      </c>
      <c r="AP410" s="20"/>
      <c r="AQ410" s="50">
        <f t="shared" si="130"/>
        <v>4950.1390635217604</v>
      </c>
      <c r="AR410" s="50">
        <f t="shared" si="131"/>
        <v>-2812.9320096883835</v>
      </c>
      <c r="AS410" s="20"/>
      <c r="AT410" s="52">
        <f t="shared" si="132"/>
        <v>705.65763555778835</v>
      </c>
      <c r="AU410" s="52">
        <f t="shared" si="133"/>
        <v>14.762481815269552</v>
      </c>
      <c r="AV410" s="20"/>
      <c r="AW410" s="20"/>
      <c r="AX410" s="20">
        <f t="shared" si="119"/>
        <v>135.03008281794476</v>
      </c>
      <c r="AY410" s="20">
        <f t="shared" si="120"/>
        <v>15.114573004777458</v>
      </c>
      <c r="AZ410" s="20"/>
      <c r="BA410" s="20">
        <f t="shared" si="121"/>
        <v>281.96573663906719</v>
      </c>
      <c r="BB410" s="20">
        <f t="shared" si="122"/>
        <v>127.66734301240037</v>
      </c>
      <c r="BC410" s="20"/>
      <c r="BD410" s="20">
        <f t="shared" si="123"/>
        <v>288.66181610077632</v>
      </c>
      <c r="BE410" s="20">
        <f t="shared" si="124"/>
        <v>-128.01943420190827</v>
      </c>
      <c r="BF410" s="20"/>
      <c r="BG410" s="54">
        <f t="shared" si="125"/>
        <v>60848.752532485028</v>
      </c>
      <c r="BH410" s="54">
        <f t="shared" si="126"/>
        <v>22471.692241456905</v>
      </c>
      <c r="BI410" s="54">
        <f t="shared" si="127"/>
        <v>38802.947186717538</v>
      </c>
      <c r="BJ410" s="20"/>
    </row>
    <row r="411" spans="37:62" x14ac:dyDescent="0.3">
      <c r="AK411">
        <v>407</v>
      </c>
      <c r="AL411">
        <v>203.5</v>
      </c>
      <c r="AN411" s="48">
        <f t="shared" si="128"/>
        <v>-37907.821403363298</v>
      </c>
      <c r="AO411" s="48">
        <f t="shared" si="129"/>
        <v>-673.44441474990333</v>
      </c>
      <c r="AP411" s="20"/>
      <c r="AQ411" s="50">
        <f t="shared" si="130"/>
        <v>5302.9678813006549</v>
      </c>
      <c r="AR411" s="50">
        <f t="shared" si="131"/>
        <v>-2805.5507687807485</v>
      </c>
      <c r="AS411" s="20"/>
      <c r="AT411" s="52">
        <f t="shared" si="132"/>
        <v>780.72633972296853</v>
      </c>
      <c r="AU411" s="52">
        <f t="shared" si="133"/>
        <v>55.695720685748171</v>
      </c>
      <c r="AV411" s="20"/>
      <c r="AW411" s="20"/>
      <c r="AX411" s="20">
        <f t="shared" si="119"/>
        <v>145.1775507982621</v>
      </c>
      <c r="AY411" s="20">
        <f t="shared" si="120"/>
        <v>20.491198131142401</v>
      </c>
      <c r="AZ411" s="20"/>
      <c r="BA411" s="20">
        <f t="shared" si="121"/>
        <v>302.40519192385813</v>
      </c>
      <c r="BB411" s="20">
        <f t="shared" si="122"/>
        <v>180.23995962595848</v>
      </c>
      <c r="BC411" s="20"/>
      <c r="BD411" s="20">
        <f t="shared" si="123"/>
        <v>333.14359700084833</v>
      </c>
      <c r="BE411" s="20">
        <f t="shared" si="124"/>
        <v>-145.0354370713527</v>
      </c>
      <c r="BF411" s="20"/>
      <c r="BG411" s="54">
        <f t="shared" si="125"/>
        <v>58481.800359469329</v>
      </c>
      <c r="BH411" s="54">
        <f t="shared" si="126"/>
        <v>20847.361537842444</v>
      </c>
      <c r="BI411" s="54">
        <f t="shared" si="127"/>
        <v>35891.153568155431</v>
      </c>
      <c r="BJ411" s="20"/>
    </row>
    <row r="412" spans="37:62" x14ac:dyDescent="0.3">
      <c r="AK412">
        <v>408</v>
      </c>
      <c r="AL412">
        <v>204</v>
      </c>
      <c r="AN412" s="48">
        <f t="shared" si="128"/>
        <v>-35158.746670247594</v>
      </c>
      <c r="AO412" s="48">
        <f t="shared" si="129"/>
        <v>-2069.2578340545592</v>
      </c>
      <c r="AP412" s="20"/>
      <c r="AQ412" s="50">
        <f t="shared" si="130"/>
        <v>5693.3310511621394</v>
      </c>
      <c r="AR412" s="50">
        <f t="shared" si="131"/>
        <v>-2777.7029084378746</v>
      </c>
      <c r="AS412" s="20"/>
      <c r="AT412" s="52">
        <f t="shared" si="132"/>
        <v>859.54071916609928</v>
      </c>
      <c r="AU412" s="52">
        <f t="shared" si="133"/>
        <v>107.39110137797033</v>
      </c>
      <c r="AV412" s="20"/>
      <c r="AW412" s="20"/>
      <c r="AX412" s="20">
        <f t="shared" si="119"/>
        <v>157.03313438456485</v>
      </c>
      <c r="AY412" s="20">
        <f t="shared" si="120"/>
        <v>27.243014791454364</v>
      </c>
      <c r="AZ412" s="20"/>
      <c r="BA412" s="20">
        <f t="shared" si="121"/>
        <v>311.32155660911542</v>
      </c>
      <c r="BB412" s="20">
        <f t="shared" si="122"/>
        <v>247.87142484473321</v>
      </c>
      <c r="BC412" s="20"/>
      <c r="BD412" s="20">
        <f t="shared" si="123"/>
        <v>391.18602817241901</v>
      </c>
      <c r="BE412" s="20">
        <f t="shared" si="124"/>
        <v>-167.72333825821724</v>
      </c>
      <c r="BF412" s="20"/>
      <c r="BG412" s="54">
        <f t="shared" si="125"/>
        <v>55982.658294575158</v>
      </c>
      <c r="BH412" s="54">
        <f t="shared" si="126"/>
        <v>19376.65051750766</v>
      </c>
      <c r="BI412" s="54">
        <f t="shared" si="127"/>
        <v>32813.931396319</v>
      </c>
      <c r="BJ412" s="20"/>
    </row>
    <row r="413" spans="37:62" x14ac:dyDescent="0.3">
      <c r="AK413">
        <v>409</v>
      </c>
      <c r="AL413">
        <v>204.5</v>
      </c>
      <c r="AN413" s="48">
        <f t="shared" si="128"/>
        <v>-32204.638554770761</v>
      </c>
      <c r="AO413" s="48">
        <f t="shared" si="129"/>
        <v>-3444.6854006012504</v>
      </c>
      <c r="AP413" s="20"/>
      <c r="AQ413" s="50">
        <f t="shared" si="130"/>
        <v>6123.1014107451892</v>
      </c>
      <c r="AR413" s="50">
        <f t="shared" si="131"/>
        <v>-2724.0073577488893</v>
      </c>
      <c r="AS413" s="20"/>
      <c r="AT413" s="52">
        <f t="shared" si="132"/>
        <v>937.30838179455918</v>
      </c>
      <c r="AU413" s="52">
        <f t="shared" si="133"/>
        <v>164.323073678946</v>
      </c>
      <c r="AV413" s="20"/>
      <c r="AW413" s="20"/>
      <c r="AX413" s="20">
        <f t="shared" si="119"/>
        <v>171.02332315884303</v>
      </c>
      <c r="AY413" s="20">
        <f t="shared" si="120"/>
        <v>35.85498377074471</v>
      </c>
      <c r="AZ413" s="20"/>
      <c r="BA413" s="20">
        <f t="shared" si="121"/>
        <v>297.40806678785657</v>
      </c>
      <c r="BB413" s="20">
        <f t="shared" si="122"/>
        <v>327.62608049549419</v>
      </c>
      <c r="BC413" s="20"/>
      <c r="BD413" s="20">
        <f t="shared" si="123"/>
        <v>468.87699184785959</v>
      </c>
      <c r="BE413" s="20">
        <f t="shared" si="124"/>
        <v>-199.15799058729289</v>
      </c>
      <c r="BF413" s="20"/>
      <c r="BG413" s="54">
        <f t="shared" si="125"/>
        <v>53339.576537055407</v>
      </c>
      <c r="BH413" s="54">
        <f t="shared" si="126"/>
        <v>18157.994596698649</v>
      </c>
      <c r="BI413" s="54">
        <f t="shared" si="127"/>
        <v>29557.023774169105</v>
      </c>
      <c r="BJ413" s="20"/>
    </row>
    <row r="414" spans="37:62" x14ac:dyDescent="0.3">
      <c r="AK414">
        <v>410</v>
      </c>
      <c r="AL414">
        <v>205</v>
      </c>
      <c r="AN414" s="48">
        <f t="shared" si="128"/>
        <v>-29025.924301673844</v>
      </c>
      <c r="AO414" s="48">
        <f t="shared" si="129"/>
        <v>-4786.1486952658261</v>
      </c>
      <c r="AP414" s="20"/>
      <c r="AQ414" s="50">
        <f t="shared" si="130"/>
        <v>6591.7556016424687</v>
      </c>
      <c r="AR414" s="50">
        <f t="shared" si="131"/>
        <v>-2641.845820909416</v>
      </c>
      <c r="AS414" s="20"/>
      <c r="AT414" s="52">
        <f t="shared" si="132"/>
        <v>1011.9597547421554</v>
      </c>
      <c r="AU414" s="52">
        <f t="shared" si="133"/>
        <v>209.40353521511517</v>
      </c>
      <c r="AV414" s="20"/>
      <c r="AW414" s="20"/>
      <c r="AX414" s="20">
        <f t="shared" si="119"/>
        <v>187.69495504089574</v>
      </c>
      <c r="AY414" s="20">
        <f t="shared" si="120"/>
        <v>47.037320761027367</v>
      </c>
      <c r="AZ414" s="20"/>
      <c r="BA414" s="20">
        <f t="shared" si="121"/>
        <v>248.52170019613541</v>
      </c>
      <c r="BB414" s="20">
        <f t="shared" si="122"/>
        <v>407.12493150633543</v>
      </c>
      <c r="BC414" s="20"/>
      <c r="BD414" s="20">
        <f t="shared" si="123"/>
        <v>575.74309950512418</v>
      </c>
      <c r="BE414" s="20">
        <f t="shared" si="124"/>
        <v>-244.75871705224765</v>
      </c>
      <c r="BF414" s="20"/>
      <c r="BG414" s="54">
        <f t="shared" si="125"/>
        <v>50541.969722158996</v>
      </c>
      <c r="BH414" s="54">
        <f t="shared" si="126"/>
        <v>17323.322508631471</v>
      </c>
      <c r="BI414" s="54">
        <f t="shared" si="127"/>
        <v>26106.853449333601</v>
      </c>
      <c r="BJ414" s="20"/>
    </row>
    <row r="415" spans="37:62" x14ac:dyDescent="0.3">
      <c r="AK415">
        <v>411</v>
      </c>
      <c r="AL415">
        <v>205.5</v>
      </c>
      <c r="AN415" s="48">
        <f t="shared" si="128"/>
        <v>-25603.551531509838</v>
      </c>
      <c r="AO415" s="48">
        <f t="shared" si="129"/>
        <v>-6080.8961638186438</v>
      </c>
      <c r="AP415" s="20"/>
      <c r="AQ415" s="50">
        <f t="shared" si="130"/>
        <v>7097.7354790135469</v>
      </c>
      <c r="AR415" s="50">
        <f t="shared" si="131"/>
        <v>-2537.1440533018585</v>
      </c>
      <c r="AS415" s="20"/>
      <c r="AT415" s="52">
        <f t="shared" si="132"/>
        <v>1095.6119807318005</v>
      </c>
      <c r="AU415" s="52">
        <f t="shared" si="133"/>
        <v>210.01625644608339</v>
      </c>
      <c r="AV415" s="20"/>
      <c r="AW415" s="20"/>
      <c r="AX415" s="20">
        <f t="shared" si="119"/>
        <v>207.72641727135769</v>
      </c>
      <c r="AY415" s="20">
        <f t="shared" si="120"/>
        <v>61.861649119479701</v>
      </c>
      <c r="AZ415" s="20"/>
      <c r="BA415" s="20">
        <f t="shared" si="121"/>
        <v>161.23753574494134</v>
      </c>
      <c r="BB415" s="20">
        <f t="shared" si="122"/>
        <v>462.71441521405535</v>
      </c>
      <c r="BC415" s="20"/>
      <c r="BD415" s="20">
        <f t="shared" si="123"/>
        <v>726.64802771550148</v>
      </c>
      <c r="BE415" s="20">
        <f t="shared" si="124"/>
        <v>-314.55980788745171</v>
      </c>
      <c r="BF415" s="20"/>
      <c r="BG415" s="54">
        <f t="shared" si="125"/>
        <v>47582.8188834951</v>
      </c>
      <c r="BH415" s="54">
        <f t="shared" si="126"/>
        <v>17029.239889020399</v>
      </c>
      <c r="BI415" s="54">
        <f t="shared" si="127"/>
        <v>22451.208184687221</v>
      </c>
      <c r="BJ415" s="20"/>
    </row>
    <row r="416" spans="37:62" x14ac:dyDescent="0.3">
      <c r="AK416">
        <v>412</v>
      </c>
      <c r="AL416">
        <v>206</v>
      </c>
      <c r="AN416" s="48">
        <f t="shared" si="128"/>
        <v>-21917.732294411591</v>
      </c>
      <c r="AO416" s="48">
        <f t="shared" si="129"/>
        <v>-7323.216158413813</v>
      </c>
      <c r="AP416" s="20"/>
      <c r="AQ416" s="50">
        <f t="shared" si="130"/>
        <v>7645.5414693794473</v>
      </c>
      <c r="AR416" s="50">
        <f t="shared" si="131"/>
        <v>-2432.1359250788169</v>
      </c>
      <c r="AS416" s="20"/>
      <c r="AT416" s="52">
        <f t="shared" si="132"/>
        <v>1227.0526431360167</v>
      </c>
      <c r="AU416" s="52">
        <f t="shared" si="133"/>
        <v>123.56878154299903</v>
      </c>
      <c r="AV416" s="20"/>
      <c r="AW416" s="20"/>
      <c r="AX416" s="20">
        <f t="shared" si="119"/>
        <v>231.89792121796242</v>
      </c>
      <c r="AY416" s="20">
        <f t="shared" si="120"/>
        <v>82.005223678546969</v>
      </c>
      <c r="AZ416" s="20"/>
      <c r="BA416" s="20">
        <f t="shared" si="121"/>
        <v>51.980500690510411</v>
      </c>
      <c r="BB416" s="20">
        <f t="shared" si="122"/>
        <v>469.54908779933601</v>
      </c>
      <c r="BC416" s="20"/>
      <c r="BD416" s="20">
        <f t="shared" si="123"/>
        <v>943.17422122754385</v>
      </c>
      <c r="BE416" s="20">
        <f t="shared" si="124"/>
        <v>-427.98552993488391</v>
      </c>
      <c r="BF416" s="20"/>
      <c r="BG416" s="54">
        <f t="shared" si="125"/>
        <v>44461.489156178934</v>
      </c>
      <c r="BH416" s="54">
        <f t="shared" si="126"/>
        <v>17429.042292224738</v>
      </c>
      <c r="BI416" s="54">
        <f t="shared" si="127"/>
        <v>18578.015936472217</v>
      </c>
      <c r="BJ416" s="20"/>
    </row>
    <row r="417" spans="37:62" x14ac:dyDescent="0.3">
      <c r="AK417">
        <v>413</v>
      </c>
      <c r="AL417">
        <v>206.5</v>
      </c>
      <c r="AN417" s="48">
        <f t="shared" si="128"/>
        <v>-17941.579979329868</v>
      </c>
      <c r="AO417" s="48">
        <f t="shared" si="129"/>
        <v>-8523.8380232603467</v>
      </c>
      <c r="AP417" s="20"/>
      <c r="AQ417" s="50">
        <f t="shared" si="130"/>
        <v>8259.0677909474562</v>
      </c>
      <c r="AR417" s="50">
        <f t="shared" si="131"/>
        <v>-2370.3515343073173</v>
      </c>
      <c r="AS417" s="20"/>
      <c r="AT417" s="52">
        <f t="shared" si="132"/>
        <v>1459.0424182123356</v>
      </c>
      <c r="AU417" s="52">
        <f t="shared" si="133"/>
        <v>-91.217880047051267</v>
      </c>
      <c r="AV417" s="20"/>
      <c r="AW417" s="20"/>
      <c r="AX417" s="20">
        <f t="shared" si="119"/>
        <v>260.93719086074168</v>
      </c>
      <c r="AY417" s="20">
        <f t="shared" si="120"/>
        <v>110.20140128257634</v>
      </c>
      <c r="AZ417" s="20"/>
      <c r="BA417" s="20">
        <f t="shared" si="121"/>
        <v>-46.846388974221327</v>
      </c>
      <c r="BB417" s="20">
        <f t="shared" si="122"/>
        <v>421.57330021042821</v>
      </c>
      <c r="BC417" s="20"/>
      <c r="BD417" s="20">
        <f t="shared" si="123"/>
        <v>1244.9516163258154</v>
      </c>
      <c r="BE417" s="20">
        <f t="shared" si="124"/>
        <v>-622.99258154005588</v>
      </c>
      <c r="BF417" s="20"/>
      <c r="BG417" s="54">
        <f t="shared" si="125"/>
        <v>41186.489002142065</v>
      </c>
      <c r="BH417" s="54">
        <f t="shared" si="126"/>
        <v>18637.855780466845</v>
      </c>
      <c r="BI417" s="54">
        <f t="shared" si="127"/>
        <v>14471.529508326345</v>
      </c>
      <c r="BJ417" s="20"/>
    </row>
    <row r="418" spans="37:62" x14ac:dyDescent="0.3">
      <c r="AK418">
        <v>414</v>
      </c>
      <c r="AL418">
        <v>207</v>
      </c>
      <c r="AN418" s="48">
        <f t="shared" si="128"/>
        <v>-13629.665781579599</v>
      </c>
      <c r="AO418" s="48">
        <f t="shared" si="129"/>
        <v>-9720.4160254198869</v>
      </c>
      <c r="AP418" s="20"/>
      <c r="AQ418" s="50">
        <f t="shared" si="130"/>
        <v>8988.5890000536237</v>
      </c>
      <c r="AR418" s="50">
        <f t="shared" si="131"/>
        <v>-2415.9604743308428</v>
      </c>
      <c r="AS418" s="20"/>
      <c r="AT418" s="52">
        <f t="shared" si="132"/>
        <v>1755.4731775920495</v>
      </c>
      <c r="AU418" s="52">
        <f t="shared" si="133"/>
        <v>-470.99171516332677</v>
      </c>
      <c r="AV418" s="20"/>
      <c r="AW418" s="20"/>
      <c r="AX418" s="20">
        <f t="shared" si="119"/>
        <v>294.95146742923288</v>
      </c>
      <c r="AY418" s="20">
        <f t="shared" si="120"/>
        <v>151.03293055090546</v>
      </c>
      <c r="AZ418" s="20"/>
      <c r="BA418" s="20">
        <f t="shared" si="121"/>
        <v>-109.31122675369244</v>
      </c>
      <c r="BB418" s="20">
        <f t="shared" si="122"/>
        <v>338.39085892833185</v>
      </c>
      <c r="BC418" s="20"/>
      <c r="BD418" s="20">
        <f t="shared" si="123"/>
        <v>1569.8329369165092</v>
      </c>
      <c r="BE418" s="20">
        <f t="shared" si="124"/>
        <v>-960.41550464256409</v>
      </c>
      <c r="BF418" s="20"/>
      <c r="BG418" s="54">
        <f t="shared" si="125"/>
        <v>37782.233240893584</v>
      </c>
      <c r="BH418" s="54">
        <f t="shared" si="126"/>
        <v>20723.801926046661</v>
      </c>
      <c r="BI418" s="54">
        <f t="shared" si="127"/>
        <v>10116.577407720903</v>
      </c>
      <c r="BJ418" s="20"/>
    </row>
    <row r="419" spans="37:62" x14ac:dyDescent="0.3">
      <c r="AK419">
        <v>415</v>
      </c>
      <c r="AL419">
        <v>207.5</v>
      </c>
      <c r="AN419" s="48">
        <f t="shared" si="128"/>
        <v>-8915.9371343537805</v>
      </c>
      <c r="AO419" s="48">
        <f t="shared" si="129"/>
        <v>-10987.270226980725</v>
      </c>
      <c r="AP419" s="20"/>
      <c r="AQ419" s="50">
        <f t="shared" si="130"/>
        <v>9866.3255888496478</v>
      </c>
      <c r="AR419" s="50">
        <f t="shared" si="131"/>
        <v>-2651.4563319125064</v>
      </c>
      <c r="AS419" s="20"/>
      <c r="AT419" s="52">
        <f t="shared" si="132"/>
        <v>1560.739799250277</v>
      </c>
      <c r="AU419" s="52">
        <f t="shared" si="133"/>
        <v>-933.67164648183348</v>
      </c>
      <c r="AV419" s="20"/>
      <c r="AW419" s="20"/>
      <c r="AX419" s="20">
        <f t="shared" si="119"/>
        <v>331.42494675079416</v>
      </c>
      <c r="AY419" s="20">
        <f t="shared" si="120"/>
        <v>211.89500177966687</v>
      </c>
      <c r="AZ419" s="20"/>
      <c r="BA419" s="20">
        <f t="shared" si="121"/>
        <v>-131.37779509458306</v>
      </c>
      <c r="BB419" s="20">
        <f t="shared" si="122"/>
        <v>248.75908057330966</v>
      </c>
      <c r="BC419" s="20"/>
      <c r="BD419" s="20">
        <f t="shared" si="123"/>
        <v>1360.6926475940659</v>
      </c>
      <c r="BE419" s="20">
        <f t="shared" si="124"/>
        <v>-1394.32572883481</v>
      </c>
      <c r="BF419" s="20"/>
      <c r="BG419" s="54">
        <f t="shared" si="125"/>
        <v>34320.701927602058</v>
      </c>
      <c r="BH419" s="54">
        <f t="shared" si="126"/>
        <v>23734.404588906567</v>
      </c>
      <c r="BI419" s="54">
        <f t="shared" si="127"/>
        <v>5606.8318925651965</v>
      </c>
      <c r="BJ419" s="20"/>
    </row>
    <row r="420" spans="37:62" x14ac:dyDescent="0.3">
      <c r="AK420">
        <v>416</v>
      </c>
      <c r="AL420">
        <v>208</v>
      </c>
      <c r="AN420" s="48">
        <f t="shared" si="128"/>
        <v>-3787.6818650226719</v>
      </c>
      <c r="AO420" s="48">
        <f t="shared" si="129"/>
        <v>-12429.707348747206</v>
      </c>
      <c r="AP420" s="20"/>
      <c r="AQ420" s="50">
        <f t="shared" si="130"/>
        <v>10646.695488474787</v>
      </c>
      <c r="AR420" s="50">
        <f t="shared" si="131"/>
        <v>-3118.2921551534232</v>
      </c>
      <c r="AS420" s="20"/>
      <c r="AT420" s="52">
        <f t="shared" si="132"/>
        <v>-330.76758231452709</v>
      </c>
      <c r="AU420" s="52">
        <f t="shared" si="133"/>
        <v>-723.57894602137139</v>
      </c>
      <c r="AV420" s="20"/>
      <c r="AW420" s="20"/>
      <c r="AX420" s="20">
        <f t="shared" si="119"/>
        <v>359.3536148935919</v>
      </c>
      <c r="AY420" s="20">
        <f t="shared" si="120"/>
        <v>301.07231213960353</v>
      </c>
      <c r="AZ420" s="20"/>
      <c r="BA420" s="20">
        <f t="shared" si="121"/>
        <v>-125.15741274137945</v>
      </c>
      <c r="BB420" s="20">
        <f t="shared" si="122"/>
        <v>173.15501194483755</v>
      </c>
      <c r="BC420" s="20"/>
      <c r="BD420" s="20">
        <f t="shared" si="123"/>
        <v>-564.96378446673953</v>
      </c>
      <c r="BE420" s="20">
        <f t="shared" si="124"/>
        <v>-1197.8062701058125</v>
      </c>
      <c r="BF420" s="20"/>
      <c r="BG420" s="54">
        <f t="shared" si="125"/>
        <v>31032.999267203242</v>
      </c>
      <c r="BH420" s="54">
        <f t="shared" si="126"/>
        <v>27675.459003603883</v>
      </c>
      <c r="BI420" s="54">
        <f t="shared" si="127"/>
        <v>2841.8514340969732</v>
      </c>
      <c r="BJ420" s="20"/>
    </row>
    <row r="421" spans="37:62" x14ac:dyDescent="0.3">
      <c r="AK421">
        <v>417</v>
      </c>
      <c r="AL421">
        <v>208.5</v>
      </c>
      <c r="AN421" s="48">
        <f t="shared" si="128"/>
        <v>1494.3199314254055</v>
      </c>
      <c r="AO421" s="48">
        <f t="shared" si="129"/>
        <v>-14079.300794576589</v>
      </c>
      <c r="AP421" s="20"/>
      <c r="AQ421" s="50">
        <f t="shared" si="130"/>
        <v>10481.311697317524</v>
      </c>
      <c r="AR421" s="50">
        <f t="shared" si="131"/>
        <v>-3480.0816281641091</v>
      </c>
      <c r="AS421" s="20"/>
      <c r="AT421" s="52">
        <f t="shared" si="132"/>
        <v>-1741.097080706789</v>
      </c>
      <c r="AU421" s="52">
        <f t="shared" si="133"/>
        <v>251.06742562078159</v>
      </c>
      <c r="AV421" s="20"/>
      <c r="AW421" s="20"/>
      <c r="AX421" s="20">
        <f t="shared" si="119"/>
        <v>354.06598614197338</v>
      </c>
      <c r="AY421" s="20">
        <f t="shared" si="120"/>
        <v>412.8730415620193</v>
      </c>
      <c r="AZ421" s="20"/>
      <c r="BA421" s="20">
        <f t="shared" si="121"/>
        <v>-107.1488956598829</v>
      </c>
      <c r="BB421" s="20">
        <f t="shared" si="122"/>
        <v>120.03499048271233</v>
      </c>
      <c r="BC421" s="20"/>
      <c r="BD421" s="20">
        <f t="shared" si="123"/>
        <v>-1988.0141711888796</v>
      </c>
      <c r="BE421" s="20">
        <f t="shared" si="124"/>
        <v>-281.84060642395002</v>
      </c>
      <c r="BF421" s="20"/>
      <c r="BG421" s="54">
        <f t="shared" si="125"/>
        <v>28427.564397662576</v>
      </c>
      <c r="BH421" s="54">
        <f t="shared" si="126"/>
        <v>32277.213573512945</v>
      </c>
      <c r="BI421" s="54">
        <f t="shared" si="127"/>
        <v>6559.2589824290808</v>
      </c>
      <c r="BJ421" s="20"/>
    </row>
    <row r="422" spans="37:62" x14ac:dyDescent="0.3">
      <c r="AK422">
        <v>418</v>
      </c>
      <c r="AL422">
        <v>209</v>
      </c>
      <c r="AN422" s="48">
        <f t="shared" si="128"/>
        <v>6517.3386449958189</v>
      </c>
      <c r="AO422" s="48">
        <f t="shared" si="129"/>
        <v>-15787.958180456046</v>
      </c>
      <c r="AP422" s="20"/>
      <c r="AQ422" s="50">
        <f t="shared" si="130"/>
        <v>9610.7631569641289</v>
      </c>
      <c r="AR422" s="50">
        <f t="shared" si="131"/>
        <v>-3354.5479153537185</v>
      </c>
      <c r="AS422" s="20"/>
      <c r="AT422" s="52">
        <f t="shared" si="132"/>
        <v>-1483.4991667523877</v>
      </c>
      <c r="AU422" s="52">
        <f t="shared" si="133"/>
        <v>718.01930328598394</v>
      </c>
      <c r="AV422" s="20"/>
      <c r="AW422" s="20"/>
      <c r="AX422" s="20">
        <f t="shared" si="119"/>
        <v>298.39776156852594</v>
      </c>
      <c r="AY422" s="20">
        <f t="shared" si="120"/>
        <v>515.40822761748973</v>
      </c>
      <c r="AZ422" s="20"/>
      <c r="BA422" s="20">
        <f t="shared" si="121"/>
        <v>-89.265051789011125</v>
      </c>
      <c r="BB422" s="20">
        <f t="shared" si="122"/>
        <v>86.809745628288141</v>
      </c>
      <c r="BC422" s="20"/>
      <c r="BD422" s="20">
        <f t="shared" si="123"/>
        <v>-1692.6318765319027</v>
      </c>
      <c r="BE422" s="20">
        <f t="shared" si="124"/>
        <v>115.80133004020604</v>
      </c>
      <c r="BF422" s="20"/>
      <c r="BG422" s="54">
        <f t="shared" si="125"/>
        <v>26909.313507192874</v>
      </c>
      <c r="BH422" s="54">
        <f t="shared" si="126"/>
        <v>36989.025885123527</v>
      </c>
      <c r="BI422" s="54">
        <f t="shared" si="127"/>
        <v>11544.261239146565</v>
      </c>
      <c r="BJ422" s="20"/>
    </row>
    <row r="423" spans="37:62" x14ac:dyDescent="0.3">
      <c r="AK423">
        <v>419</v>
      </c>
      <c r="AL423">
        <v>209.5</v>
      </c>
      <c r="AN423" s="48">
        <f t="shared" si="128"/>
        <v>11137.282827633835</v>
      </c>
      <c r="AO423" s="48">
        <f t="shared" si="129"/>
        <v>-17375.479725222158</v>
      </c>
      <c r="AP423" s="20"/>
      <c r="AQ423" s="50">
        <f t="shared" si="130"/>
        <v>8869.0135735879358</v>
      </c>
      <c r="AR423" s="50">
        <f t="shared" si="131"/>
        <v>-2995.5382637107264</v>
      </c>
      <c r="AS423" s="20"/>
      <c r="AT423" s="52">
        <f t="shared" si="132"/>
        <v>-1075.5661762507521</v>
      </c>
      <c r="AU423" s="52">
        <f t="shared" si="133"/>
        <v>822.23779604432661</v>
      </c>
      <c r="AV423" s="20"/>
      <c r="AW423" s="20"/>
      <c r="AX423" s="20">
        <f t="shared" si="119"/>
        <v>206.11159967303146</v>
      </c>
      <c r="AY423" s="20">
        <f t="shared" si="120"/>
        <v>578.50485568758836</v>
      </c>
      <c r="AZ423" s="20"/>
      <c r="BA423" s="20">
        <f t="shared" si="121"/>
        <v>-75.226263587119405</v>
      </c>
      <c r="BB423" s="20">
        <f t="shared" si="122"/>
        <v>66.137917847017818</v>
      </c>
      <c r="BC423" s="20"/>
      <c r="BD423" s="20">
        <f t="shared" si="123"/>
        <v>-1206.4515123366641</v>
      </c>
      <c r="BE423" s="20">
        <f t="shared" si="124"/>
        <v>177.59502250972042</v>
      </c>
      <c r="BF423" s="20"/>
      <c r="BG423" s="54">
        <f t="shared" si="125"/>
        <v>26407.143867470651</v>
      </c>
      <c r="BH423" s="54">
        <f t="shared" si="126"/>
        <v>41460.189001910134</v>
      </c>
      <c r="BI423" s="54">
        <f t="shared" si="127"/>
        <v>16311.186375735746</v>
      </c>
      <c r="BJ423" s="20"/>
    </row>
    <row r="424" spans="37:62" x14ac:dyDescent="0.3">
      <c r="AK424">
        <v>420</v>
      </c>
      <c r="AL424">
        <v>210</v>
      </c>
      <c r="AN424" s="48">
        <f t="shared" si="128"/>
        <v>15437.343842396458</v>
      </c>
      <c r="AO424" s="48">
        <f t="shared" si="129"/>
        <v>-18770.46913257198</v>
      </c>
      <c r="AP424" s="20"/>
      <c r="AQ424" s="50">
        <f t="shared" si="130"/>
        <v>8331.23048546256</v>
      </c>
      <c r="AR424" s="50">
        <f t="shared" si="131"/>
        <v>-2584.4193656885632</v>
      </c>
      <c r="AS424" s="20"/>
      <c r="AT424" s="52">
        <f t="shared" si="132"/>
        <v>-833.49911125073766</v>
      </c>
      <c r="AU424" s="52">
        <f t="shared" si="133"/>
        <v>809.02390943399871</v>
      </c>
      <c r="AV424" s="20"/>
      <c r="AW424" s="20"/>
      <c r="AX424" s="20">
        <f t="shared" si="119"/>
        <v>103.44772045414167</v>
      </c>
      <c r="AY424" s="20">
        <f t="shared" si="120"/>
        <v>595.62238598598401</v>
      </c>
      <c r="AZ424" s="20"/>
      <c r="BA424" s="20">
        <f t="shared" si="121"/>
        <v>-64.6258885652597</v>
      </c>
      <c r="BB424" s="20">
        <f t="shared" si="122"/>
        <v>52.467734049169756</v>
      </c>
      <c r="BC424" s="20"/>
      <c r="BD424" s="20">
        <f t="shared" si="123"/>
        <v>-872.32094313961966</v>
      </c>
      <c r="BE424" s="20">
        <f t="shared" si="124"/>
        <v>160.93378939884497</v>
      </c>
      <c r="BF424" s="20"/>
      <c r="BG424" s="54">
        <f t="shared" si="125"/>
        <v>26663.746542035962</v>
      </c>
      <c r="BH424" s="54">
        <f t="shared" si="126"/>
        <v>45645.86764114043</v>
      </c>
      <c r="BI424" s="54">
        <f t="shared" si="127"/>
        <v>20782.239071188131</v>
      </c>
      <c r="BJ424" s="20"/>
    </row>
    <row r="425" spans="37:62" x14ac:dyDescent="0.3">
      <c r="AK425">
        <v>421</v>
      </c>
      <c r="AL425">
        <v>210.5</v>
      </c>
      <c r="AN425" s="48">
        <f t="shared" si="128"/>
        <v>19498.771696221396</v>
      </c>
      <c r="AO425" s="48">
        <f t="shared" si="129"/>
        <v>-19961.55082673701</v>
      </c>
      <c r="AP425" s="20"/>
      <c r="AQ425" s="50">
        <f t="shared" si="130"/>
        <v>7914.4809298371911</v>
      </c>
      <c r="AR425" s="50">
        <f t="shared" si="131"/>
        <v>-2179.9074109715639</v>
      </c>
      <c r="AS425" s="20"/>
      <c r="AT425" s="52">
        <f t="shared" si="132"/>
        <v>-703.37842614752913</v>
      </c>
      <c r="AU425" s="52">
        <f t="shared" si="133"/>
        <v>751.76252993271282</v>
      </c>
      <c r="AV425" s="20"/>
      <c r="AW425" s="20"/>
      <c r="AX425" s="20">
        <f t="shared" si="119"/>
        <v>10.508760555874339</v>
      </c>
      <c r="AY425" s="20">
        <f t="shared" si="120"/>
        <v>575.75930959123014</v>
      </c>
      <c r="AZ425" s="20"/>
      <c r="BA425" s="20">
        <f t="shared" si="121"/>
        <v>-56.517697650940754</v>
      </c>
      <c r="BB425" s="20">
        <f t="shared" si="122"/>
        <v>42.871152647534345</v>
      </c>
      <c r="BC425" s="20"/>
      <c r="BD425" s="20">
        <f t="shared" si="123"/>
        <v>-657.36948905246265</v>
      </c>
      <c r="BE425" s="20">
        <f t="shared" si="124"/>
        <v>133.1320676939483</v>
      </c>
      <c r="BF425" s="20"/>
      <c r="BG425" s="54">
        <f t="shared" si="125"/>
        <v>27466.124656055301</v>
      </c>
      <c r="BH425" s="54">
        <f t="shared" si="126"/>
        <v>49576.682961381812</v>
      </c>
      <c r="BI425" s="54">
        <f t="shared" si="127"/>
        <v>24996.135725945187</v>
      </c>
      <c r="BJ425" s="20"/>
    </row>
    <row r="426" spans="37:62" x14ac:dyDescent="0.3">
      <c r="AK426">
        <v>422</v>
      </c>
      <c r="AL426">
        <v>211</v>
      </c>
      <c r="AN426" s="48">
        <f t="shared" si="128"/>
        <v>23368.08985787155</v>
      </c>
      <c r="AO426" s="48">
        <f t="shared" si="129"/>
        <v>-20957.534215981203</v>
      </c>
      <c r="AP426" s="20"/>
      <c r="AQ426" s="50">
        <f t="shared" si="130"/>
        <v>7562.7917167634268</v>
      </c>
      <c r="AR426" s="50">
        <f t="shared" si="131"/>
        <v>-1804.0261460052075</v>
      </c>
      <c r="AS426" s="20"/>
      <c r="AT426" s="52">
        <f t="shared" si="132"/>
        <v>-628.44994135491584</v>
      </c>
      <c r="AU426" s="52">
        <f t="shared" si="133"/>
        <v>676.96008029786981</v>
      </c>
      <c r="AV426" s="20"/>
      <c r="AW426" s="20"/>
      <c r="AX426" s="20">
        <f t="shared" si="119"/>
        <v>-63.076687382539951</v>
      </c>
      <c r="AY426" s="20">
        <f t="shared" si="120"/>
        <v>532.94510098187448</v>
      </c>
      <c r="AZ426" s="20"/>
      <c r="BA426" s="20">
        <f t="shared" si="121"/>
        <v>-50.18005477016191</v>
      </c>
      <c r="BB426" s="20">
        <f t="shared" si="122"/>
        <v>35.820133365295959</v>
      </c>
      <c r="BC426" s="20"/>
      <c r="BD426" s="20">
        <f t="shared" si="123"/>
        <v>-515.19319920221392</v>
      </c>
      <c r="BE426" s="20">
        <f t="shared" si="124"/>
        <v>108.19484595069936</v>
      </c>
      <c r="BF426" s="20"/>
      <c r="BG426" s="54">
        <f t="shared" si="125"/>
        <v>28656.156109018495</v>
      </c>
      <c r="BH426" s="54">
        <f t="shared" si="126"/>
        <v>53283.769974111892</v>
      </c>
      <c r="BI426" s="54">
        <f t="shared" si="127"/>
        <v>28986.906287475063</v>
      </c>
      <c r="BJ426" s="20"/>
    </row>
    <row r="427" spans="37:62" x14ac:dyDescent="0.3">
      <c r="AK427">
        <v>423</v>
      </c>
      <c r="AL427">
        <v>211.5</v>
      </c>
      <c r="AN427" s="48">
        <f t="shared" si="128"/>
        <v>27070.929473583899</v>
      </c>
      <c r="AO427" s="48">
        <f t="shared" si="129"/>
        <v>-21774.927278946572</v>
      </c>
      <c r="AP427" s="20"/>
      <c r="AQ427" s="50">
        <f t="shared" si="130"/>
        <v>7248.5667460859686</v>
      </c>
      <c r="AR427" s="50">
        <f t="shared" si="131"/>
        <v>-1465.5461058562726</v>
      </c>
      <c r="AS427" s="20"/>
      <c r="AT427" s="52">
        <f t="shared" si="132"/>
        <v>-578.19207377455143</v>
      </c>
      <c r="AU427" s="52">
        <f t="shared" si="133"/>
        <v>598.25851398738473</v>
      </c>
      <c r="AV427" s="20"/>
      <c r="AW427" s="20"/>
      <c r="AX427" s="20">
        <f t="shared" si="119"/>
        <v>-115.85595595850504</v>
      </c>
      <c r="AY427" s="20">
        <f t="shared" si="120"/>
        <v>479.66461809426056</v>
      </c>
      <c r="AZ427" s="20"/>
      <c r="BA427" s="20">
        <f t="shared" si="121"/>
        <v>-45.119486929081241</v>
      </c>
      <c r="BB427" s="20">
        <f t="shared" si="122"/>
        <v>30.457618578352239</v>
      </c>
      <c r="BC427" s="20"/>
      <c r="BD427" s="20">
        <f t="shared" si="123"/>
        <v>-417.21663088696516</v>
      </c>
      <c r="BE427" s="20">
        <f t="shared" si="124"/>
        <v>88.136277314771931</v>
      </c>
      <c r="BF427" s="20"/>
      <c r="BG427" s="54">
        <f t="shared" si="125"/>
        <v>30116.7629536776</v>
      </c>
      <c r="BH427" s="54">
        <f t="shared" si="126"/>
        <v>56791.886789306911</v>
      </c>
      <c r="BI427" s="54">
        <f t="shared" si="127"/>
        <v>32778.714998221127</v>
      </c>
      <c r="BJ427" s="20"/>
    </row>
    <row r="428" spans="37:62" x14ac:dyDescent="0.3">
      <c r="AK428">
        <v>424</v>
      </c>
      <c r="AL428">
        <v>212</v>
      </c>
      <c r="AN428" s="48">
        <f t="shared" si="128"/>
        <v>30622.938837405065</v>
      </c>
      <c r="AO428" s="48">
        <f t="shared" si="129"/>
        <v>-22432.918017626285</v>
      </c>
      <c r="AP428" s="20"/>
      <c r="AQ428" s="50">
        <f t="shared" si="130"/>
        <v>6959.4707091986929</v>
      </c>
      <c r="AR428" s="50">
        <f t="shared" si="131"/>
        <v>-1166.4168488625801</v>
      </c>
      <c r="AS428" s="20"/>
      <c r="AT428" s="52">
        <f t="shared" si="132"/>
        <v>-538.66103471837232</v>
      </c>
      <c r="AU428" s="52">
        <f t="shared" si="133"/>
        <v>523.15013200609098</v>
      </c>
      <c r="AV428" s="20"/>
      <c r="AW428" s="20"/>
      <c r="AX428" s="20">
        <f t="shared" si="119"/>
        <v>-150.64265484407161</v>
      </c>
      <c r="AY428" s="20">
        <f t="shared" si="120"/>
        <v>424.47521410248982</v>
      </c>
      <c r="AZ428" s="20"/>
      <c r="BA428" s="20">
        <f t="shared" si="121"/>
        <v>-40.999850120419993</v>
      </c>
      <c r="BB428" s="20">
        <f t="shared" si="122"/>
        <v>26.267632978826679</v>
      </c>
      <c r="BC428" s="20"/>
      <c r="BD428" s="20">
        <f t="shared" si="123"/>
        <v>-347.01852975388067</v>
      </c>
      <c r="BE428" s="20">
        <f t="shared" si="124"/>
        <v>72.407284924774487</v>
      </c>
      <c r="BF428" s="20"/>
      <c r="BG428" s="54">
        <f t="shared" si="125"/>
        <v>31762.027809842137</v>
      </c>
      <c r="BH428" s="54">
        <f t="shared" si="126"/>
        <v>60121.344859157311</v>
      </c>
      <c r="BI428" s="54">
        <f t="shared" si="127"/>
        <v>36390.13659867541</v>
      </c>
      <c r="BJ428" s="20"/>
    </row>
    <row r="429" spans="37:62" x14ac:dyDescent="0.3">
      <c r="AK429">
        <v>425</v>
      </c>
      <c r="AL429">
        <v>212.5</v>
      </c>
      <c r="AN429" s="48">
        <f t="shared" si="128"/>
        <v>34035.341562664617</v>
      </c>
      <c r="AO429" s="48">
        <f t="shared" si="129"/>
        <v>-22950.732675556814</v>
      </c>
      <c r="AP429" s="20"/>
      <c r="AQ429" s="50">
        <f t="shared" si="130"/>
        <v>6690.1401918395068</v>
      </c>
      <c r="AR429" s="50">
        <f t="shared" si="131"/>
        <v>-904.84178285953453</v>
      </c>
      <c r="AS429" s="20"/>
      <c r="AT429" s="52">
        <f t="shared" si="132"/>
        <v>-504.13257493643886</v>
      </c>
      <c r="AU429" s="52">
        <f t="shared" si="133"/>
        <v>455.22153522914363</v>
      </c>
      <c r="AV429" s="20"/>
      <c r="AW429" s="20"/>
      <c r="AX429" s="20">
        <f t="shared" si="119"/>
        <v>-171.56269519429171</v>
      </c>
      <c r="AY429" s="20">
        <f t="shared" si="120"/>
        <v>372.21821393761604</v>
      </c>
      <c r="AZ429" s="20"/>
      <c r="BA429" s="20">
        <f t="shared" si="121"/>
        <v>-37.588380338184983</v>
      </c>
      <c r="BB429" s="20">
        <f t="shared" si="122"/>
        <v>22.921381385076092</v>
      </c>
      <c r="BC429" s="20"/>
      <c r="BD429" s="20">
        <f t="shared" si="123"/>
        <v>-294.98149940396218</v>
      </c>
      <c r="BE429" s="20">
        <f t="shared" si="124"/>
        <v>60.08193990645151</v>
      </c>
      <c r="BF429" s="20"/>
      <c r="BG429" s="54">
        <f t="shared" si="125"/>
        <v>33529.657517769017</v>
      </c>
      <c r="BH429" s="54">
        <f t="shared" si="126"/>
        <v>63289.564081685996</v>
      </c>
      <c r="BI429" s="54">
        <f t="shared" si="127"/>
        <v>39836.817656435087</v>
      </c>
      <c r="BJ429" s="20"/>
    </row>
    <row r="430" spans="37:62" x14ac:dyDescent="0.3">
      <c r="AK430">
        <v>426</v>
      </c>
      <c r="AL430">
        <v>213</v>
      </c>
      <c r="AN430" s="48">
        <f t="shared" si="128"/>
        <v>37317.395086717319</v>
      </c>
      <c r="AO430" s="48">
        <f t="shared" si="129"/>
        <v>-23346.250875082937</v>
      </c>
      <c r="AP430" s="20"/>
      <c r="AQ430" s="50">
        <f t="shared" si="130"/>
        <v>6438.0739043712874</v>
      </c>
      <c r="AR430" s="50">
        <f t="shared" si="131"/>
        <v>-677.23101524496269</v>
      </c>
      <c r="AS430" s="20"/>
      <c r="AT430" s="52">
        <f t="shared" si="132"/>
        <v>-472.50799160410662</v>
      </c>
      <c r="AU430" s="52">
        <f t="shared" si="133"/>
        <v>395.65805270839223</v>
      </c>
      <c r="AV430" s="20"/>
      <c r="AW430" s="20"/>
      <c r="AX430" s="20">
        <f t="shared" si="119"/>
        <v>-182.52120794198021</v>
      </c>
      <c r="AY430" s="20">
        <f t="shared" si="120"/>
        <v>325.11211657461473</v>
      </c>
      <c r="AZ430" s="20"/>
      <c r="BA430" s="20">
        <f t="shared" si="121"/>
        <v>-34.720618860592133</v>
      </c>
      <c r="BB430" s="20">
        <f t="shared" si="122"/>
        <v>20.199844485461437</v>
      </c>
      <c r="BC430" s="20"/>
      <c r="BD430" s="20">
        <f t="shared" si="123"/>
        <v>-255.26616480153427</v>
      </c>
      <c r="BE430" s="20">
        <f t="shared" si="124"/>
        <v>50.346091648316076</v>
      </c>
      <c r="BF430" s="20"/>
      <c r="BG430" s="54">
        <f t="shared" si="125"/>
        <v>35374.897394028099</v>
      </c>
      <c r="BH430" s="54">
        <f t="shared" si="126"/>
        <v>66311.810614330359</v>
      </c>
      <c r="BI430" s="54">
        <f t="shared" si="127"/>
        <v>43132.607509808047</v>
      </c>
      <c r="BJ430" s="20"/>
    </row>
    <row r="431" spans="37:62" x14ac:dyDescent="0.3">
      <c r="AK431">
        <v>427</v>
      </c>
      <c r="AL431">
        <v>213.5</v>
      </c>
      <c r="AN431" s="48">
        <f t="shared" si="128"/>
        <v>40477.368539952447</v>
      </c>
      <c r="AO431" s="48">
        <f t="shared" si="129"/>
        <v>-23635.409126116869</v>
      </c>
      <c r="AP431" s="20"/>
      <c r="AQ431" s="50">
        <f t="shared" si="130"/>
        <v>6201.819908569234</v>
      </c>
      <c r="AR431" s="50">
        <f t="shared" si="131"/>
        <v>-479.40198889076657</v>
      </c>
      <c r="AS431" s="20"/>
      <c r="AT431" s="52">
        <f t="shared" si="132"/>
        <v>-443.12739100353286</v>
      </c>
      <c r="AU431" s="52">
        <f t="shared" si="133"/>
        <v>344.33145975808327</v>
      </c>
      <c r="AV431" s="20"/>
      <c r="AW431" s="20"/>
      <c r="AX431" s="20">
        <f t="shared" si="119"/>
        <v>-186.65777796365515</v>
      </c>
      <c r="AY431" s="20">
        <f t="shared" si="120"/>
        <v>283.80923418609234</v>
      </c>
      <c r="AZ431" s="20"/>
      <c r="BA431" s="20">
        <f t="shared" si="121"/>
        <v>-32.27800215663428</v>
      </c>
      <c r="BB431" s="20">
        <f t="shared" si="122"/>
        <v>17.951902249100904</v>
      </c>
      <c r="BC431" s="20"/>
      <c r="BD431" s="20">
        <f t="shared" si="123"/>
        <v>-224.19161088324344</v>
      </c>
      <c r="BE431" s="20">
        <f t="shared" si="124"/>
        <v>42.570323322890019</v>
      </c>
      <c r="BF431" s="20"/>
      <c r="BG431" s="54">
        <f t="shared" si="125"/>
        <v>37265.752692944712</v>
      </c>
      <c r="BH431" s="54">
        <f t="shared" si="126"/>
        <v>69201.537935211352</v>
      </c>
      <c r="BI431" s="54">
        <f t="shared" si="127"/>
        <v>46289.970188952153</v>
      </c>
      <c r="BJ431" s="20"/>
    </row>
    <row r="432" spans="37:62" x14ac:dyDescent="0.3">
      <c r="AK432">
        <v>428</v>
      </c>
      <c r="AL432">
        <v>214</v>
      </c>
      <c r="AN432" s="48">
        <f t="shared" si="128"/>
        <v>43522.887570361621</v>
      </c>
      <c r="AO432" s="48">
        <f t="shared" si="129"/>
        <v>-23832.068688092491</v>
      </c>
      <c r="AP432" s="20"/>
      <c r="AQ432" s="50">
        <f t="shared" si="130"/>
        <v>5980.2562130674678</v>
      </c>
      <c r="AR432" s="50">
        <f t="shared" si="131"/>
        <v>-307.23625901172494</v>
      </c>
      <c r="AS432" s="20"/>
      <c r="AT432" s="52">
        <f t="shared" si="132"/>
        <v>-415.82410737750104</v>
      </c>
      <c r="AU432" s="52">
        <f t="shared" si="133"/>
        <v>300.49909346230731</v>
      </c>
      <c r="AV432" s="20"/>
      <c r="AW432" s="20"/>
      <c r="AX432" s="20">
        <f t="shared" si="119"/>
        <v>-186.29566589851214</v>
      </c>
      <c r="AY432" s="20">
        <f t="shared" si="120"/>
        <v>248.14252003570576</v>
      </c>
      <c r="AZ432" s="20"/>
      <c r="BA432" s="20">
        <f t="shared" si="121"/>
        <v>-30.173393019625109</v>
      </c>
      <c r="BB432" s="20">
        <f t="shared" si="122"/>
        <v>16.070244037033721</v>
      </c>
      <c r="BC432" s="20"/>
      <c r="BD432" s="20">
        <f t="shared" si="123"/>
        <v>-199.35504845936379</v>
      </c>
      <c r="BE432" s="20">
        <f t="shared" si="124"/>
        <v>36.286329389567825</v>
      </c>
      <c r="BF432" s="20"/>
      <c r="BG432" s="54">
        <f t="shared" si="125"/>
        <v>39179.392133151057</v>
      </c>
      <c r="BH432" s="54">
        <f t="shared" si="126"/>
        <v>71970.592028915606</v>
      </c>
      <c r="BI432" s="54">
        <f t="shared" si="127"/>
        <v>49320.138437327383</v>
      </c>
      <c r="BJ432" s="20"/>
    </row>
    <row r="433" spans="37:62" x14ac:dyDescent="0.3">
      <c r="AK433">
        <v>429</v>
      </c>
      <c r="AL433">
        <v>214.5</v>
      </c>
      <c r="AN433" s="48">
        <f t="shared" si="128"/>
        <v>46461.037663473166</v>
      </c>
      <c r="AO433" s="48">
        <f t="shared" si="129"/>
        <v>-23948.124430915566</v>
      </c>
      <c r="AP433" s="20"/>
      <c r="AQ433" s="50">
        <f t="shared" si="130"/>
        <v>5772.3441593787174</v>
      </c>
      <c r="AR433" s="50">
        <f t="shared" si="131"/>
        <v>-156.98671228057128</v>
      </c>
      <c r="AS433" s="20"/>
      <c r="AT433" s="52">
        <f t="shared" si="132"/>
        <v>-390.55382863083719</v>
      </c>
      <c r="AU433" s="52">
        <f t="shared" si="133"/>
        <v>263.20386518895111</v>
      </c>
      <c r="AV433" s="20"/>
      <c r="AW433" s="20"/>
      <c r="AX433" s="20">
        <f t="shared" si="119"/>
        <v>-183.07443466489826</v>
      </c>
      <c r="AY433" s="20">
        <f t="shared" si="120"/>
        <v>217.57830039328687</v>
      </c>
      <c r="AZ433" s="20"/>
      <c r="BA433" s="20">
        <f t="shared" si="121"/>
        <v>-28.341582870739558</v>
      </c>
      <c r="BB433" s="20">
        <f t="shared" si="122"/>
        <v>14.4768064973166</v>
      </c>
      <c r="BC433" s="20"/>
      <c r="BD433" s="20">
        <f t="shared" si="123"/>
        <v>-179.13781109519937</v>
      </c>
      <c r="BE433" s="20">
        <f t="shared" si="124"/>
        <v>31.148758298347655</v>
      </c>
      <c r="BF433" s="20"/>
      <c r="BG433" s="54">
        <f t="shared" si="125"/>
        <v>41099.526085468358</v>
      </c>
      <c r="BH433" s="54">
        <f t="shared" si="126"/>
        <v>74629.38214726506</v>
      </c>
      <c r="BI433" s="54">
        <f t="shared" si="127"/>
        <v>52233.20139750724</v>
      </c>
      <c r="BJ433" s="20"/>
    </row>
    <row r="434" spans="37:62" x14ac:dyDescent="0.3">
      <c r="AK434">
        <v>430</v>
      </c>
      <c r="AL434">
        <v>215</v>
      </c>
      <c r="AN434" s="48">
        <f t="shared" si="128"/>
        <v>49298.390514583669</v>
      </c>
      <c r="AO434" s="48">
        <f t="shared" si="129"/>
        <v>-23993.717303907233</v>
      </c>
      <c r="AP434" s="20"/>
      <c r="AQ434" s="50">
        <f t="shared" si="130"/>
        <v>5577.0672450632992</v>
      </c>
      <c r="AR434" s="50">
        <f t="shared" si="131"/>
        <v>-25.384779686095726</v>
      </c>
      <c r="AS434" s="20"/>
      <c r="AT434" s="52">
        <f t="shared" si="132"/>
        <v>-367.26897663124464</v>
      </c>
      <c r="AU434" s="52">
        <f t="shared" si="133"/>
        <v>231.4797965209635</v>
      </c>
      <c r="AV434" s="20"/>
      <c r="AW434" s="20"/>
      <c r="AX434" s="20">
        <f t="shared" si="119"/>
        <v>-178.11766112669378</v>
      </c>
      <c r="AY434" s="20">
        <f t="shared" si="120"/>
        <v>191.46400767526777</v>
      </c>
      <c r="AZ434" s="20"/>
      <c r="BA434" s="20">
        <f t="shared" si="121"/>
        <v>-26.732946054421344</v>
      </c>
      <c r="BB434" s="20">
        <f t="shared" si="122"/>
        <v>13.113612078528099</v>
      </c>
      <c r="BC434" s="20"/>
      <c r="BD434" s="20">
        <f t="shared" si="123"/>
        <v>-162.41836945012955</v>
      </c>
      <c r="BE434" s="20">
        <f t="shared" si="124"/>
        <v>26.902176767167635</v>
      </c>
      <c r="BF434" s="20"/>
      <c r="BG434" s="54">
        <f t="shared" si="125"/>
        <v>43014.531455817021</v>
      </c>
      <c r="BH434" s="54">
        <f t="shared" si="126"/>
        <v>77187.043887233449</v>
      </c>
      <c r="BI434" s="54">
        <f t="shared" si="127"/>
        <v>55038.188227964318</v>
      </c>
      <c r="BJ434" s="20"/>
    </row>
    <row r="435" spans="37:62" x14ac:dyDescent="0.3">
      <c r="AK435">
        <v>431</v>
      </c>
      <c r="AL435">
        <v>215.5</v>
      </c>
      <c r="AN435" s="48">
        <f t="shared" si="128"/>
        <v>52041.015515036415</v>
      </c>
      <c r="AO435" s="48">
        <f t="shared" si="129"/>
        <v>-23977.47471918516</v>
      </c>
      <c r="AP435" s="20"/>
      <c r="AQ435" s="50">
        <f t="shared" si="130"/>
        <v>5393.4327567476766</v>
      </c>
      <c r="AR435" s="50">
        <f t="shared" si="131"/>
        <v>90.355118574386026</v>
      </c>
      <c r="AS435" s="20"/>
      <c r="AT435" s="52">
        <f t="shared" si="132"/>
        <v>-345.88905312857491</v>
      </c>
      <c r="AU435" s="52">
        <f t="shared" si="133"/>
        <v>204.44459524228387</v>
      </c>
      <c r="AV435" s="20"/>
      <c r="AW435" s="20"/>
      <c r="AX435" s="20">
        <f t="shared" si="119"/>
        <v>-172.17998263462655</v>
      </c>
      <c r="AY435" s="20">
        <f t="shared" si="120"/>
        <v>169.15166274888392</v>
      </c>
      <c r="AZ435" s="20"/>
      <c r="BA435" s="20">
        <f t="shared" si="121"/>
        <v>-25.309124784561575</v>
      </c>
      <c r="BB435" s="20">
        <f t="shared" si="122"/>
        <v>11.936813235963571</v>
      </c>
      <c r="BC435" s="20"/>
      <c r="BD435" s="20">
        <f t="shared" si="123"/>
        <v>-148.39994570938674</v>
      </c>
      <c r="BE435" s="20">
        <f t="shared" si="124"/>
        <v>23.356119257436387</v>
      </c>
      <c r="BF435" s="20"/>
      <c r="BG435" s="54">
        <f t="shared" si="125"/>
        <v>44916.122828353575</v>
      </c>
      <c r="BH435" s="54">
        <f t="shared" si="126"/>
        <v>79651.595745035665</v>
      </c>
      <c r="BI435" s="54">
        <f t="shared" si="127"/>
        <v>57743.159796812593</v>
      </c>
      <c r="BJ435" s="20"/>
    </row>
    <row r="436" spans="37:62" x14ac:dyDescent="0.3">
      <c r="AK436">
        <v>432</v>
      </c>
      <c r="AL436">
        <v>216</v>
      </c>
      <c r="AN436" s="48">
        <f t="shared" si="128"/>
        <v>54694.495761769176</v>
      </c>
      <c r="AO436" s="48">
        <f t="shared" si="129"/>
        <v>-23906.74158549268</v>
      </c>
      <c r="AP436" s="20"/>
      <c r="AQ436" s="50">
        <f t="shared" si="130"/>
        <v>5220.4882301833895</v>
      </c>
      <c r="AR436" s="50">
        <f t="shared" si="131"/>
        <v>192.57741619552797</v>
      </c>
      <c r="AS436" s="20"/>
      <c r="AT436" s="52">
        <f t="shared" si="132"/>
        <v>-326.30383589678246</v>
      </c>
      <c r="AU436" s="52">
        <f t="shared" si="133"/>
        <v>181.33196819206853</v>
      </c>
      <c r="AV436" s="20"/>
      <c r="AW436" s="20"/>
      <c r="AX436" s="20">
        <f t="shared" si="119"/>
        <v>-165.76008600430885</v>
      </c>
      <c r="AY436" s="20">
        <f t="shared" si="120"/>
        <v>150.05216452988455</v>
      </c>
      <c r="AZ436" s="20"/>
      <c r="BA436" s="20">
        <f t="shared" si="121"/>
        <v>-24.040044087455101</v>
      </c>
      <c r="BB436" s="20">
        <f t="shared" si="122"/>
        <v>10.912712566892958</v>
      </c>
      <c r="BC436" s="20"/>
      <c r="BD436" s="20">
        <f t="shared" si="123"/>
        <v>-136.50370580501851</v>
      </c>
      <c r="BE436" s="20">
        <f t="shared" si="124"/>
        <v>20.367091095291027</v>
      </c>
      <c r="BF436" s="20"/>
      <c r="BG436" s="54">
        <f t="shared" si="125"/>
        <v>46798.412934429034</v>
      </c>
      <c r="BH436" s="54">
        <f t="shared" si="126"/>
        <v>82030.084859460752</v>
      </c>
      <c r="BI436" s="54">
        <f t="shared" si="127"/>
        <v>60355.305234275991</v>
      </c>
      <c r="BJ436" s="20"/>
    </row>
    <row r="437" spans="37:62" x14ac:dyDescent="0.3">
      <c r="AK437">
        <v>433</v>
      </c>
      <c r="AL437">
        <v>216.5</v>
      </c>
      <c r="AN437" s="48">
        <f t="shared" si="128"/>
        <v>57263.951897373772</v>
      </c>
      <c r="AO437" s="48">
        <f t="shared" si="129"/>
        <v>-23787.786381370908</v>
      </c>
      <c r="AP437" s="20"/>
      <c r="AQ437" s="50">
        <f t="shared" si="130"/>
        <v>5057.3363122349983</v>
      </c>
      <c r="AR437" s="50">
        <f t="shared" si="131"/>
        <v>283.24340029156224</v>
      </c>
      <c r="AS437" s="20"/>
      <c r="AT437" s="52">
        <f t="shared" si="132"/>
        <v>-308.38468394914065</v>
      </c>
      <c r="AU437" s="52">
        <f t="shared" si="133"/>
        <v>161.49433998050452</v>
      </c>
      <c r="AV437" s="20"/>
      <c r="AW437" s="20"/>
      <c r="AX437" s="20">
        <f t="shared" si="119"/>
        <v>-159.18219211783855</v>
      </c>
      <c r="AY437" s="20">
        <f t="shared" si="120"/>
        <v>133.65352221411283</v>
      </c>
      <c r="AZ437" s="20"/>
      <c r="BA437" s="20">
        <f t="shared" si="121"/>
        <v>-22.901812281169935</v>
      </c>
      <c r="BB437" s="20">
        <f t="shared" si="122"/>
        <v>10.015039641387128</v>
      </c>
      <c r="BC437" s="20"/>
      <c r="BD437" s="20">
        <f t="shared" si="123"/>
        <v>-126.30067955013217</v>
      </c>
      <c r="BE437" s="20">
        <f t="shared" si="124"/>
        <v>17.825778125004579</v>
      </c>
      <c r="BF437" s="20"/>
      <c r="BG437" s="54">
        <f t="shared" si="125"/>
        <v>48657.247020932911</v>
      </c>
      <c r="BH437" s="54">
        <f t="shared" si="126"/>
        <v>84328.718544472387</v>
      </c>
      <c r="BI437" s="54">
        <f t="shared" si="127"/>
        <v>62881.037645406926</v>
      </c>
      <c r="BJ437" s="20"/>
    </row>
    <row r="438" spans="37:62" x14ac:dyDescent="0.3">
      <c r="AK438">
        <v>434</v>
      </c>
      <c r="AL438">
        <v>217</v>
      </c>
      <c r="AN438" s="48">
        <f t="shared" si="128"/>
        <v>59754.071967997632</v>
      </c>
      <c r="AO438" s="48">
        <f t="shared" si="129"/>
        <v>-23625.977888727564</v>
      </c>
      <c r="AP438" s="20"/>
      <c r="AQ438" s="50">
        <f t="shared" si="130"/>
        <v>4903.1439702604284</v>
      </c>
      <c r="AR438" s="50">
        <f t="shared" si="131"/>
        <v>363.99057028181448</v>
      </c>
      <c r="AS438" s="20"/>
      <c r="AT438" s="52">
        <f t="shared" si="132"/>
        <v>-291.99532798922587</v>
      </c>
      <c r="AU438" s="52">
        <f t="shared" si="133"/>
        <v>144.3926117856106</v>
      </c>
      <c r="AV438" s="20"/>
      <c r="AW438" s="20"/>
      <c r="AX438" s="20">
        <f t="shared" si="119"/>
        <v>-152.65287575245475</v>
      </c>
      <c r="AY438" s="20">
        <f t="shared" si="120"/>
        <v>119.52159364068559</v>
      </c>
      <c r="AZ438" s="20"/>
      <c r="BA438" s="20">
        <f t="shared" si="121"/>
        <v>-21.875220673324069</v>
      </c>
      <c r="BB438" s="20">
        <f t="shared" si="122"/>
        <v>9.2230486609811049</v>
      </c>
      <c r="BC438" s="20"/>
      <c r="BD438" s="20">
        <f t="shared" si="123"/>
        <v>-117.46723156344709</v>
      </c>
      <c r="BE438" s="20">
        <f t="shared" si="124"/>
        <v>15.647969483943916</v>
      </c>
      <c r="BF438" s="20"/>
      <c r="BG438" s="54">
        <f t="shared" si="125"/>
        <v>50489.729030430462</v>
      </c>
      <c r="BH438" s="54">
        <f t="shared" si="126"/>
        <v>86552.980217030883</v>
      </c>
      <c r="BI438" s="54">
        <f t="shared" si="127"/>
        <v>65326.084613831204</v>
      </c>
      <c r="BJ438" s="20"/>
    </row>
    <row r="439" spans="37:62" x14ac:dyDescent="0.3">
      <c r="AK439">
        <v>435</v>
      </c>
      <c r="AL439">
        <v>217.5</v>
      </c>
      <c r="AN439" s="48">
        <f t="shared" si="128"/>
        <v>62169.144537129192</v>
      </c>
      <c r="AO439" s="48">
        <f t="shared" si="129"/>
        <v>-23425.933527113455</v>
      </c>
      <c r="AP439" s="20"/>
      <c r="AQ439" s="50">
        <f t="shared" si="130"/>
        <v>4757.1463062658158</v>
      </c>
      <c r="AR439" s="50">
        <f t="shared" si="131"/>
        <v>436.18687617461978</v>
      </c>
      <c r="AS439" s="20"/>
      <c r="AT439" s="52">
        <f t="shared" si="132"/>
        <v>-276.99986437801124</v>
      </c>
      <c r="AU439" s="52">
        <f t="shared" si="133"/>
        <v>129.581460835239</v>
      </c>
      <c r="AV439" s="20"/>
      <c r="AW439" s="20"/>
      <c r="AX439" s="20">
        <f t="shared" si="119"/>
        <v>-146.29996478645577</v>
      </c>
      <c r="AY439" s="20">
        <f t="shared" si="120"/>
        <v>107.2932125056808</v>
      </c>
      <c r="AZ439" s="20"/>
      <c r="BA439" s="20">
        <f t="shared" si="121"/>
        <v>-20.944655172656887</v>
      </c>
      <c r="BB439" s="20">
        <f t="shared" si="122"/>
        <v>8.5201647831832457</v>
      </c>
      <c r="BC439" s="20"/>
      <c r="BD439" s="20">
        <f t="shared" si="123"/>
        <v>-109.7552444188986</v>
      </c>
      <c r="BE439" s="20">
        <f t="shared" si="124"/>
        <v>13.768083546374955</v>
      </c>
      <c r="BF439" s="20"/>
      <c r="BG439" s="54">
        <f t="shared" si="125"/>
        <v>52293.882199706051</v>
      </c>
      <c r="BH439" s="54">
        <f t="shared" si="126"/>
        <v>88707.729911900213</v>
      </c>
      <c r="BI439" s="54">
        <f t="shared" si="127"/>
        <v>67695.571004705227</v>
      </c>
      <c r="BJ439" s="20"/>
    </row>
    <row r="440" spans="37:62" x14ac:dyDescent="0.3">
      <c r="AK440">
        <v>436</v>
      </c>
      <c r="AL440">
        <v>218</v>
      </c>
      <c r="AN440" s="48">
        <f t="shared" si="128"/>
        <v>64513.092707214848</v>
      </c>
      <c r="AO440" s="48">
        <f t="shared" si="129"/>
        <v>-23191.642406421739</v>
      </c>
      <c r="AP440" s="20"/>
      <c r="AQ440" s="50">
        <f t="shared" si="130"/>
        <v>4618.6463740768104</v>
      </c>
      <c r="AR440" s="50">
        <f t="shared" si="131"/>
        <v>500.97760659223928</v>
      </c>
      <c r="AS440" s="20"/>
      <c r="AT440" s="52">
        <f t="shared" si="132"/>
        <v>-263.26792524513991</v>
      </c>
      <c r="AU440" s="52">
        <f t="shared" si="133"/>
        <v>116.69423935028846</v>
      </c>
      <c r="AV440" s="20"/>
      <c r="AW440" s="20"/>
      <c r="AX440" s="20">
        <f t="shared" si="119"/>
        <v>-140.19890770821939</v>
      </c>
      <c r="AY440" s="20">
        <f t="shared" si="120"/>
        <v>96.66672161950585</v>
      </c>
      <c r="AZ440" s="20"/>
      <c r="BA440" s="20">
        <f t="shared" si="121"/>
        <v>-20.097295400365685</v>
      </c>
      <c r="BB440" s="20">
        <f t="shared" si="122"/>
        <v>7.8930047510640371</v>
      </c>
      <c r="BC440" s="20"/>
      <c r="BD440" s="20">
        <f t="shared" si="123"/>
        <v>-102.97172213655482</v>
      </c>
      <c r="BE440" s="20">
        <f t="shared" si="124"/>
        <v>12.134512979718567</v>
      </c>
      <c r="BF440" s="20"/>
      <c r="BG440" s="54">
        <f t="shared" si="125"/>
        <v>54068.404229871339</v>
      </c>
      <c r="BH440" s="54">
        <f t="shared" si="126"/>
        <v>90797.29051339619</v>
      </c>
      <c r="BI440" s="54">
        <f t="shared" si="127"/>
        <v>69994.093058175509</v>
      </c>
      <c r="BJ440" s="20"/>
    </row>
    <row r="441" spans="37:62" x14ac:dyDescent="0.3">
      <c r="AK441">
        <v>437</v>
      </c>
      <c r="AL441">
        <v>218.5</v>
      </c>
      <c r="AN441" s="48">
        <f t="shared" si="128"/>
        <v>66789.507403597614</v>
      </c>
      <c r="AO441" s="48">
        <f t="shared" si="129"/>
        <v>-22926.566823206831</v>
      </c>
      <c r="AP441" s="20"/>
      <c r="AQ441" s="50">
        <f t="shared" si="130"/>
        <v>4487.0124114542405</v>
      </c>
      <c r="AR441" s="50">
        <f t="shared" si="131"/>
        <v>559.32472626738354</v>
      </c>
      <c r="AS441" s="20"/>
      <c r="AT441" s="52">
        <f t="shared" si="132"/>
        <v>-250.67763539074471</v>
      </c>
      <c r="AU441" s="52">
        <f t="shared" si="133"/>
        <v>105.42921420606795</v>
      </c>
      <c r="AV441" s="20"/>
      <c r="AW441" s="20"/>
      <c r="AX441" s="20">
        <f t="shared" si="119"/>
        <v>-134.39055451651996</v>
      </c>
      <c r="AY441" s="20">
        <f t="shared" si="120"/>
        <v>87.392311103713638</v>
      </c>
      <c r="AZ441" s="20"/>
      <c r="BA441" s="20">
        <f t="shared" si="121"/>
        <v>-19.322517414918096</v>
      </c>
      <c r="BB441" s="20">
        <f t="shared" si="122"/>
        <v>7.3306575862476375</v>
      </c>
      <c r="BC441" s="20"/>
      <c r="BD441" s="20">
        <f t="shared" si="123"/>
        <v>-96.964563459306675</v>
      </c>
      <c r="BE441" s="20">
        <f t="shared" si="124"/>
        <v>10.706245516106671</v>
      </c>
      <c r="BF441" s="20"/>
      <c r="BG441" s="54">
        <f t="shared" si="125"/>
        <v>55812.489388293608</v>
      </c>
      <c r="BH441" s="54">
        <f t="shared" si="126"/>
        <v>92825.521265017582</v>
      </c>
      <c r="BI441" s="54">
        <f t="shared" si="127"/>
        <v>72225.783726131762</v>
      </c>
      <c r="BJ441" s="20"/>
    </row>
    <row r="442" spans="37:62" x14ac:dyDescent="0.3">
      <c r="AK442">
        <v>438</v>
      </c>
      <c r="AL442">
        <v>219</v>
      </c>
      <c r="AN442" s="48">
        <f t="shared" si="128"/>
        <v>69001.67890490088</v>
      </c>
      <c r="AO442" s="48">
        <f t="shared" si="129"/>
        <v>-22633.725808297382</v>
      </c>
      <c r="AP442" s="20"/>
      <c r="AQ442" s="50">
        <f t="shared" si="130"/>
        <v>4361.6735937588683</v>
      </c>
      <c r="AR442" s="50">
        <f t="shared" si="131"/>
        <v>612.03933337041747</v>
      </c>
      <c r="AS442" s="20"/>
      <c r="AT442" s="52">
        <f t="shared" si="132"/>
        <v>-239.11701917186747</v>
      </c>
      <c r="AU442" s="52">
        <f t="shared" si="133"/>
        <v>95.537733389302119</v>
      </c>
      <c r="AV442" s="20"/>
      <c r="AW442" s="20"/>
      <c r="AX442" s="20">
        <f t="shared" si="119"/>
        <v>-128.89311593704306</v>
      </c>
      <c r="AY442" s="20">
        <f t="shared" si="120"/>
        <v>79.263198752063204</v>
      </c>
      <c r="AZ442" s="20"/>
      <c r="BA442" s="20">
        <f t="shared" si="121"/>
        <v>-18.611442659744757</v>
      </c>
      <c r="BB442" s="20">
        <f t="shared" si="122"/>
        <v>6.8241489837953484</v>
      </c>
      <c r="BC442" s="20"/>
      <c r="BD442" s="20">
        <f t="shared" si="123"/>
        <v>-91.612460575079652</v>
      </c>
      <c r="BE442" s="20">
        <f t="shared" si="124"/>
        <v>9.4503856534435577</v>
      </c>
      <c r="BF442" s="20"/>
      <c r="BG442" s="54">
        <f t="shared" si="125"/>
        <v>57525.698314654604</v>
      </c>
      <c r="BH442" s="54">
        <f t="shared" si="126"/>
        <v>94795.880227055299</v>
      </c>
      <c r="BI442" s="54">
        <f t="shared" si="127"/>
        <v>74394.369749735211</v>
      </c>
      <c r="BJ442" s="20"/>
    </row>
    <row r="443" spans="37:62" x14ac:dyDescent="0.3">
      <c r="AK443">
        <v>439</v>
      </c>
      <c r="AL443">
        <v>219.5</v>
      </c>
      <c r="AN443" s="48">
        <f t="shared" si="128"/>
        <v>71152.626074383836</v>
      </c>
      <c r="AO443" s="48">
        <f t="shared" si="129"/>
        <v>-22315.76392493851</v>
      </c>
      <c r="AP443" s="20"/>
      <c r="AQ443" s="50">
        <f t="shared" si="130"/>
        <v>4242.1150841729341</v>
      </c>
      <c r="AR443" s="50">
        <f t="shared" si="131"/>
        <v>659.80820006506849</v>
      </c>
      <c r="AS443" s="20"/>
      <c r="AT443" s="52">
        <f t="shared" si="132"/>
        <v>-228.48439744756325</v>
      </c>
      <c r="AU443" s="52">
        <f t="shared" si="133"/>
        <v>86.814363540805886</v>
      </c>
      <c r="AV443" s="20"/>
      <c r="AW443" s="20"/>
      <c r="AX443" s="20">
        <f t="shared" si="119"/>
        <v>-123.71019484066068</v>
      </c>
      <c r="AY443" s="20">
        <f t="shared" si="120"/>
        <v>72.108007888267835</v>
      </c>
      <c r="AZ443" s="20"/>
      <c r="BA443" s="20">
        <f t="shared" si="121"/>
        <v>-17.956593313657322</v>
      </c>
      <c r="BB443" s="20">
        <f t="shared" si="122"/>
        <v>6.3660374408385012</v>
      </c>
      <c r="BC443" s="20"/>
      <c r="BD443" s="20">
        <f t="shared" si="123"/>
        <v>-86.817609293245269</v>
      </c>
      <c r="BE443" s="20">
        <f t="shared" si="124"/>
        <v>8.3403182116995573</v>
      </c>
      <c r="BF443" s="20"/>
      <c r="BG443" s="54">
        <f t="shared" si="125"/>
        <v>59207.862085481502</v>
      </c>
      <c r="BH443" s="54">
        <f t="shared" si="126"/>
        <v>96711.477283251123</v>
      </c>
      <c r="BI443" s="54">
        <f t="shared" si="127"/>
        <v>76503.221238261307</v>
      </c>
      <c r="BJ443" s="20"/>
    </row>
    <row r="444" spans="37:62" x14ac:dyDescent="0.3">
      <c r="AK444">
        <v>440</v>
      </c>
      <c r="AL444">
        <v>220</v>
      </c>
      <c r="AN444" s="48">
        <f t="shared" si="128"/>
        <v>73245.123066789354</v>
      </c>
      <c r="AO444" s="48">
        <f t="shared" si="129"/>
        <v>-21975.008029463374</v>
      </c>
      <c r="AP444" s="20"/>
      <c r="AQ444" s="50">
        <f t="shared" si="130"/>
        <v>4127.8728854491528</v>
      </c>
      <c r="AR444" s="50">
        <f t="shared" si="131"/>
        <v>703.21538183547148</v>
      </c>
      <c r="AS444" s="20"/>
      <c r="AT444" s="52">
        <f t="shared" si="132"/>
        <v>-218.68816691655121</v>
      </c>
      <c r="AU444" s="52">
        <f t="shared" si="133"/>
        <v>79.088814325929917</v>
      </c>
      <c r="AV444" s="20"/>
      <c r="AW444" s="20"/>
      <c r="AX444" s="20">
        <f t="shared" si="119"/>
        <v>-118.83617187193924</v>
      </c>
      <c r="AY444" s="20">
        <f t="shared" si="120"/>
        <v>65.784374574970983</v>
      </c>
      <c r="AZ444" s="20"/>
      <c r="BA444" s="20">
        <f t="shared" si="121"/>
        <v>-17.351626039175621</v>
      </c>
      <c r="BB444" s="20">
        <f t="shared" si="122"/>
        <v>5.950106168335286</v>
      </c>
      <c r="BC444" s="20"/>
      <c r="BD444" s="20">
        <f t="shared" si="123"/>
        <v>-82.50036900543634</v>
      </c>
      <c r="BE444" s="20">
        <f t="shared" si="124"/>
        <v>7.3543335826236556</v>
      </c>
      <c r="BF444" s="20"/>
      <c r="BG444" s="54">
        <f t="shared" si="125"/>
        <v>60859.011072596921</v>
      </c>
      <c r="BH444" s="54">
        <f t="shared" si="126"/>
        <v>98575.119143853633</v>
      </c>
      <c r="BI444" s="54">
        <f t="shared" si="127"/>
        <v>78555.394599913314</v>
      </c>
      <c r="BJ444" s="20"/>
    </row>
    <row r="445" spans="37:62" x14ac:dyDescent="0.3">
      <c r="AK445">
        <v>441</v>
      </c>
      <c r="AL445">
        <v>220.5</v>
      </c>
      <c r="AN445" s="48">
        <f t="shared" si="128"/>
        <v>75281.723488649353</v>
      </c>
      <c r="AO445" s="48">
        <f t="shared" si="129"/>
        <v>-21613.514236754898</v>
      </c>
      <c r="AP445" s="20"/>
      <c r="AQ445" s="50">
        <f t="shared" si="130"/>
        <v>4018.5288019908771</v>
      </c>
      <c r="AR445" s="50">
        <f t="shared" si="131"/>
        <v>742.75978899843642</v>
      </c>
      <c r="AS445" s="20"/>
      <c r="AT445" s="52">
        <f t="shared" si="132"/>
        <v>-209.64622942276313</v>
      </c>
      <c r="AU445" s="52">
        <f t="shared" si="133"/>
        <v>72.219390674791967</v>
      </c>
      <c r="AV445" s="20"/>
      <c r="AW445" s="20"/>
      <c r="AX445" s="20">
        <f t="shared" si="119"/>
        <v>-114.25980842794149</v>
      </c>
      <c r="AY445" s="20">
        <f t="shared" si="120"/>
        <v>60.173676749401125</v>
      </c>
      <c r="AZ445" s="20"/>
      <c r="BA445" s="20">
        <f t="shared" si="121"/>
        <v>-16.791124177695075</v>
      </c>
      <c r="BB445" s="20">
        <f t="shared" si="122"/>
        <v>5.5711255402083335</v>
      </c>
      <c r="BC445" s="20"/>
      <c r="BD445" s="20">
        <f t="shared" si="123"/>
        <v>-78.595296817126552</v>
      </c>
      <c r="BE445" s="20">
        <f t="shared" si="124"/>
        <v>6.4745883851825141</v>
      </c>
      <c r="BF445" s="20"/>
      <c r="BG445" s="54">
        <f t="shared" si="125"/>
        <v>62479.321884037883</v>
      </c>
      <c r="BH445" s="54">
        <f t="shared" si="126"/>
        <v>100389.34760902144</v>
      </c>
      <c r="BI445" s="54">
        <f t="shared" si="127"/>
        <v>80553.669667295195</v>
      </c>
      <c r="BJ445" s="20"/>
    </row>
    <row r="446" spans="37:62" x14ac:dyDescent="0.3">
      <c r="AK446">
        <v>442</v>
      </c>
      <c r="AL446">
        <v>221</v>
      </c>
      <c r="AN446" s="48">
        <f t="shared" si="128"/>
        <v>77264.782110966946</v>
      </c>
      <c r="AO446" s="48">
        <f t="shared" si="129"/>
        <v>-21233.10691842133</v>
      </c>
      <c r="AP446" s="20"/>
      <c r="AQ446" s="50">
        <f t="shared" si="130"/>
        <v>3913.7056872794956</v>
      </c>
      <c r="AR446" s="50">
        <f t="shared" si="131"/>
        <v>778.86948433583245</v>
      </c>
      <c r="AS446" s="20"/>
      <c r="AT446" s="52">
        <f t="shared" si="132"/>
        <v>-201.28524589187279</v>
      </c>
      <c r="AU446" s="52">
        <f t="shared" si="133"/>
        <v>66.087710492795452</v>
      </c>
      <c r="AV446" s="20"/>
      <c r="AW446" s="20"/>
      <c r="AX446" s="20">
        <f t="shared" si="119"/>
        <v>-109.96664720346962</v>
      </c>
      <c r="AY446" s="20">
        <f t="shared" si="120"/>
        <v>55.176730183567578</v>
      </c>
      <c r="AZ446" s="20"/>
      <c r="BA446" s="20">
        <f t="shared" si="121"/>
        <v>-16.270434002449676</v>
      </c>
      <c r="BB446" s="20">
        <f t="shared" si="122"/>
        <v>5.2246681047191696</v>
      </c>
      <c r="BC446" s="20"/>
      <c r="BD446" s="20">
        <f t="shared" si="123"/>
        <v>-75.048164685953495</v>
      </c>
      <c r="BE446" s="20">
        <f t="shared" si="124"/>
        <v>5.686312204508698</v>
      </c>
      <c r="BF446" s="20"/>
      <c r="BG446" s="54">
        <f t="shared" si="125"/>
        <v>64069.077591315079</v>
      </c>
      <c r="BH446" s="54">
        <f t="shared" si="126"/>
        <v>102156.47217318839</v>
      </c>
      <c r="BI446" s="54">
        <f t="shared" si="127"/>
        <v>82500.581801714216</v>
      </c>
      <c r="BJ446" s="20"/>
    </row>
    <row r="447" spans="37:62" x14ac:dyDescent="0.3">
      <c r="AK447">
        <v>443</v>
      </c>
      <c r="AL447">
        <v>221.5</v>
      </c>
      <c r="AN447" s="48">
        <f t="shared" si="128"/>
        <v>79196.474298870206</v>
      </c>
      <c r="AO447" s="48">
        <f t="shared" si="129"/>
        <v>-20835.411212441813</v>
      </c>
      <c r="AP447" s="20"/>
      <c r="AQ447" s="50">
        <f t="shared" si="130"/>
        <v>3813.0630643335594</v>
      </c>
      <c r="AR447" s="50">
        <f t="shared" si="131"/>
        <v>811.91333958223015</v>
      </c>
      <c r="AS447" s="20"/>
      <c r="AT447" s="52">
        <f t="shared" si="132"/>
        <v>-193.53982464095466</v>
      </c>
      <c r="AU447" s="52">
        <f t="shared" si="133"/>
        <v>60.594451587862686</v>
      </c>
      <c r="AV447" s="20"/>
      <c r="AW447" s="20"/>
      <c r="AX447" s="20">
        <f t="shared" si="119"/>
        <v>-105.94060061456939</v>
      </c>
      <c r="AY447" s="20">
        <f t="shared" si="120"/>
        <v>50.710291754050999</v>
      </c>
      <c r="AZ447" s="20"/>
      <c r="BA447" s="20">
        <f t="shared" si="121"/>
        <v>-15.785534530050294</v>
      </c>
      <c r="BB447" s="20">
        <f t="shared" si="122"/>
        <v>4.90696319483851</v>
      </c>
      <c r="BC447" s="20"/>
      <c r="BD447" s="20">
        <f t="shared" si="123"/>
        <v>-71.813689496334973</v>
      </c>
      <c r="BE447" s="20">
        <f t="shared" si="124"/>
        <v>4.9771966389731741</v>
      </c>
      <c r="BF447" s="20"/>
      <c r="BG447" s="54">
        <f t="shared" si="125"/>
        <v>65628.637788658802</v>
      </c>
      <c r="BH447" s="54">
        <f t="shared" si="126"/>
        <v>103878.59788217591</v>
      </c>
      <c r="BI447" s="54">
        <f t="shared" si="127"/>
        <v>84398.449679947342</v>
      </c>
      <c r="BJ447" s="20"/>
    </row>
    <row r="448" spans="37:62" x14ac:dyDescent="0.3">
      <c r="AK448">
        <v>444</v>
      </c>
      <c r="AL448">
        <v>222</v>
      </c>
      <c r="AN448" s="48">
        <f t="shared" si="128"/>
        <v>81078.813352956859</v>
      </c>
      <c r="AO448" s="48">
        <f t="shared" si="129"/>
        <v>-20421.880236202218</v>
      </c>
      <c r="AP448" s="20"/>
      <c r="AQ448" s="50">
        <f t="shared" si="130"/>
        <v>3716.2931520130819</v>
      </c>
      <c r="AR448" s="50">
        <f t="shared" si="131"/>
        <v>842.21056537616153</v>
      </c>
      <c r="AS448" s="20"/>
      <c r="AT448" s="52">
        <f t="shared" si="132"/>
        <v>-186.35171018239399</v>
      </c>
      <c r="AU448" s="52">
        <f t="shared" si="133"/>
        <v>55.65592701786106</v>
      </c>
      <c r="AV448" s="20"/>
      <c r="AW448" s="20"/>
      <c r="AX448" s="20">
        <f t="shared" si="119"/>
        <v>-102.16499019759081</v>
      </c>
      <c r="AY448" s="20">
        <f t="shared" si="120"/>
        <v>46.704224657170855</v>
      </c>
      <c r="AZ448" s="20"/>
      <c r="BA448" s="20">
        <f t="shared" si="121"/>
        <v>-15.332933144642386</v>
      </c>
      <c r="BB448" s="20">
        <f t="shared" si="122"/>
        <v>4.6147816770185779</v>
      </c>
      <c r="BC448" s="20"/>
      <c r="BD448" s="20">
        <f t="shared" si="123"/>
        <v>-68.853786840160794</v>
      </c>
      <c r="BE448" s="20">
        <f t="shared" si="124"/>
        <v>4.3369206836716288</v>
      </c>
      <c r="BF448" s="20"/>
      <c r="BG448" s="54">
        <f t="shared" si="125"/>
        <v>67158.415976928474</v>
      </c>
      <c r="BH448" s="54">
        <f t="shared" si="126"/>
        <v>105557.64920624049</v>
      </c>
      <c r="BI448" s="54">
        <f t="shared" si="127"/>
        <v>86249.39938080094</v>
      </c>
      <c r="BJ448" s="20"/>
    </row>
    <row r="449" spans="37:62" x14ac:dyDescent="0.3">
      <c r="AK449">
        <v>445</v>
      </c>
      <c r="AL449">
        <v>222.5</v>
      </c>
      <c r="AN449" s="48">
        <f t="shared" si="128"/>
        <v>82913.665965190608</v>
      </c>
      <c r="AO449" s="48">
        <f t="shared" si="129"/>
        <v>-19993.817962636906</v>
      </c>
      <c r="AP449" s="20"/>
      <c r="AQ449" s="50">
        <f t="shared" si="130"/>
        <v>3623.1172969218851</v>
      </c>
      <c r="AR449" s="50">
        <f t="shared" si="131"/>
        <v>870.03852888509209</v>
      </c>
      <c r="AS449" s="20"/>
      <c r="AT449" s="52">
        <f t="shared" si="132"/>
        <v>-179.66901015443631</v>
      </c>
      <c r="AU449" s="52">
        <f t="shared" si="133"/>
        <v>51.201323531948489</v>
      </c>
      <c r="AV449" s="20"/>
      <c r="AW449" s="20"/>
      <c r="AX449" s="20">
        <f t="shared" si="119"/>
        <v>-98.623214806526832</v>
      </c>
      <c r="AY449" s="20">
        <f t="shared" si="120"/>
        <v>43.099200677336817</v>
      </c>
      <c r="AZ449" s="20"/>
      <c r="BA449" s="20">
        <f t="shared" si="121"/>
        <v>-14.909581260043865</v>
      </c>
      <c r="BB449" s="20">
        <f t="shared" si="122"/>
        <v>4.3453438570943241</v>
      </c>
      <c r="BC449" s="20"/>
      <c r="BD449" s="20">
        <f t="shared" si="123"/>
        <v>-66.136214087865625</v>
      </c>
      <c r="BE449" s="20">
        <f t="shared" si="124"/>
        <v>3.7567789975173431</v>
      </c>
      <c r="BF449" s="20"/>
      <c r="BG449" s="54">
        <f t="shared" si="125"/>
        <v>68658.862438451455</v>
      </c>
      <c r="BH449" s="54">
        <f t="shared" si="126"/>
        <v>107195.39056494282</v>
      </c>
      <c r="BI449" s="54">
        <f t="shared" si="127"/>
        <v>88055.385305403484</v>
      </c>
      <c r="BJ449" s="20"/>
    </row>
    <row r="450" spans="37:62" x14ac:dyDescent="0.3">
      <c r="AK450">
        <v>446</v>
      </c>
      <c r="AL450">
        <v>223</v>
      </c>
      <c r="AN450" s="48">
        <f t="shared" si="128"/>
        <v>84702.765987382241</v>
      </c>
      <c r="AO450" s="48">
        <f t="shared" si="129"/>
        <v>-19552.398532752868</v>
      </c>
      <c r="AP450" s="20"/>
      <c r="AQ450" s="50">
        <f t="shared" si="130"/>
        <v>3533.2827918446669</v>
      </c>
      <c r="AR450" s="50">
        <f t="shared" si="131"/>
        <v>895.63919065106631</v>
      </c>
      <c r="AS450" s="20"/>
      <c r="AT450" s="52">
        <f t="shared" si="132"/>
        <v>-173.44547985819196</v>
      </c>
      <c r="AU450" s="52">
        <f t="shared" si="133"/>
        <v>47.170469465640906</v>
      </c>
      <c r="AV450" s="20"/>
      <c r="AW450" s="20"/>
      <c r="AX450" s="20">
        <f t="shared" si="119"/>
        <v>-95.299168141015912</v>
      </c>
      <c r="AY450" s="20">
        <f t="shared" si="120"/>
        <v>39.844835642626784</v>
      </c>
      <c r="AZ450" s="20"/>
      <c r="BA450" s="20">
        <f t="shared" si="121"/>
        <v>-14.512805672152604</v>
      </c>
      <c r="BB450" s="20">
        <f t="shared" si="122"/>
        <v>4.0962453380031576</v>
      </c>
      <c r="BC450" s="20"/>
      <c r="BD450" s="20">
        <f t="shared" si="123"/>
        <v>-63.633506045023431</v>
      </c>
      <c r="BE450" s="20">
        <f t="shared" si="124"/>
        <v>3.2293884850109649</v>
      </c>
      <c r="BF450" s="20"/>
      <c r="BG450" s="54">
        <f t="shared" si="125"/>
        <v>70130.451251883715</v>
      </c>
      <c r="BH450" s="54">
        <f t="shared" si="126"/>
        <v>108793.4440324746</v>
      </c>
      <c r="BI450" s="54">
        <f t="shared" si="127"/>
        <v>89818.208388878877</v>
      </c>
      <c r="BJ450" s="20"/>
    </row>
    <row r="451" spans="37:62" x14ac:dyDescent="0.3">
      <c r="AK451">
        <v>447</v>
      </c>
      <c r="AL451">
        <v>223.5</v>
      </c>
      <c r="AN451" s="48">
        <f t="shared" si="128"/>
        <v>86447.726698322294</v>
      </c>
      <c r="AO451" s="48">
        <f t="shared" si="129"/>
        <v>-19098.682628744129</v>
      </c>
      <c r="AP451" s="20"/>
      <c r="AQ451" s="50">
        <f t="shared" si="130"/>
        <v>3446.560051915571</v>
      </c>
      <c r="AR451" s="50">
        <f t="shared" si="131"/>
        <v>919.2244253838868</v>
      </c>
      <c r="AS451" s="20"/>
      <c r="AT451" s="52">
        <f t="shared" si="132"/>
        <v>-167.63987261019506</v>
      </c>
      <c r="AU451" s="52">
        <f t="shared" si="133"/>
        <v>43.512025212891928</v>
      </c>
      <c r="AV451" s="20"/>
      <c r="AW451" s="20"/>
      <c r="AX451" s="20">
        <f t="shared" si="119"/>
        <v>-92.177487525046132</v>
      </c>
      <c r="AY451" s="20">
        <f t="shared" si="120"/>
        <v>36.898173316373629</v>
      </c>
      <c r="AZ451" s="20"/>
      <c r="BA451" s="20">
        <f t="shared" si="121"/>
        <v>-14.140252297590754</v>
      </c>
      <c r="BB451" s="20">
        <f t="shared" si="122"/>
        <v>3.8653969103921533</v>
      </c>
      <c r="BC451" s="20"/>
      <c r="BD451" s="20">
        <f t="shared" si="123"/>
        <v>-61.322132787558182</v>
      </c>
      <c r="BE451" s="20">
        <f t="shared" si="124"/>
        <v>2.7484549861261516</v>
      </c>
      <c r="BF451" s="20"/>
      <c r="BG451" s="54">
        <f t="shared" si="125"/>
        <v>71573.670444930991</v>
      </c>
      <c r="BH451" s="54">
        <f t="shared" si="126"/>
        <v>110353.30466265653</v>
      </c>
      <c r="BI451" s="54">
        <f t="shared" si="127"/>
        <v>91539.531993462893</v>
      </c>
      <c r="BJ451" s="20"/>
    </row>
    <row r="452" spans="37:62" x14ac:dyDescent="0.3">
      <c r="AK452">
        <v>448</v>
      </c>
      <c r="AL452">
        <v>224</v>
      </c>
      <c r="AN452" s="48">
        <f t="shared" si="128"/>
        <v>88150.051740203809</v>
      </c>
      <c r="AO452" s="48">
        <f t="shared" si="129"/>
        <v>-18633.631412900573</v>
      </c>
      <c r="AP452" s="20"/>
      <c r="AQ452" s="50">
        <f t="shared" si="130"/>
        <v>3362.7401156104734</v>
      </c>
      <c r="AR452" s="50">
        <f t="shared" si="131"/>
        <v>940.9804379903328</v>
      </c>
      <c r="AS452" s="20"/>
      <c r="AT452" s="52">
        <f t="shared" si="132"/>
        <v>-162.21535734440138</v>
      </c>
      <c r="AU452" s="52">
        <f t="shared" si="133"/>
        <v>40.182011309055767</v>
      </c>
      <c r="AV452" s="20"/>
      <c r="AW452" s="20"/>
      <c r="AX452" s="20">
        <f t="shared" ref="AX452:AX515" si="134">Masse_1*(q_1x-AN452)/($BG452^2+Aarseth_1^2)^(3/2)</f>
        <v>-89.243689737242079</v>
      </c>
      <c r="AY452" s="20">
        <f t="shared" ref="AY452:AY515" si="135">Masse_1*(q_1y-AO452)/($BG452^2+Aarseth_1^2)^(3/2)</f>
        <v>34.222449344737171</v>
      </c>
      <c r="AZ452" s="20"/>
      <c r="BA452" s="20">
        <f t="shared" ref="BA452:BA515" si="136">Masse_2*(q_2x-AN452)/($BH452^2+Aarseth_2^2)^(3/2)</f>
        <v>-13.789839765468885</v>
      </c>
      <c r="BB452" s="20">
        <f t="shared" ref="BB452:BB515" si="137">Masse_2*(q_2y-AO452)/($BH452^2+Aarseth_2^2)^(3/2)</f>
        <v>3.6509754987071554</v>
      </c>
      <c r="BC452" s="20"/>
      <c r="BD452" s="20">
        <f t="shared" ref="BD452:BD515" si="138">Masse_3*(q_3x-AN452)/($BI452^2+Aarseth_3^2)^(3/2)</f>
        <v>-59.181827841690421</v>
      </c>
      <c r="BE452" s="20">
        <f t="shared" ref="BE452:BE515" si="139">Masse_3*(q_3y-AO452)/($BI452^2+Aarseth_3^2)^(3/2)</f>
        <v>2.3085864656114419</v>
      </c>
      <c r="BF452" s="20"/>
      <c r="BG452" s="54">
        <f t="shared" ref="BG452:BG515" si="140">SQRT((q_1x-AN452)^2+(q_1y-AO452)^2)</f>
        <v>72989.014536557486</v>
      </c>
      <c r="BH452" s="54">
        <f t="shared" ref="BH452:BH515" si="141">SQRT((q_2x-AN452)^2+(q_2y-AO452)^2)</f>
        <v>111876.35379873001</v>
      </c>
      <c r="BI452" s="54">
        <f t="shared" ref="BI452:BI515" si="142">SQRT((q_3x-AN452)^2+(q_3y-AO452)^2)</f>
        <v>93220.895814444215</v>
      </c>
      <c r="BJ452" s="20"/>
    </row>
    <row r="453" spans="37:62" x14ac:dyDescent="0.3">
      <c r="AK453">
        <v>449</v>
      </c>
      <c r="AL453">
        <v>224.5</v>
      </c>
      <c r="AN453" s="48">
        <f t="shared" ref="AN453:AN516" si="143">AN452+(AQ452*bt)+(0.5*AT452)*bt^2</f>
        <v>89811.144878341001</v>
      </c>
      <c r="AO453" s="48">
        <f t="shared" ref="AO453:AO516" si="144">AO452+(AR452*bt)+(0.5*AU452)*bt^2</f>
        <v>-18158.118442491774</v>
      </c>
      <c r="AP453" s="20"/>
      <c r="AQ453" s="50">
        <f t="shared" ref="AQ453:AQ516" si="145">AQ452+(AT452*bt)</f>
        <v>3281.6324369382728</v>
      </c>
      <c r="AR453" s="50">
        <f t="shared" ref="AR453:AR516" si="146">AR452+(AU452*bt)</f>
        <v>961.07144364486066</v>
      </c>
      <c r="AS453" s="20"/>
      <c r="AT453" s="52">
        <f t="shared" si="132"/>
        <v>-157.13900101077292</v>
      </c>
      <c r="AU453" s="52">
        <f t="shared" si="133"/>
        <v>37.142606770376396</v>
      </c>
      <c r="AV453" s="20"/>
      <c r="AW453" s="20"/>
      <c r="AX453" s="20">
        <f t="shared" si="134"/>
        <v>-86.484231958161104</v>
      </c>
      <c r="AY453" s="20">
        <f t="shared" si="135"/>
        <v>31.786080443996333</v>
      </c>
      <c r="AZ453" s="20"/>
      <c r="BA453" s="20">
        <f t="shared" si="136"/>
        <v>-13.45972090396112</v>
      </c>
      <c r="BB453" s="20">
        <f t="shared" si="137"/>
        <v>3.4513838812673479</v>
      </c>
      <c r="BC453" s="20"/>
      <c r="BD453" s="20">
        <f t="shared" si="138"/>
        <v>-57.195048148650685</v>
      </c>
      <c r="BE453" s="20">
        <f t="shared" si="139"/>
        <v>1.9051424451127177</v>
      </c>
      <c r="BF453" s="20"/>
      <c r="BG453" s="54">
        <f t="shared" si="140"/>
        <v>74376.978906336692</v>
      </c>
      <c r="BH453" s="54">
        <f t="shared" si="141"/>
        <v>113363.87067189172</v>
      </c>
      <c r="BI453" s="54">
        <f t="shared" si="142"/>
        <v>94863.728080012617</v>
      </c>
      <c r="BJ453" s="20"/>
    </row>
    <row r="454" spans="37:62" x14ac:dyDescent="0.3">
      <c r="AK454">
        <v>450</v>
      </c>
      <c r="AL454">
        <v>225</v>
      </c>
      <c r="AN454" s="48">
        <f t="shared" si="143"/>
        <v>91432.318721683783</v>
      </c>
      <c r="AO454" s="48">
        <f t="shared" si="144"/>
        <v>-17672.939894823045</v>
      </c>
      <c r="AP454" s="20"/>
      <c r="AQ454" s="50">
        <f t="shared" si="145"/>
        <v>3203.0629364328865</v>
      </c>
      <c r="AR454" s="50">
        <f t="shared" si="146"/>
        <v>979.64274703004889</v>
      </c>
      <c r="AS454" s="20"/>
      <c r="AT454" s="52">
        <f t="shared" si="132"/>
        <v>-152.38131125581828</v>
      </c>
      <c r="AU454" s="52">
        <f t="shared" si="133"/>
        <v>34.361164339228957</v>
      </c>
      <c r="AV454" s="20"/>
      <c r="AW454" s="20"/>
      <c r="AX454" s="20">
        <f t="shared" si="134"/>
        <v>-83.88652381285759</v>
      </c>
      <c r="AY454" s="20">
        <f t="shared" si="135"/>
        <v>29.561835030922687</v>
      </c>
      <c r="AZ454" s="20"/>
      <c r="BA454" s="20">
        <f t="shared" si="136"/>
        <v>-13.148250595782232</v>
      </c>
      <c r="BB454" s="20">
        <f t="shared" si="137"/>
        <v>3.2652174219574124</v>
      </c>
      <c r="BC454" s="20"/>
      <c r="BD454" s="20">
        <f t="shared" si="138"/>
        <v>-55.346536847178442</v>
      </c>
      <c r="BE454" s="20">
        <f t="shared" si="139"/>
        <v>1.5341118863488612</v>
      </c>
      <c r="BF454" s="20"/>
      <c r="BG454" s="54">
        <f t="shared" si="140"/>
        <v>75738.055565908144</v>
      </c>
      <c r="BH454" s="54">
        <f t="shared" si="141"/>
        <v>114817.04254209567</v>
      </c>
      <c r="BI454" s="54">
        <f t="shared" si="142"/>
        <v>96469.356283338711</v>
      </c>
      <c r="BJ454" s="20"/>
    </row>
    <row r="455" spans="37:62" x14ac:dyDescent="0.3">
      <c r="AK455">
        <v>451</v>
      </c>
      <c r="AL455">
        <v>225.5</v>
      </c>
      <c r="AN455" s="48">
        <f t="shared" si="143"/>
        <v>93014.802525993247</v>
      </c>
      <c r="AO455" s="48">
        <f t="shared" si="144"/>
        <v>-17178.823375765616</v>
      </c>
      <c r="AP455" s="20"/>
      <c r="AQ455" s="50">
        <f t="shared" si="145"/>
        <v>3126.8722808049774</v>
      </c>
      <c r="AR455" s="50">
        <f t="shared" si="146"/>
        <v>996.82332919966336</v>
      </c>
      <c r="AS455" s="20"/>
      <c r="AT455" s="52">
        <f t="shared" si="132"/>
        <v>-147.91583393850755</v>
      </c>
      <c r="AU455" s="52">
        <f t="shared" si="133"/>
        <v>31.809400350049778</v>
      </c>
      <c r="AV455" s="20"/>
      <c r="AW455" s="20"/>
      <c r="AX455" s="20">
        <f t="shared" si="134"/>
        <v>-81.438908221213609</v>
      </c>
      <c r="AY455" s="20">
        <f t="shared" si="135"/>
        <v>27.52615034726723</v>
      </c>
      <c r="AZ455" s="20"/>
      <c r="BA455" s="20">
        <f t="shared" si="136"/>
        <v>-12.85395880469844</v>
      </c>
      <c r="BB455" s="20">
        <f t="shared" si="137"/>
        <v>3.0912364418096026</v>
      </c>
      <c r="BC455" s="20"/>
      <c r="BD455" s="20">
        <f t="shared" si="138"/>
        <v>-53.622966912595516</v>
      </c>
      <c r="BE455" s="20">
        <f t="shared" si="139"/>
        <v>1.1920135609729459</v>
      </c>
      <c r="BF455" s="20"/>
      <c r="BG455" s="54">
        <f t="shared" si="140"/>
        <v>77072.730009530773</v>
      </c>
      <c r="BH455" s="54">
        <f t="shared" si="141"/>
        <v>116236.97359308833</v>
      </c>
      <c r="BI455" s="54">
        <f t="shared" si="142"/>
        <v>98039.016649047611</v>
      </c>
      <c r="BJ455" s="20"/>
    </row>
    <row r="456" spans="37:62" x14ac:dyDescent="0.3">
      <c r="AK456">
        <v>452</v>
      </c>
      <c r="AL456">
        <v>226</v>
      </c>
      <c r="AN456" s="48">
        <f t="shared" si="143"/>
        <v>94559.749187153415</v>
      </c>
      <c r="AO456" s="48">
        <f t="shared" si="144"/>
        <v>-16676.435536122026</v>
      </c>
      <c r="AP456" s="20"/>
      <c r="AQ456" s="50">
        <f t="shared" si="145"/>
        <v>3052.9143638357236</v>
      </c>
      <c r="AR456" s="50">
        <f t="shared" si="146"/>
        <v>1012.7280293746883</v>
      </c>
      <c r="AS456" s="20"/>
      <c r="AT456" s="52">
        <f t="shared" si="132"/>
        <v>-143.71879978400779</v>
      </c>
      <c r="AU456" s="52">
        <f t="shared" si="133"/>
        <v>29.462725647529712</v>
      </c>
      <c r="AV456" s="20"/>
      <c r="AW456" s="20"/>
      <c r="AX456" s="20">
        <f t="shared" si="134"/>
        <v>-79.130623099780877</v>
      </c>
      <c r="AY456" s="20">
        <f t="shared" si="135"/>
        <v>25.658568184060439</v>
      </c>
      <c r="AZ456" s="20"/>
      <c r="BA456" s="20">
        <f t="shared" si="136"/>
        <v>-12.575527826059538</v>
      </c>
      <c r="BB456" s="20">
        <f t="shared" si="137"/>
        <v>2.928343155121059</v>
      </c>
      <c r="BC456" s="20"/>
      <c r="BD456" s="20">
        <f t="shared" si="138"/>
        <v>-52.012648858167353</v>
      </c>
      <c r="BE456" s="20">
        <f t="shared" si="139"/>
        <v>0.8758143083482145</v>
      </c>
      <c r="BF456" s="20"/>
      <c r="BG456" s="54">
        <f t="shared" si="140"/>
        <v>78381.478897016787</v>
      </c>
      <c r="BH456" s="54">
        <f t="shared" si="141"/>
        <v>117624.69275937078</v>
      </c>
      <c r="BI456" s="54">
        <f t="shared" si="142"/>
        <v>99573.862505758341</v>
      </c>
      <c r="BJ456" s="20"/>
    </row>
    <row r="457" spans="37:62" x14ac:dyDescent="0.3">
      <c r="AK457">
        <v>453</v>
      </c>
      <c r="AL457">
        <v>226.5</v>
      </c>
      <c r="AN457" s="48">
        <f t="shared" si="143"/>
        <v>96068.241519098287</v>
      </c>
      <c r="AO457" s="48">
        <f t="shared" si="144"/>
        <v>-16166.38868072874</v>
      </c>
      <c r="AP457" s="20"/>
      <c r="AQ457" s="50">
        <f t="shared" si="145"/>
        <v>2981.0549639437199</v>
      </c>
      <c r="AR457" s="50">
        <f t="shared" si="146"/>
        <v>1027.4593921984531</v>
      </c>
      <c r="AS457" s="20"/>
      <c r="AT457" s="52">
        <f t="shared" si="132"/>
        <v>-139.76881462077381</v>
      </c>
      <c r="AU457" s="52">
        <f t="shared" si="133"/>
        <v>27.299690847211725</v>
      </c>
      <c r="AV457" s="20"/>
      <c r="AW457" s="20"/>
      <c r="AX457" s="20">
        <f t="shared" si="134"/>
        <v>-76.951752062323635</v>
      </c>
      <c r="AY457" s="20">
        <f t="shared" si="135"/>
        <v>23.94126691508681</v>
      </c>
      <c r="AZ457" s="20"/>
      <c r="BA457" s="20">
        <f t="shared" si="136"/>
        <v>-12.311773007644678</v>
      </c>
      <c r="BB457" s="20">
        <f t="shared" si="137"/>
        <v>2.7755623213601193</v>
      </c>
      <c r="BC457" s="20"/>
      <c r="BD457" s="20">
        <f t="shared" si="138"/>
        <v>-50.505289550805514</v>
      </c>
      <c r="BE457" s="20">
        <f t="shared" si="139"/>
        <v>0.58286161076479592</v>
      </c>
      <c r="BF457" s="20"/>
      <c r="BG457" s="54">
        <f t="shared" si="140"/>
        <v>79664.768379724759</v>
      </c>
      <c r="BH457" s="54">
        <f t="shared" si="141"/>
        <v>118981.16063447481</v>
      </c>
      <c r="BI457" s="54">
        <f t="shared" si="142"/>
        <v>101074.97171069264</v>
      </c>
      <c r="BJ457" s="20"/>
    </row>
    <row r="458" spans="37:62" x14ac:dyDescent="0.3">
      <c r="AK458">
        <v>454</v>
      </c>
      <c r="AL458">
        <v>227</v>
      </c>
      <c r="AN458" s="48">
        <f t="shared" si="143"/>
        <v>97541.297899242549</v>
      </c>
      <c r="AO458" s="48">
        <f t="shared" si="144"/>
        <v>-15649.246523273612</v>
      </c>
      <c r="AP458" s="20"/>
      <c r="AQ458" s="50">
        <f t="shared" si="145"/>
        <v>2911.170556633333</v>
      </c>
      <c r="AR458" s="50">
        <f t="shared" si="146"/>
        <v>1041.109237622059</v>
      </c>
      <c r="AS458" s="20"/>
      <c r="AT458" s="52">
        <f t="shared" si="132"/>
        <v>-136.04658800288399</v>
      </c>
      <c r="AU458" s="52">
        <f t="shared" si="133"/>
        <v>25.301524626900267</v>
      </c>
      <c r="AV458" s="20"/>
      <c r="AW458" s="20"/>
      <c r="AX458" s="20">
        <f t="shared" si="134"/>
        <v>-74.893169584138491</v>
      </c>
      <c r="AY458" s="20">
        <f t="shared" si="135"/>
        <v>22.358671992637547</v>
      </c>
      <c r="AZ458" s="20"/>
      <c r="BA458" s="20">
        <f t="shared" si="136"/>
        <v>-12.061626337148809</v>
      </c>
      <c r="BB458" s="20">
        <f t="shared" si="137"/>
        <v>2.6320249386588852</v>
      </c>
      <c r="BC458" s="20"/>
      <c r="BD458" s="20">
        <f t="shared" si="138"/>
        <v>-49.091792081596708</v>
      </c>
      <c r="BE458" s="20">
        <f t="shared" si="139"/>
        <v>0.31082769560383283</v>
      </c>
      <c r="BF458" s="20"/>
      <c r="BG458" s="54">
        <f t="shared" si="140"/>
        <v>80923.05292371496</v>
      </c>
      <c r="BH458" s="54">
        <f t="shared" si="141"/>
        <v>120307.27558651697</v>
      </c>
      <c r="BI458" s="54">
        <f t="shared" si="142"/>
        <v>102543.3532507553</v>
      </c>
      <c r="BJ458" s="20"/>
    </row>
    <row r="459" spans="37:62" x14ac:dyDescent="0.3">
      <c r="AK459">
        <v>455</v>
      </c>
      <c r="AL459">
        <v>227.5</v>
      </c>
      <c r="AN459" s="48">
        <f t="shared" si="143"/>
        <v>98979.877354058845</v>
      </c>
      <c r="AO459" s="48">
        <f t="shared" si="144"/>
        <v>-15125.52921388422</v>
      </c>
      <c r="AP459" s="20"/>
      <c r="AQ459" s="50">
        <f t="shared" si="145"/>
        <v>2843.147262631891</v>
      </c>
      <c r="AR459" s="50">
        <f t="shared" si="146"/>
        <v>1053.7599999355091</v>
      </c>
      <c r="AS459" s="20"/>
      <c r="AT459" s="52">
        <f t="shared" si="132"/>
        <v>-132.53469547701042</v>
      </c>
      <c r="AU459" s="52">
        <f t="shared" si="133"/>
        <v>23.451747991719458</v>
      </c>
      <c r="AV459" s="20"/>
      <c r="AW459" s="20"/>
      <c r="AX459" s="20">
        <f t="shared" si="134"/>
        <v>-72.946484248346422</v>
      </c>
      <c r="AY459" s="20">
        <f t="shared" si="135"/>
        <v>20.897130581911302</v>
      </c>
      <c r="AZ459" s="20"/>
      <c r="BA459" s="20">
        <f t="shared" si="136"/>
        <v>-11.824122409885355</v>
      </c>
      <c r="BB459" s="20">
        <f t="shared" si="137"/>
        <v>2.4969544400692967</v>
      </c>
      <c r="BC459" s="20"/>
      <c r="BD459" s="20">
        <f t="shared" si="138"/>
        <v>-47.76408881877866</v>
      </c>
      <c r="BE459" s="20">
        <f t="shared" si="139"/>
        <v>5.7662969738858663E-2</v>
      </c>
      <c r="BF459" s="20"/>
      <c r="BG459" s="54">
        <f t="shared" si="140"/>
        <v>82156.774517202808</v>
      </c>
      <c r="BH459" s="54">
        <f t="shared" si="141"/>
        <v>121603.879187568</v>
      </c>
      <c r="BI459" s="54">
        <f t="shared" si="142"/>
        <v>103979.95312630535</v>
      </c>
      <c r="BJ459" s="20"/>
    </row>
    <row r="460" spans="37:62" x14ac:dyDescent="0.3">
      <c r="AK460">
        <v>456</v>
      </c>
      <c r="AL460">
        <v>228</v>
      </c>
      <c r="AN460" s="48">
        <f t="shared" si="143"/>
        <v>100384.88414844016</v>
      </c>
      <c r="AO460" s="48">
        <f t="shared" si="144"/>
        <v>-14595.7177454175</v>
      </c>
      <c r="AP460" s="20"/>
      <c r="AQ460" s="50">
        <f t="shared" si="145"/>
        <v>2776.8799148933858</v>
      </c>
      <c r="AR460" s="50">
        <f t="shared" si="146"/>
        <v>1065.4858739313688</v>
      </c>
      <c r="AS460" s="20"/>
      <c r="AT460" s="52">
        <f t="shared" si="132"/>
        <v>-129.21737024422615</v>
      </c>
      <c r="AU460" s="52">
        <f t="shared" si="133"/>
        <v>21.73585081536163</v>
      </c>
      <c r="AV460" s="20"/>
      <c r="AW460" s="20"/>
      <c r="AX460" s="20">
        <f t="shared" si="134"/>
        <v>-71.103982421781097</v>
      </c>
      <c r="AY460" s="20">
        <f t="shared" si="135"/>
        <v>19.544638806290909</v>
      </c>
      <c r="AZ460" s="20"/>
      <c r="BA460" s="20">
        <f t="shared" si="136"/>
        <v>-11.598386382511901</v>
      </c>
      <c r="BB460" s="20">
        <f t="shared" si="137"/>
        <v>2.3696549594615606</v>
      </c>
      <c r="BC460" s="20"/>
      <c r="BD460" s="20">
        <f t="shared" si="138"/>
        <v>-46.515001439933137</v>
      </c>
      <c r="BE460" s="20">
        <f t="shared" si="139"/>
        <v>-0.17844295039083888</v>
      </c>
      <c r="BF460" s="20"/>
      <c r="BG460" s="54">
        <f t="shared" si="140"/>
        <v>83366.36217470032</v>
      </c>
      <c r="BH460" s="54">
        <f t="shared" si="141"/>
        <v>122871.76104722192</v>
      </c>
      <c r="BI460" s="54">
        <f t="shared" si="142"/>
        <v>105385.65960851374</v>
      </c>
      <c r="BJ460" s="20"/>
    </row>
    <row r="461" spans="37:62" x14ac:dyDescent="0.3">
      <c r="AK461">
        <v>457</v>
      </c>
      <c r="AL461">
        <v>228.5</v>
      </c>
      <c r="AN461" s="48">
        <f t="shared" si="143"/>
        <v>101757.17193460633</v>
      </c>
      <c r="AO461" s="48">
        <f t="shared" si="144"/>
        <v>-14060.257827099897</v>
      </c>
      <c r="AP461" s="20"/>
      <c r="AQ461" s="50">
        <f t="shared" si="145"/>
        <v>2712.2712297712728</v>
      </c>
      <c r="AR461" s="50">
        <f t="shared" si="146"/>
        <v>1076.3537993390496</v>
      </c>
      <c r="AS461" s="20"/>
      <c r="AT461" s="52">
        <f t="shared" si="132"/>
        <v>-126.08032045132099</v>
      </c>
      <c r="AU461" s="52">
        <f t="shared" si="133"/>
        <v>20.141019619876623</v>
      </c>
      <c r="AV461" s="20"/>
      <c r="AW461" s="20"/>
      <c r="AX461" s="20">
        <f t="shared" si="134"/>
        <v>-69.358573836251836</v>
      </c>
      <c r="AY461" s="20">
        <f t="shared" si="135"/>
        <v>18.290612297910997</v>
      </c>
      <c r="AZ461" s="20"/>
      <c r="BA461" s="20">
        <f t="shared" si="136"/>
        <v>-11.383623591591219</v>
      </c>
      <c r="BB461" s="20">
        <f t="shared" si="137"/>
        <v>2.2495013169938343</v>
      </c>
      <c r="BC461" s="20"/>
      <c r="BD461" s="20">
        <f t="shared" si="138"/>
        <v>-45.338123023477934</v>
      </c>
      <c r="BE461" s="20">
        <f t="shared" si="139"/>
        <v>-0.3990939950282083</v>
      </c>
      <c r="BF461" s="20"/>
      <c r="BG461" s="54">
        <f t="shared" si="140"/>
        <v>84552.231669636036</v>
      </c>
      <c r="BH461" s="54">
        <f t="shared" si="141"/>
        <v>124111.66312728151</v>
      </c>
      <c r="BI461" s="54">
        <f t="shared" si="142"/>
        <v>106761.30794827602</v>
      </c>
      <c r="BJ461" s="20"/>
    </row>
    <row r="462" spans="37:62" x14ac:dyDescent="0.3">
      <c r="AK462">
        <v>458</v>
      </c>
      <c r="AL462">
        <v>229</v>
      </c>
      <c r="AN462" s="48">
        <f t="shared" si="143"/>
        <v>103097.54750943556</v>
      </c>
      <c r="AO462" s="48">
        <f t="shared" si="144"/>
        <v>-13519.563299977888</v>
      </c>
      <c r="AP462" s="20"/>
      <c r="AQ462" s="50">
        <f t="shared" si="145"/>
        <v>2649.2310695456122</v>
      </c>
      <c r="AR462" s="50">
        <f t="shared" si="146"/>
        <v>1086.424309148988</v>
      </c>
      <c r="AS462" s="20"/>
      <c r="AT462" s="52">
        <f t="shared" si="132"/>
        <v>-123.11056880268862</v>
      </c>
      <c r="AU462" s="52">
        <f t="shared" si="133"/>
        <v>18.655907668106124</v>
      </c>
      <c r="AV462" s="20"/>
      <c r="AW462" s="20"/>
      <c r="AX462" s="20">
        <f t="shared" si="134"/>
        <v>-67.703739955563506</v>
      </c>
      <c r="AY462" s="20">
        <f t="shared" si="135"/>
        <v>17.12569251793645</v>
      </c>
      <c r="AZ462" s="20"/>
      <c r="BA462" s="20">
        <f t="shared" si="136"/>
        <v>-11.179110573924996</v>
      </c>
      <c r="BB462" s="20">
        <f t="shared" si="137"/>
        <v>2.1359304397248646</v>
      </c>
      <c r="BC462" s="20"/>
      <c r="BD462" s="20">
        <f t="shared" si="138"/>
        <v>-44.227718273200111</v>
      </c>
      <c r="BE462" s="20">
        <f t="shared" si="139"/>
        <v>-0.60571528955519327</v>
      </c>
      <c r="BF462" s="20"/>
      <c r="BG462" s="54">
        <f t="shared" si="140"/>
        <v>85714.785442213397</v>
      </c>
      <c r="BH462" s="54">
        <f t="shared" si="141"/>
        <v>125324.28360321639</v>
      </c>
      <c r="BI462" s="54">
        <f t="shared" si="142"/>
        <v>108107.68460372025</v>
      </c>
      <c r="BJ462" s="20"/>
    </row>
    <row r="463" spans="37:62" x14ac:dyDescent="0.3">
      <c r="AK463">
        <v>459</v>
      </c>
      <c r="AL463">
        <v>229.5</v>
      </c>
      <c r="AN463" s="48">
        <f t="shared" si="143"/>
        <v>104406.77422310803</v>
      </c>
      <c r="AO463" s="48">
        <f t="shared" si="144"/>
        <v>-12974.019156944882</v>
      </c>
      <c r="AP463" s="20"/>
      <c r="AQ463" s="50">
        <f t="shared" si="145"/>
        <v>2587.675785144268</v>
      </c>
      <c r="AR463" s="50">
        <f t="shared" si="146"/>
        <v>1095.752262983041</v>
      </c>
      <c r="AS463" s="20"/>
      <c r="AT463" s="52">
        <f t="shared" si="132"/>
        <v>-120.29631160134224</v>
      </c>
      <c r="AU463" s="52">
        <f t="shared" si="133"/>
        <v>17.270440124683592</v>
      </c>
      <c r="AV463" s="20"/>
      <c r="AW463" s="20"/>
      <c r="AX463" s="20">
        <f t="shared" si="134"/>
        <v>-66.133485605086506</v>
      </c>
      <c r="AY463" s="20">
        <f t="shared" si="135"/>
        <v>16.041582724332926</v>
      </c>
      <c r="AZ463" s="20"/>
      <c r="BA463" s="20">
        <f t="shared" si="136"/>
        <v>-10.984187272141819</v>
      </c>
      <c r="BB463" s="20">
        <f t="shared" si="137"/>
        <v>2.0284339851228386</v>
      </c>
      <c r="BC463" s="20"/>
      <c r="BD463" s="20">
        <f t="shared" si="138"/>
        <v>-43.17863872411391</v>
      </c>
      <c r="BE463" s="20">
        <f t="shared" si="139"/>
        <v>-0.79957658477217064</v>
      </c>
      <c r="BF463" s="20"/>
      <c r="BG463" s="54">
        <f t="shared" si="140"/>
        <v>86854.412640865179</v>
      </c>
      <c r="BH463" s="54">
        <f t="shared" si="141"/>
        <v>126510.28032860826</v>
      </c>
      <c r="BI463" s="54">
        <f t="shared" si="142"/>
        <v>109425.53104409666</v>
      </c>
      <c r="BJ463" s="20"/>
    </row>
    <row r="464" spans="37:62" x14ac:dyDescent="0.3">
      <c r="AK464">
        <v>460</v>
      </c>
      <c r="AL464">
        <v>230</v>
      </c>
      <c r="AN464" s="48">
        <f t="shared" si="143"/>
        <v>105685.57507673001</v>
      </c>
      <c r="AO464" s="48">
        <f t="shared" si="144"/>
        <v>-12423.984220437775</v>
      </c>
      <c r="AP464" s="20"/>
      <c r="AQ464" s="50">
        <f t="shared" si="145"/>
        <v>2527.5276293435968</v>
      </c>
      <c r="AR464" s="50">
        <f t="shared" si="146"/>
        <v>1104.3874830453829</v>
      </c>
      <c r="AS464" s="20"/>
      <c r="AT464" s="52">
        <f t="shared" si="132"/>
        <v>-117.6267947023388</v>
      </c>
      <c r="AU464" s="52">
        <f t="shared" si="133"/>
        <v>15.975648385338099</v>
      </c>
      <c r="AV464" s="20"/>
      <c r="AW464" s="20"/>
      <c r="AX464" s="20">
        <f t="shared" si="134"/>
        <v>-64.64229407033578</v>
      </c>
      <c r="AY464" s="20">
        <f t="shared" si="135"/>
        <v>15.030908596656401</v>
      </c>
      <c r="AZ464" s="20"/>
      <c r="BA464" s="20">
        <f t="shared" si="136"/>
        <v>-10.798250246492833</v>
      </c>
      <c r="BB464" s="20">
        <f t="shared" si="137"/>
        <v>1.9265519769302821</v>
      </c>
      <c r="BC464" s="20"/>
      <c r="BD464" s="20">
        <f t="shared" si="138"/>
        <v>-42.186250385510199</v>
      </c>
      <c r="BE464" s="20">
        <f t="shared" si="139"/>
        <v>-0.98181218824858474</v>
      </c>
      <c r="BF464" s="20"/>
      <c r="BG464" s="54">
        <f t="shared" si="140"/>
        <v>87971.489264682721</v>
      </c>
      <c r="BH464" s="54">
        <f t="shared" si="141"/>
        <v>127670.2739508566</v>
      </c>
      <c r="BI464" s="54">
        <f t="shared" si="142"/>
        <v>110715.54717998275</v>
      </c>
      <c r="BJ464" s="20"/>
    </row>
    <row r="465" spans="37:62" x14ac:dyDescent="0.3">
      <c r="AK465">
        <v>461</v>
      </c>
      <c r="AL465">
        <v>230.5</v>
      </c>
      <c r="AN465" s="48">
        <f t="shared" si="143"/>
        <v>106934.635542064</v>
      </c>
      <c r="AO465" s="48">
        <f t="shared" si="144"/>
        <v>-11869.793522866916</v>
      </c>
      <c r="AP465" s="20"/>
      <c r="AQ465" s="50">
        <f t="shared" si="145"/>
        <v>2468.7142319924274</v>
      </c>
      <c r="AR465" s="50">
        <f t="shared" si="146"/>
        <v>1112.3753072380518</v>
      </c>
      <c r="AS465" s="20"/>
      <c r="AT465" s="52">
        <f t="shared" si="132"/>
        <v>-115.09220419371647</v>
      </c>
      <c r="AU465" s="52">
        <f t="shared" si="133"/>
        <v>14.763528751579191</v>
      </c>
      <c r="AV465" s="20"/>
      <c r="AW465" s="20"/>
      <c r="AX465" s="20">
        <f t="shared" si="134"/>
        <v>-63.225085692989843</v>
      </c>
      <c r="AY465" s="20">
        <f t="shared" si="135"/>
        <v>14.08709943629108</v>
      </c>
      <c r="AZ465" s="20"/>
      <c r="BA465" s="20">
        <f t="shared" si="136"/>
        <v>-10.620746744128951</v>
      </c>
      <c r="BB465" s="20">
        <f t="shared" si="137"/>
        <v>1.8298672963518274</v>
      </c>
      <c r="BC465" s="20"/>
      <c r="BD465" s="20">
        <f t="shared" si="138"/>
        <v>-41.246371756597689</v>
      </c>
      <c r="BE465" s="20">
        <f t="shared" si="139"/>
        <v>-1.1534379810637161</v>
      </c>
      <c r="BF465" s="20"/>
      <c r="BG465" s="54">
        <f t="shared" si="140"/>
        <v>89066.378381238756</v>
      </c>
      <c r="BH465" s="54">
        <f t="shared" si="141"/>
        <v>128804.85071972037</v>
      </c>
      <c r="BI465" s="54">
        <f t="shared" si="142"/>
        <v>111978.39446305785</v>
      </c>
      <c r="BJ465" s="20"/>
    </row>
    <row r="466" spans="37:62" x14ac:dyDescent="0.3">
      <c r="AK466">
        <v>462</v>
      </c>
      <c r="AL466">
        <v>231</v>
      </c>
      <c r="AN466" s="48">
        <f t="shared" si="143"/>
        <v>108154.60613253601</v>
      </c>
      <c r="AO466" s="48">
        <f t="shared" si="144"/>
        <v>-11311.760428153942</v>
      </c>
      <c r="AP466" s="20"/>
      <c r="AQ466" s="50">
        <f t="shared" si="145"/>
        <v>2411.1681298955691</v>
      </c>
      <c r="AR466" s="50">
        <f t="shared" si="146"/>
        <v>1119.7570716138414</v>
      </c>
      <c r="AS466" s="20"/>
      <c r="AT466" s="52">
        <f t="shared" ref="AT466:AT529" si="147">AX466+BA466+BD466</f>
        <v>-112.6835699112664</v>
      </c>
      <c r="AU466" s="52">
        <f t="shared" ref="AU466:AU529" si="148">AY466+BB466+BE466</f>
        <v>13.626921494533478</v>
      </c>
      <c r="AV466" s="20"/>
      <c r="AW466" s="20"/>
      <c r="AX466" s="20">
        <f t="shared" si="134"/>
        <v>-61.877179878708588</v>
      </c>
      <c r="AY466" s="20">
        <f t="shared" si="135"/>
        <v>13.204286592784616</v>
      </c>
      <c r="AZ466" s="20"/>
      <c r="BA466" s="20">
        <f t="shared" si="136"/>
        <v>-10.451169501790362</v>
      </c>
      <c r="BB466" s="20">
        <f t="shared" si="137"/>
        <v>1.7380008985852409</v>
      </c>
      <c r="BC466" s="20"/>
      <c r="BD466" s="20">
        <f t="shared" si="138"/>
        <v>-40.355220530767461</v>
      </c>
      <c r="BE466" s="20">
        <f t="shared" si="139"/>
        <v>-1.3153659968363784</v>
      </c>
      <c r="BF466" s="20"/>
      <c r="BG466" s="54">
        <f t="shared" si="140"/>
        <v>90139.430399735793</v>
      </c>
      <c r="BH466" s="54">
        <f t="shared" si="141"/>
        <v>129914.56502460554</v>
      </c>
      <c r="BI466" s="54">
        <f t="shared" si="142"/>
        <v>113214.69869300844</v>
      </c>
      <c r="BJ466" s="20"/>
    </row>
    <row r="467" spans="37:62" x14ac:dyDescent="0.3">
      <c r="AK467">
        <v>463</v>
      </c>
      <c r="AL467">
        <v>231.5</v>
      </c>
      <c r="AN467" s="48">
        <f t="shared" si="143"/>
        <v>109346.10475124489</v>
      </c>
      <c r="AO467" s="48">
        <f t="shared" si="144"/>
        <v>-10750.178527160206</v>
      </c>
      <c r="AP467" s="20"/>
      <c r="AQ467" s="50">
        <f t="shared" si="145"/>
        <v>2354.826344939936</v>
      </c>
      <c r="AR467" s="50">
        <f t="shared" si="146"/>
        <v>1126.5705323611082</v>
      </c>
      <c r="AS467" s="20"/>
      <c r="AT467" s="52">
        <f t="shared" si="147"/>
        <v>-110.39268014736655</v>
      </c>
      <c r="AU467" s="52">
        <f t="shared" si="148"/>
        <v>12.559407051330581</v>
      </c>
      <c r="AV467" s="20"/>
      <c r="AW467" s="20"/>
      <c r="AX467" s="20">
        <f t="shared" si="134"/>
        <v>-60.594260361033712</v>
      </c>
      <c r="AY467" s="20">
        <f t="shared" si="135"/>
        <v>12.37721635866486</v>
      </c>
      <c r="AZ467" s="20"/>
      <c r="BA467" s="20">
        <f t="shared" si="136"/>
        <v>-10.289052177985933</v>
      </c>
      <c r="BB467" s="20">
        <f t="shared" si="137"/>
        <v>1.6506076466629727</v>
      </c>
      <c r="BC467" s="20"/>
      <c r="BD467" s="20">
        <f t="shared" si="138"/>
        <v>-39.509367608346899</v>
      </c>
      <c r="BE467" s="20">
        <f t="shared" si="139"/>
        <v>-1.4684169539972518</v>
      </c>
      <c r="BF467" s="20"/>
      <c r="BG467" s="54">
        <f t="shared" si="140"/>
        <v>91190.983383740531</v>
      </c>
      <c r="BH467" s="54">
        <f t="shared" si="141"/>
        <v>130999.94169170091</v>
      </c>
      <c r="BI467" s="54">
        <f t="shared" si="142"/>
        <v>114425.05256426007</v>
      </c>
      <c r="BJ467" s="20"/>
    </row>
    <row r="468" spans="37:62" x14ac:dyDescent="0.3">
      <c r="AK468">
        <v>464</v>
      </c>
      <c r="AL468">
        <v>232</v>
      </c>
      <c r="AN468" s="48">
        <f t="shared" si="143"/>
        <v>110509.71883869644</v>
      </c>
      <c r="AO468" s="48">
        <f t="shared" si="144"/>
        <v>-10185.323335098235</v>
      </c>
      <c r="AP468" s="20"/>
      <c r="AQ468" s="50">
        <f t="shared" si="145"/>
        <v>2299.6300048662529</v>
      </c>
      <c r="AR468" s="50">
        <f t="shared" si="146"/>
        <v>1132.8502358867736</v>
      </c>
      <c r="AS468" s="20"/>
      <c r="AT468" s="52">
        <f t="shared" si="147"/>
        <v>-108.21200613439785</v>
      </c>
      <c r="AU468" s="52">
        <f t="shared" si="148"/>
        <v>11.555216664151658</v>
      </c>
      <c r="AV468" s="20"/>
      <c r="AW468" s="20"/>
      <c r="AX468" s="20">
        <f t="shared" si="134"/>
        <v>-59.372343525664569</v>
      </c>
      <c r="AY468" s="20">
        <f t="shared" si="135"/>
        <v>11.601175054860295</v>
      </c>
      <c r="AZ468" s="20"/>
      <c r="BA468" s="20">
        <f t="shared" si="136"/>
        <v>-10.133965327269642</v>
      </c>
      <c r="BB468" s="20">
        <f t="shared" si="137"/>
        <v>1.5673726724554138</v>
      </c>
      <c r="BC468" s="20"/>
      <c r="BD468" s="20">
        <f t="shared" si="138"/>
        <v>-38.705697281463635</v>
      </c>
      <c r="BE468" s="20">
        <f t="shared" si="139"/>
        <v>-1.6133310631640503</v>
      </c>
      <c r="BF468" s="20"/>
      <c r="BG468" s="54">
        <f t="shared" si="140"/>
        <v>92221.363391173363</v>
      </c>
      <c r="BH468" s="54">
        <f t="shared" si="141"/>
        <v>132061.4780679743</v>
      </c>
      <c r="BI468" s="54">
        <f t="shared" si="142"/>
        <v>115610.01798106535</v>
      </c>
      <c r="BJ468" s="20"/>
    </row>
    <row r="469" spans="37:62" x14ac:dyDescent="0.3">
      <c r="AK469">
        <v>465</v>
      </c>
      <c r="AL469">
        <v>232.5</v>
      </c>
      <c r="AN469" s="48">
        <f t="shared" si="143"/>
        <v>111646.00734036276</v>
      </c>
      <c r="AO469" s="48">
        <f t="shared" si="144"/>
        <v>-9617.453815071829</v>
      </c>
      <c r="AP469" s="20"/>
      <c r="AQ469" s="50">
        <f t="shared" si="145"/>
        <v>2245.5240017990541</v>
      </c>
      <c r="AR469" s="50">
        <f t="shared" si="146"/>
        <v>1138.6278442188495</v>
      </c>
      <c r="AS469" s="20"/>
      <c r="AT469" s="52">
        <f t="shared" si="147"/>
        <v>-106.13463507394547</v>
      </c>
      <c r="AU469" s="52">
        <f t="shared" si="148"/>
        <v>10.609155232697686</v>
      </c>
      <c r="AV469" s="20"/>
      <c r="AW469" s="20"/>
      <c r="AX469" s="20">
        <f t="shared" si="134"/>
        <v>-58.207749579845732</v>
      </c>
      <c r="AY469" s="20">
        <f t="shared" si="135"/>
        <v>10.871924419051643</v>
      </c>
      <c r="AZ469" s="20"/>
      <c r="BA469" s="20">
        <f t="shared" si="136"/>
        <v>-9.9855128428551811</v>
      </c>
      <c r="BB469" s="20">
        <f t="shared" si="137"/>
        <v>1.4880081893259061</v>
      </c>
      <c r="BC469" s="20"/>
      <c r="BD469" s="20">
        <f t="shared" si="138"/>
        <v>-37.941372651244556</v>
      </c>
      <c r="BE469" s="20">
        <f t="shared" si="139"/>
        <v>-1.7507773756798639</v>
      </c>
      <c r="BF469" s="20"/>
      <c r="BG469" s="54">
        <f t="shared" si="140"/>
        <v>93230.8848319104</v>
      </c>
      <c r="BH469" s="54">
        <f t="shared" si="141"/>
        <v>133099.64591555201</v>
      </c>
      <c r="BI469" s="54">
        <f t="shared" si="142"/>
        <v>116770.12816590058</v>
      </c>
      <c r="BJ469" s="20"/>
    </row>
    <row r="470" spans="37:62" x14ac:dyDescent="0.3">
      <c r="AK470">
        <v>466</v>
      </c>
      <c r="AL470">
        <v>233</v>
      </c>
      <c r="AN470" s="48">
        <f t="shared" si="143"/>
        <v>112755.50251187805</v>
      </c>
      <c r="AO470" s="48">
        <f t="shared" si="144"/>
        <v>-9046.8137485583175</v>
      </c>
      <c r="AP470" s="20"/>
      <c r="AQ470" s="50">
        <f t="shared" si="145"/>
        <v>2192.4566842620811</v>
      </c>
      <c r="AR470" s="50">
        <f t="shared" si="146"/>
        <v>1143.9324218351983</v>
      </c>
      <c r="AS470" s="20"/>
      <c r="AT470" s="52">
        <f t="shared" si="147"/>
        <v>-104.15421064751052</v>
      </c>
      <c r="AU470" s="52">
        <f t="shared" si="148"/>
        <v>9.7165345265095606</v>
      </c>
      <c r="AV470" s="20"/>
      <c r="AW470" s="20"/>
      <c r="AX470" s="20">
        <f t="shared" si="134"/>
        <v>-57.097076345574187</v>
      </c>
      <c r="AY470" s="20">
        <f t="shared" si="135"/>
        <v>10.185645727663921</v>
      </c>
      <c r="AZ470" s="20"/>
      <c r="BA470" s="20">
        <f t="shared" si="136"/>
        <v>-9.8433288050798282</v>
      </c>
      <c r="BB470" s="20">
        <f t="shared" si="137"/>
        <v>1.412250692956398</v>
      </c>
      <c r="BC470" s="20"/>
      <c r="BD470" s="20">
        <f t="shared" si="138"/>
        <v>-37.213805496856516</v>
      </c>
      <c r="BE470" s="20">
        <f t="shared" si="139"/>
        <v>-1.881361894110759</v>
      </c>
      <c r="BF470" s="20"/>
      <c r="BG470" s="54">
        <f t="shared" si="140"/>
        <v>94219.850835482081</v>
      </c>
      <c r="BH470" s="54">
        <f t="shared" si="141"/>
        <v>134114.89313701715</v>
      </c>
      <c r="BI470" s="54">
        <f t="shared" si="142"/>
        <v>117905.8895830453</v>
      </c>
      <c r="BJ470" s="20"/>
    </row>
    <row r="471" spans="37:62" x14ac:dyDescent="0.3">
      <c r="AK471">
        <v>467</v>
      </c>
      <c r="AL471">
        <v>233.5</v>
      </c>
      <c r="AN471" s="48">
        <f t="shared" si="143"/>
        <v>113838.71157767814</v>
      </c>
      <c r="AO471" s="48">
        <f t="shared" si="144"/>
        <v>-8473.632970824905</v>
      </c>
      <c r="AP471" s="20"/>
      <c r="AQ471" s="50">
        <f t="shared" si="145"/>
        <v>2140.3795789383257</v>
      </c>
      <c r="AR471" s="50">
        <f t="shared" si="146"/>
        <v>1148.790689098453</v>
      </c>
      <c r="AS471" s="20"/>
      <c r="AT471" s="52">
        <f t="shared" si="147"/>
        <v>-102.26488008638898</v>
      </c>
      <c r="AU471" s="52">
        <f t="shared" si="148"/>
        <v>8.8731152110000924</v>
      </c>
      <c r="AV471" s="20"/>
      <c r="AW471" s="20"/>
      <c r="AX471" s="20">
        <f t="shared" si="134"/>
        <v>-56.037175458207344</v>
      </c>
      <c r="AY471" s="20">
        <f t="shared" si="135"/>
        <v>9.5388913428351767</v>
      </c>
      <c r="AZ471" s="20"/>
      <c r="BA471" s="20">
        <f t="shared" si="136"/>
        <v>-9.707074682608873</v>
      </c>
      <c r="BB471" s="20">
        <f t="shared" si="137"/>
        <v>1.3398584967909319</v>
      </c>
      <c r="BC471" s="20"/>
      <c r="BD471" s="20">
        <f t="shared" si="138"/>
        <v>-36.520629945572757</v>
      </c>
      <c r="BE471" s="20">
        <f t="shared" si="139"/>
        <v>-2.0056346286260158</v>
      </c>
      <c r="BF471" s="20"/>
      <c r="BG471" s="54">
        <f t="shared" si="140"/>
        <v>95188.553623034371</v>
      </c>
      <c r="BH471" s="54">
        <f t="shared" si="141"/>
        <v>135107.6453496014</v>
      </c>
      <c r="BI471" s="54">
        <f t="shared" si="142"/>
        <v>119017.78369656393</v>
      </c>
      <c r="BJ471" s="20"/>
    </row>
    <row r="472" spans="37:62" x14ac:dyDescent="0.3">
      <c r="AK472">
        <v>468</v>
      </c>
      <c r="AL472">
        <v>234</v>
      </c>
      <c r="AN472" s="48">
        <f t="shared" si="143"/>
        <v>114896.11825713651</v>
      </c>
      <c r="AO472" s="48">
        <f t="shared" si="144"/>
        <v>-7898.1284868743041</v>
      </c>
      <c r="AP472" s="20"/>
      <c r="AQ472" s="50">
        <f t="shared" si="145"/>
        <v>2089.2471388951312</v>
      </c>
      <c r="AR472" s="50">
        <f t="shared" si="146"/>
        <v>1153.2272467039529</v>
      </c>
      <c r="AS472" s="20"/>
      <c r="AT472" s="52">
        <f t="shared" si="147"/>
        <v>-100.46124700060608</v>
      </c>
      <c r="AU472" s="52">
        <f t="shared" si="148"/>
        <v>8.0750563934469888</v>
      </c>
      <c r="AV472" s="20"/>
      <c r="AW472" s="20"/>
      <c r="AX472" s="20">
        <f t="shared" si="134"/>
        <v>-55.025130760455482</v>
      </c>
      <c r="AY472" s="20">
        <f t="shared" si="135"/>
        <v>8.928542589705291</v>
      </c>
      <c r="AZ472" s="20"/>
      <c r="BA472" s="20">
        <f t="shared" si="136"/>
        <v>-9.5764368410824705</v>
      </c>
      <c r="BB472" s="20">
        <f t="shared" si="137"/>
        <v>1.2706095567658264</v>
      </c>
      <c r="BC472" s="20"/>
      <c r="BD472" s="20">
        <f t="shared" si="138"/>
        <v>-35.859679399068135</v>
      </c>
      <c r="BE472" s="20">
        <f t="shared" si="139"/>
        <v>-2.1240957530241285</v>
      </c>
      <c r="BF472" s="20"/>
      <c r="BG472" s="54">
        <f t="shared" si="140"/>
        <v>96137.274879053686</v>
      </c>
      <c r="BH472" s="54">
        <f t="shared" si="141"/>
        <v>136078.30732404051</v>
      </c>
      <c r="BI472" s="54">
        <f t="shared" si="142"/>
        <v>120106.26857961332</v>
      </c>
      <c r="BJ472" s="20"/>
    </row>
    <row r="473" spans="37:62" x14ac:dyDescent="0.3">
      <c r="AK473">
        <v>469</v>
      </c>
      <c r="AL473">
        <v>234.5</v>
      </c>
      <c r="AN473" s="48">
        <f t="shared" si="143"/>
        <v>115928.18417070899</v>
      </c>
      <c r="AO473" s="48">
        <f t="shared" si="144"/>
        <v>-7320.5054814731466</v>
      </c>
      <c r="AP473" s="20"/>
      <c r="AQ473" s="50">
        <f t="shared" si="145"/>
        <v>2039.0165153948283</v>
      </c>
      <c r="AR473" s="50">
        <f t="shared" si="146"/>
        <v>1157.2647749006765</v>
      </c>
      <c r="AS473" s="20"/>
      <c r="AT473" s="52">
        <f t="shared" si="147"/>
        <v>-98.738329272139879</v>
      </c>
      <c r="AU473" s="52">
        <f t="shared" si="148"/>
        <v>7.3188716030849532</v>
      </c>
      <c r="AV473" s="20"/>
      <c r="AW473" s="20"/>
      <c r="AX473" s="20">
        <f t="shared" si="134"/>
        <v>-54.058238693479161</v>
      </c>
      <c r="AY473" s="20">
        <f t="shared" si="135"/>
        <v>8.3517730456543298</v>
      </c>
      <c r="AZ473" s="20"/>
      <c r="BA473" s="20">
        <f t="shared" si="136"/>
        <v>-9.4511243204548858</v>
      </c>
      <c r="BB473" s="20">
        <f t="shared" si="137"/>
        <v>1.2042995468323059</v>
      </c>
      <c r="BC473" s="20"/>
      <c r="BD473" s="20">
        <f t="shared" si="138"/>
        <v>-35.228966258205823</v>
      </c>
      <c r="BE473" s="20">
        <f t="shared" si="139"/>
        <v>-2.2372009894016829</v>
      </c>
      <c r="BF473" s="20"/>
      <c r="BG473" s="54">
        <f t="shared" si="140"/>
        <v>97066.28611941346</v>
      </c>
      <c r="BH473" s="54">
        <f t="shared" si="141"/>
        <v>137027.26430196266</v>
      </c>
      <c r="BI473" s="54">
        <f t="shared" si="142"/>
        <v>121171.78039001075</v>
      </c>
      <c r="BJ473" s="20"/>
    </row>
    <row r="474" spans="37:62" x14ac:dyDescent="0.3">
      <c r="AK474">
        <v>470</v>
      </c>
      <c r="AL474">
        <v>235</v>
      </c>
      <c r="AN474" s="48">
        <f t="shared" si="143"/>
        <v>116935.35013724738</v>
      </c>
      <c r="AO474" s="48">
        <f t="shared" si="144"/>
        <v>-6740.9582350724231</v>
      </c>
      <c r="AP474" s="20"/>
      <c r="AQ474" s="50">
        <f t="shared" si="145"/>
        <v>1989.6473507587584</v>
      </c>
      <c r="AR474" s="50">
        <f t="shared" si="146"/>
        <v>1160.9242107022189</v>
      </c>
      <c r="AS474" s="20"/>
      <c r="AT474" s="52">
        <f t="shared" si="147"/>
        <v>-97.091521408389383</v>
      </c>
      <c r="AU474" s="52">
        <f t="shared" si="148"/>
        <v>6.6013902911993547</v>
      </c>
      <c r="AV474" s="20"/>
      <c r="AW474" s="20"/>
      <c r="AX474" s="20">
        <f t="shared" si="134"/>
        <v>-53.133990500267942</v>
      </c>
      <c r="AY474" s="20">
        <f t="shared" si="135"/>
        <v>7.8060164687670213</v>
      </c>
      <c r="AZ474" s="20"/>
      <c r="BA474" s="20">
        <f t="shared" si="136"/>
        <v>-9.3308668477708849</v>
      </c>
      <c r="BB474" s="20">
        <f t="shared" si="137"/>
        <v>1.1407401524806462</v>
      </c>
      <c r="BC474" s="20"/>
      <c r="BD474" s="20">
        <f t="shared" si="138"/>
        <v>-34.626664060350549</v>
      </c>
      <c r="BE474" s="20">
        <f t="shared" si="139"/>
        <v>-2.3453663300483121</v>
      </c>
      <c r="BF474" s="20"/>
      <c r="BG474" s="54">
        <f t="shared" si="140"/>
        <v>97975.849053140773</v>
      </c>
      <c r="BH474" s="54">
        <f t="shared" si="141"/>
        <v>137954.88320403514</v>
      </c>
      <c r="BI474" s="54">
        <f t="shared" si="142"/>
        <v>122214.73472526926</v>
      </c>
      <c r="BJ474" s="20"/>
    </row>
    <row r="475" spans="37:62" x14ac:dyDescent="0.3">
      <c r="AK475">
        <v>471</v>
      </c>
      <c r="AL475">
        <v>235.5</v>
      </c>
      <c r="AN475" s="48">
        <f t="shared" si="143"/>
        <v>117918.03737245071</v>
      </c>
      <c r="AO475" s="48">
        <f t="shared" si="144"/>
        <v>-6159.6709559349138</v>
      </c>
      <c r="AP475" s="20"/>
      <c r="AQ475" s="50">
        <f t="shared" si="145"/>
        <v>1941.1015900545638</v>
      </c>
      <c r="AR475" s="50">
        <f t="shared" si="146"/>
        <v>1164.2249058478187</v>
      </c>
      <c r="AS475" s="20"/>
      <c r="AT475" s="52">
        <f t="shared" si="147"/>
        <v>-95.516560830068244</v>
      </c>
      <c r="AU475" s="52">
        <f t="shared" si="148"/>
        <v>5.919724079492334</v>
      </c>
      <c r="AV475" s="20"/>
      <c r="AW475" s="20"/>
      <c r="AX475" s="20">
        <f t="shared" si="134"/>
        <v>-52.250056070669125</v>
      </c>
      <c r="AY475" s="20">
        <f t="shared" si="135"/>
        <v>7.2889387135050443</v>
      </c>
      <c r="AZ475" s="20"/>
      <c r="BA475" s="20">
        <f t="shared" si="136"/>
        <v>-9.2154130567586563</v>
      </c>
      <c r="BB475" s="20">
        <f t="shared" si="137"/>
        <v>1.0797575542500637</v>
      </c>
      <c r="BC475" s="20"/>
      <c r="BD475" s="20">
        <f t="shared" si="138"/>
        <v>-34.051091702640463</v>
      </c>
      <c r="BE475" s="20">
        <f t="shared" si="139"/>
        <v>-2.4489721882627746</v>
      </c>
      <c r="BF475" s="20"/>
      <c r="BG475" s="54">
        <f t="shared" si="140"/>
        <v>98866.215935966044</v>
      </c>
      <c r="BH475" s="54">
        <f t="shared" si="141"/>
        <v>138861.51373967083</v>
      </c>
      <c r="BI475" s="54">
        <f t="shared" si="142"/>
        <v>123235.52786880304</v>
      </c>
      <c r="BJ475" s="20"/>
    </row>
    <row r="476" spans="37:62" x14ac:dyDescent="0.3">
      <c r="AK476">
        <v>472</v>
      </c>
      <c r="AL476">
        <v>236</v>
      </c>
      <c r="AN476" s="48">
        <f t="shared" si="143"/>
        <v>118876.64859737424</v>
      </c>
      <c r="AO476" s="48">
        <f t="shared" si="144"/>
        <v>-5576.818537501068</v>
      </c>
      <c r="AP476" s="20"/>
      <c r="AQ476" s="50">
        <f t="shared" si="145"/>
        <v>1893.3433096395297</v>
      </c>
      <c r="AR476" s="50">
        <f t="shared" si="146"/>
        <v>1167.1847678875649</v>
      </c>
      <c r="AS476" s="20"/>
      <c r="AT476" s="52">
        <f t="shared" si="147"/>
        <v>-94.009497635178093</v>
      </c>
      <c r="AU476" s="52">
        <f t="shared" si="148"/>
        <v>5.2712371033448315</v>
      </c>
      <c r="AV476" s="20"/>
      <c r="AW476" s="20"/>
      <c r="AX476" s="20">
        <f t="shared" si="134"/>
        <v>-51.404269271630589</v>
      </c>
      <c r="AY476" s="20">
        <f t="shared" si="135"/>
        <v>6.7984130818912734</v>
      </c>
      <c r="AZ476" s="20"/>
      <c r="BA476" s="20">
        <f t="shared" si="136"/>
        <v>-9.1045288895382726</v>
      </c>
      <c r="BB476" s="20">
        <f t="shared" si="137"/>
        <v>1.0211910772194082</v>
      </c>
      <c r="BC476" s="20"/>
      <c r="BD476" s="20">
        <f t="shared" si="138"/>
        <v>-33.500699474009231</v>
      </c>
      <c r="BE476" s="20">
        <f t="shared" si="139"/>
        <v>-2.5483670557658504</v>
      </c>
      <c r="BF476" s="20"/>
      <c r="BG476" s="54">
        <f t="shared" si="140"/>
        <v>99737.629914247314</v>
      </c>
      <c r="BH476" s="54">
        <f t="shared" si="141"/>
        <v>139747.48942785629</v>
      </c>
      <c r="BI476" s="54">
        <f t="shared" si="142"/>
        <v>124234.53793769478</v>
      </c>
      <c r="BJ476" s="20"/>
    </row>
    <row r="477" spans="37:62" x14ac:dyDescent="0.3">
      <c r="AK477">
        <v>473</v>
      </c>
      <c r="AL477">
        <v>236.5</v>
      </c>
      <c r="AN477" s="48">
        <f t="shared" si="143"/>
        <v>119811.5690649896</v>
      </c>
      <c r="AO477" s="48">
        <f t="shared" si="144"/>
        <v>-4992.5672489193676</v>
      </c>
      <c r="AP477" s="20"/>
      <c r="AQ477" s="50">
        <f t="shared" si="145"/>
        <v>1846.3385608219407</v>
      </c>
      <c r="AR477" s="50">
        <f t="shared" si="146"/>
        <v>1169.8203864392374</v>
      </c>
      <c r="AS477" s="20"/>
      <c r="AT477" s="52">
        <f t="shared" si="147"/>
        <v>-92.566667438955875</v>
      </c>
      <c r="AU477" s="52">
        <f t="shared" si="148"/>
        <v>4.6535198952825452</v>
      </c>
      <c r="AV477" s="20"/>
      <c r="AW477" s="20"/>
      <c r="AX477" s="20">
        <f t="shared" si="134"/>
        <v>-50.594614620002723</v>
      </c>
      <c r="AY477" s="20">
        <f t="shared" si="135"/>
        <v>6.3324986421363292</v>
      </c>
      <c r="AZ477" s="20"/>
      <c r="BA477" s="20">
        <f t="shared" si="136"/>
        <v>-8.9979961590672524</v>
      </c>
      <c r="BB477" s="20">
        <f t="shared" si="137"/>
        <v>0.96489198585294489</v>
      </c>
      <c r="BC477" s="20"/>
      <c r="BD477" s="20">
        <f t="shared" si="138"/>
        <v>-32.974056659885896</v>
      </c>
      <c r="BE477" s="20">
        <f t="shared" si="139"/>
        <v>-2.6438707327067288</v>
      </c>
      <c r="BF477" s="20"/>
      <c r="BG477" s="54">
        <f t="shared" si="140"/>
        <v>100590.32535827669</v>
      </c>
      <c r="BH477" s="54">
        <f t="shared" si="141"/>
        <v>140613.12853758616</v>
      </c>
      <c r="BI477" s="54">
        <f t="shared" si="142"/>
        <v>125212.12594126844</v>
      </c>
      <c r="BJ477" s="20"/>
    </row>
    <row r="478" spans="37:62" x14ac:dyDescent="0.3">
      <c r="AK478">
        <v>474</v>
      </c>
      <c r="AL478">
        <v>237</v>
      </c>
      <c r="AN478" s="48">
        <f t="shared" si="143"/>
        <v>120723.16751197071</v>
      </c>
      <c r="AO478" s="48">
        <f t="shared" si="144"/>
        <v>-4407.075365712838</v>
      </c>
      <c r="AP478" s="20"/>
      <c r="AQ478" s="50">
        <f t="shared" si="145"/>
        <v>1800.0552271024628</v>
      </c>
      <c r="AR478" s="50">
        <f t="shared" si="146"/>
        <v>1172.1471463868786</v>
      </c>
      <c r="AS478" s="20"/>
      <c r="AT478" s="52">
        <f t="shared" si="147"/>
        <v>-91.184666940039534</v>
      </c>
      <c r="AU478" s="52">
        <f t="shared" si="148"/>
        <v>4.06436633647336</v>
      </c>
      <c r="AV478" s="20"/>
      <c r="AW478" s="20"/>
      <c r="AX478" s="20">
        <f t="shared" si="134"/>
        <v>-49.819215168331283</v>
      </c>
      <c r="AY478" s="20">
        <f t="shared" si="135"/>
        <v>5.8894211165418744</v>
      </c>
      <c r="AZ478" s="20"/>
      <c r="BA478" s="20">
        <f t="shared" si="136"/>
        <v>-8.895611253773831</v>
      </c>
      <c r="BB478" s="20">
        <f t="shared" si="137"/>
        <v>0.91072240643176861</v>
      </c>
      <c r="BC478" s="20"/>
      <c r="BD478" s="20">
        <f t="shared" si="138"/>
        <v>-32.469840517934422</v>
      </c>
      <c r="BE478" s="20">
        <f t="shared" si="139"/>
        <v>-2.7357771865002833</v>
      </c>
      <c r="BF478" s="20"/>
      <c r="BG478" s="54">
        <f t="shared" si="140"/>
        <v>101424.52818430695</v>
      </c>
      <c r="BH478" s="54">
        <f t="shared" si="141"/>
        <v>141458.73495544735</v>
      </c>
      <c r="BI478" s="54">
        <f t="shared" si="142"/>
        <v>126168.63675870773</v>
      </c>
      <c r="BJ478" s="20"/>
    </row>
    <row r="479" spans="37:62" x14ac:dyDescent="0.3">
      <c r="AK479">
        <v>475</v>
      </c>
      <c r="AL479">
        <v>237.5</v>
      </c>
      <c r="AN479" s="48">
        <f t="shared" si="143"/>
        <v>121611.79704215443</v>
      </c>
      <c r="AO479" s="48">
        <f t="shared" si="144"/>
        <v>-3820.4937467273398</v>
      </c>
      <c r="AP479" s="20"/>
      <c r="AQ479" s="50">
        <f t="shared" si="145"/>
        <v>1754.462893632443</v>
      </c>
      <c r="AR479" s="50">
        <f t="shared" si="146"/>
        <v>1174.1793295551154</v>
      </c>
      <c r="AS479" s="20"/>
      <c r="AT479" s="52">
        <f t="shared" si="147"/>
        <v>-89.860331906632297</v>
      </c>
      <c r="AU479" s="52">
        <f t="shared" si="148"/>
        <v>3.5017532732813752</v>
      </c>
      <c r="AV479" s="20"/>
      <c r="AW479" s="20"/>
      <c r="AX479" s="20">
        <f t="shared" si="134"/>
        <v>-49.076321486301723</v>
      </c>
      <c r="AY479" s="20">
        <f t="shared" si="135"/>
        <v>5.4675559991088187</v>
      </c>
      <c r="AZ479" s="20"/>
      <c r="BA479" s="20">
        <f t="shared" si="136"/>
        <v>-8.797183968243349</v>
      </c>
      <c r="BB479" s="20">
        <f t="shared" si="137"/>
        <v>0.85855436172259969</v>
      </c>
      <c r="BC479" s="20"/>
      <c r="BD479" s="20">
        <f t="shared" si="138"/>
        <v>-31.986826452087222</v>
      </c>
      <c r="BE479" s="20">
        <f t="shared" si="139"/>
        <v>-2.8243570875500428</v>
      </c>
      <c r="BF479" s="20"/>
      <c r="BG479" s="54">
        <f t="shared" si="140"/>
        <v>102240.45616489432</v>
      </c>
      <c r="BH479" s="54">
        <f t="shared" si="141"/>
        <v>142284.59898707119</v>
      </c>
      <c r="BI479" s="54">
        <f t="shared" si="142"/>
        <v>127104.40004307746</v>
      </c>
      <c r="BJ479" s="20"/>
    </row>
    <row r="480" spans="37:62" x14ac:dyDescent="0.3">
      <c r="AK480">
        <v>476</v>
      </c>
      <c r="AL480">
        <v>238</v>
      </c>
      <c r="AN480" s="48">
        <f t="shared" si="143"/>
        <v>122477.79594748233</v>
      </c>
      <c r="AO480" s="48">
        <f t="shared" si="144"/>
        <v>-3232.966362790622</v>
      </c>
      <c r="AP480" s="20"/>
      <c r="AQ480" s="50">
        <f t="shared" si="145"/>
        <v>1709.5327276791268</v>
      </c>
      <c r="AR480" s="50">
        <f t="shared" si="146"/>
        <v>1175.930206191756</v>
      </c>
      <c r="AS480" s="20"/>
      <c r="AT480" s="52">
        <f t="shared" si="147"/>
        <v>-88.590717314202067</v>
      </c>
      <c r="AU480" s="52">
        <f t="shared" si="148"/>
        <v>2.9638224540921008</v>
      </c>
      <c r="AV480" s="20"/>
      <c r="AW480" s="20"/>
      <c r="AX480" s="20">
        <f t="shared" si="134"/>
        <v>-48.364301631846054</v>
      </c>
      <c r="AY480" s="20">
        <f t="shared" si="135"/>
        <v>5.0654136125301434</v>
      </c>
      <c r="AZ480" s="20"/>
      <c r="BA480" s="20">
        <f t="shared" si="136"/>
        <v>-8.7025364458862047</v>
      </c>
      <c r="BB480" s="20">
        <f t="shared" si="137"/>
        <v>0.80826890459352696</v>
      </c>
      <c r="BC480" s="20"/>
      <c r="BD480" s="20">
        <f t="shared" si="138"/>
        <v>-31.52387923646981</v>
      </c>
      <c r="BE480" s="20">
        <f t="shared" si="139"/>
        <v>-2.9098600630315699</v>
      </c>
      <c r="BF480" s="20"/>
      <c r="BG480" s="54">
        <f t="shared" si="140"/>
        <v>103038.31922735649</v>
      </c>
      <c r="BH480" s="54">
        <f t="shared" si="141"/>
        <v>143090.99809845191</v>
      </c>
      <c r="BI480" s="54">
        <f t="shared" si="142"/>
        <v>128019.73105833007</v>
      </c>
      <c r="BJ480" s="20"/>
    </row>
    <row r="481" spans="37:62" x14ac:dyDescent="0.3">
      <c r="AK481">
        <v>477</v>
      </c>
      <c r="AL481">
        <v>238.5</v>
      </c>
      <c r="AN481" s="48">
        <f t="shared" si="143"/>
        <v>123321.48847165762</v>
      </c>
      <c r="AO481" s="48">
        <f t="shared" si="144"/>
        <v>-2644.6307818879827</v>
      </c>
      <c r="AP481" s="20"/>
      <c r="AQ481" s="50">
        <f t="shared" si="145"/>
        <v>1665.2373690220256</v>
      </c>
      <c r="AR481" s="50">
        <f t="shared" si="146"/>
        <v>1177.4121174188022</v>
      </c>
      <c r="AS481" s="20"/>
      <c r="AT481" s="52">
        <f t="shared" si="147"/>
        <v>-87.373079398950381</v>
      </c>
      <c r="AU481" s="52">
        <f t="shared" si="148"/>
        <v>2.448864490679751</v>
      </c>
      <c r="AV481" s="20"/>
      <c r="AW481" s="20"/>
      <c r="AX481" s="20">
        <f t="shared" si="134"/>
        <v>-47.681632016290976</v>
      </c>
      <c r="AY481" s="20">
        <f t="shared" si="135"/>
        <v>4.6816258557464492</v>
      </c>
      <c r="AZ481" s="20"/>
      <c r="BA481" s="20">
        <f t="shared" si="136"/>
        <v>-8.6115022212906904</v>
      </c>
      <c r="BB481" s="20">
        <f t="shared" si="137"/>
        <v>0.75975533904088832</v>
      </c>
      <c r="BC481" s="20"/>
      <c r="BD481" s="20">
        <f t="shared" si="138"/>
        <v>-31.079945161368713</v>
      </c>
      <c r="BE481" s="20">
        <f t="shared" si="139"/>
        <v>-2.9925167041075862</v>
      </c>
      <c r="BF481" s="20"/>
      <c r="BG481" s="54">
        <f t="shared" si="140"/>
        <v>103818.31974030261</v>
      </c>
      <c r="BH481" s="54">
        <f t="shared" si="141"/>
        <v>143878.19760249206</v>
      </c>
      <c r="BI481" s="54">
        <f t="shared" si="142"/>
        <v>128914.93145519501</v>
      </c>
      <c r="BJ481" s="20"/>
    </row>
    <row r="482" spans="37:62" x14ac:dyDescent="0.3">
      <c r="AK482">
        <v>478</v>
      </c>
      <c r="AL482">
        <v>239</v>
      </c>
      <c r="AN482" s="48">
        <f t="shared" si="143"/>
        <v>124143.18552124375</v>
      </c>
      <c r="AO482" s="48">
        <f t="shared" si="144"/>
        <v>-2055.6186151172465</v>
      </c>
      <c r="AP482" s="20"/>
      <c r="AQ482" s="50">
        <f t="shared" si="145"/>
        <v>1621.5508293225505</v>
      </c>
      <c r="AR482" s="50">
        <f t="shared" si="146"/>
        <v>1178.636549664142</v>
      </c>
      <c r="AS482" s="20"/>
      <c r="AT482" s="52">
        <f t="shared" si="147"/>
        <v>-86.204859419730312</v>
      </c>
      <c r="AU482" s="52">
        <f t="shared" si="148"/>
        <v>1.9553045898594674</v>
      </c>
      <c r="AV482" s="20"/>
      <c r="AW482" s="20"/>
      <c r="AX482" s="20">
        <f t="shared" si="134"/>
        <v>-47.026889077420094</v>
      </c>
      <c r="AY482" s="20">
        <f t="shared" si="135"/>
        <v>4.3149344283076871</v>
      </c>
      <c r="AZ482" s="20"/>
      <c r="BA482" s="20">
        <f t="shared" si="136"/>
        <v>-8.5239253514866995</v>
      </c>
      <c r="BB482" s="20">
        <f t="shared" si="137"/>
        <v>0.71291051859061338</v>
      </c>
      <c r="BC482" s="20"/>
      <c r="BD482" s="20">
        <f t="shared" si="138"/>
        <v>-30.654044990823525</v>
      </c>
      <c r="BE482" s="20">
        <f t="shared" si="139"/>
        <v>-3.0725403570388328</v>
      </c>
      <c r="BF482" s="20"/>
      <c r="BG482" s="54">
        <f t="shared" si="140"/>
        <v>104580.65278831343</v>
      </c>
      <c r="BH482" s="54">
        <f t="shared" si="141"/>
        <v>144646.45129558089</v>
      </c>
      <c r="BI482" s="54">
        <f t="shared" si="142"/>
        <v>129790.28999124581</v>
      </c>
      <c r="BJ482" s="20"/>
    </row>
    <row r="483" spans="37:62" x14ac:dyDescent="0.3">
      <c r="AK483">
        <v>479</v>
      </c>
      <c r="AL483">
        <v>239.5</v>
      </c>
      <c r="AN483" s="48">
        <f t="shared" si="143"/>
        <v>124943.18532847756</v>
      </c>
      <c r="AO483" s="48">
        <f t="shared" si="144"/>
        <v>-1466.0559272114431</v>
      </c>
      <c r="AP483" s="20"/>
      <c r="AQ483" s="50">
        <f t="shared" si="145"/>
        <v>1578.4483996126853</v>
      </c>
      <c r="AR483" s="50">
        <f t="shared" si="146"/>
        <v>1179.6142019590718</v>
      </c>
      <c r="AS483" s="20"/>
      <c r="AT483" s="52">
        <f t="shared" si="147"/>
        <v>-85.083668945800937</v>
      </c>
      <c r="AU483" s="52">
        <f t="shared" si="148"/>
        <v>1.4816898363122202</v>
      </c>
      <c r="AV483" s="20"/>
      <c r="AW483" s="20"/>
      <c r="AX483" s="20">
        <f t="shared" si="134"/>
        <v>-46.398741682915777</v>
      </c>
      <c r="AY483" s="20">
        <f t="shared" si="135"/>
        <v>3.9641803474814994</v>
      </c>
      <c r="AZ483" s="20"/>
      <c r="BA483" s="20">
        <f t="shared" si="136"/>
        <v>-8.4396596266623209</v>
      </c>
      <c r="BB483" s="20">
        <f t="shared" si="137"/>
        <v>0.66763821332223683</v>
      </c>
      <c r="BC483" s="20"/>
      <c r="BD483" s="20">
        <f t="shared" si="138"/>
        <v>-30.245267636222838</v>
      </c>
      <c r="BE483" s="20">
        <f t="shared" si="139"/>
        <v>-3.1501287244915157</v>
      </c>
      <c r="BF483" s="20"/>
      <c r="BG483" s="54">
        <f t="shared" si="140"/>
        <v>105325.50643494229</v>
      </c>
      <c r="BH483" s="54">
        <f t="shared" si="141"/>
        <v>145396.00204851344</v>
      </c>
      <c r="BI483" s="54">
        <f t="shared" si="142"/>
        <v>130646.08319990475</v>
      </c>
      <c r="BJ483" s="20"/>
    </row>
    <row r="484" spans="37:62" x14ac:dyDescent="0.3">
      <c r="AK484">
        <v>480</v>
      </c>
      <c r="AL484">
        <v>240</v>
      </c>
      <c r="AN484" s="48">
        <f t="shared" si="143"/>
        <v>125721.77406966567</v>
      </c>
      <c r="AO484" s="48">
        <f t="shared" si="144"/>
        <v>-876.06361500236812</v>
      </c>
      <c r="AP484" s="20"/>
      <c r="AQ484" s="50">
        <f t="shared" si="145"/>
        <v>1535.9065651397848</v>
      </c>
      <c r="AR484" s="50">
        <f t="shared" si="146"/>
        <v>1180.355046877228</v>
      </c>
      <c r="AS484" s="20"/>
      <c r="AT484" s="52">
        <f t="shared" si="147"/>
        <v>-84.007276509349353</v>
      </c>
      <c r="AU484" s="52">
        <f t="shared" si="148"/>
        <v>1.0266778373302623</v>
      </c>
      <c r="AV484" s="20"/>
      <c r="AW484" s="20"/>
      <c r="AX484" s="20">
        <f t="shared" si="134"/>
        <v>-45.795944194438391</v>
      </c>
      <c r="AY484" s="20">
        <f t="shared" si="135"/>
        <v>3.6282945992653013</v>
      </c>
      <c r="AZ484" s="20"/>
      <c r="BA484" s="20">
        <f t="shared" si="136"/>
        <v>-8.3585678520115625</v>
      </c>
      <c r="BB484" s="20">
        <f t="shared" si="137"/>
        <v>0.6238485378673102</v>
      </c>
      <c r="BC484" s="20"/>
      <c r="BD484" s="20">
        <f t="shared" si="138"/>
        <v>-29.852764462899398</v>
      </c>
      <c r="BE484" s="20">
        <f t="shared" si="139"/>
        <v>-3.225465299802349</v>
      </c>
      <c r="BF484" s="20"/>
      <c r="BG484" s="54">
        <f t="shared" si="140"/>
        <v>106053.06197427775</v>
      </c>
      <c r="BH484" s="54">
        <f t="shared" si="141"/>
        <v>146127.08235562724</v>
      </c>
      <c r="BI484" s="54">
        <f t="shared" si="142"/>
        <v>131482.57601267239</v>
      </c>
      <c r="BJ484" s="20"/>
    </row>
    <row r="485" spans="37:62" x14ac:dyDescent="0.3">
      <c r="AK485">
        <v>481</v>
      </c>
      <c r="AL485">
        <v>240.5</v>
      </c>
      <c r="AN485" s="48">
        <f t="shared" si="143"/>
        <v>126479.2264426719</v>
      </c>
      <c r="AO485" s="48">
        <f t="shared" si="144"/>
        <v>-285.75775683408784</v>
      </c>
      <c r="AP485" s="20"/>
      <c r="AQ485" s="50">
        <f t="shared" si="145"/>
        <v>1493.9029268851102</v>
      </c>
      <c r="AR485" s="50">
        <f t="shared" si="146"/>
        <v>1180.8683857958931</v>
      </c>
      <c r="AS485" s="20"/>
      <c r="AT485" s="52">
        <f t="shared" si="147"/>
        <v>-82.973595480487234</v>
      </c>
      <c r="AU485" s="52">
        <f t="shared" si="148"/>
        <v>0.58902656565739031</v>
      </c>
      <c r="AV485" s="20"/>
      <c r="AW485" s="20"/>
      <c r="AX485" s="20">
        <f t="shared" si="134"/>
        <v>-45.2173301296014</v>
      </c>
      <c r="AY485" s="20">
        <f t="shared" si="135"/>
        <v>3.3062897859181493</v>
      </c>
      <c r="AZ485" s="20"/>
      <c r="BA485" s="20">
        <f t="shared" si="136"/>
        <v>-8.2805211933776643</v>
      </c>
      <c r="BB485" s="20">
        <f t="shared" si="137"/>
        <v>0.58145743368427205</v>
      </c>
      <c r="BC485" s="20"/>
      <c r="BD485" s="20">
        <f t="shared" si="138"/>
        <v>-29.475744157508164</v>
      </c>
      <c r="BE485" s="20">
        <f t="shared" si="139"/>
        <v>-3.2987206539450309</v>
      </c>
      <c r="BF485" s="20"/>
      <c r="BG485" s="54">
        <f t="shared" si="140"/>
        <v>106763.49417135945</v>
      </c>
      <c r="BH485" s="54">
        <f t="shared" si="141"/>
        <v>146839.91484564348</v>
      </c>
      <c r="BI485" s="54">
        <f t="shared" si="142"/>
        <v>132300.02233844847</v>
      </c>
      <c r="BJ485" s="20"/>
    </row>
    <row r="486" spans="37:62" x14ac:dyDescent="0.3">
      <c r="AK486">
        <v>482</v>
      </c>
      <c r="AL486">
        <v>241</v>
      </c>
      <c r="AN486" s="48">
        <f t="shared" si="143"/>
        <v>127215.80620667941</v>
      </c>
      <c r="AO486" s="48">
        <f t="shared" si="144"/>
        <v>304.75006438456592</v>
      </c>
      <c r="AP486" s="20"/>
      <c r="AQ486" s="50">
        <f t="shared" si="145"/>
        <v>1452.4161291448665</v>
      </c>
      <c r="AR486" s="50">
        <f t="shared" si="146"/>
        <v>1181.1628990787219</v>
      </c>
      <c r="AS486" s="20"/>
      <c r="AT486" s="52">
        <f t="shared" si="147"/>
        <v>-81.980673038837878</v>
      </c>
      <c r="AU486" s="52">
        <f t="shared" si="148"/>
        <v>0.16758525830775106</v>
      </c>
      <c r="AV486" s="20"/>
      <c r="AW486" s="20"/>
      <c r="AX486" s="20">
        <f t="shared" si="134"/>
        <v>-44.661806365431431</v>
      </c>
      <c r="AY486" s="20">
        <f t="shared" si="135"/>
        <v>2.9972526509372051</v>
      </c>
      <c r="AZ486" s="20"/>
      <c r="BA486" s="20">
        <f t="shared" si="136"/>
        <v>-8.2053985802119787</v>
      </c>
      <c r="BB486" s="20">
        <f t="shared" si="137"/>
        <v>0.54038619973192603</v>
      </c>
      <c r="BC486" s="20"/>
      <c r="BD486" s="20">
        <f t="shared" si="138"/>
        <v>-29.113468093194466</v>
      </c>
      <c r="BE486" s="20">
        <f t="shared" si="139"/>
        <v>-3.3700535923613799</v>
      </c>
      <c r="BF486" s="20"/>
      <c r="BG486" s="54">
        <f t="shared" si="140"/>
        <v>107456.97149177529</v>
      </c>
      <c r="BH486" s="54">
        <f t="shared" si="141"/>
        <v>147534.71275735972</v>
      </c>
      <c r="BI486" s="54">
        <f t="shared" si="142"/>
        <v>133098.66560343679</v>
      </c>
      <c r="BJ486" s="20"/>
    </row>
    <row r="487" spans="37:62" x14ac:dyDescent="0.3">
      <c r="AK487">
        <v>483</v>
      </c>
      <c r="AL487">
        <v>241.5</v>
      </c>
      <c r="AN487" s="48">
        <f t="shared" si="143"/>
        <v>127931.76668712198</v>
      </c>
      <c r="AO487" s="48">
        <f t="shared" si="144"/>
        <v>895.35246208121532</v>
      </c>
      <c r="AP487" s="20"/>
      <c r="AQ487" s="50">
        <f t="shared" si="145"/>
        <v>1411.4257926254477</v>
      </c>
      <c r="AR487" s="50">
        <f t="shared" si="146"/>
        <v>1181.2466917078757</v>
      </c>
      <c r="AS487" s="20"/>
      <c r="AT487" s="52">
        <f t="shared" si="147"/>
        <v>-81.02668013018237</v>
      </c>
      <c r="AU487" s="52">
        <f t="shared" si="148"/>
        <v>-0.23871375218291924</v>
      </c>
      <c r="AV487" s="20"/>
      <c r="AW487" s="20"/>
      <c r="AX487" s="20">
        <f t="shared" si="134"/>
        <v>-44.128347832567961</v>
      </c>
      <c r="AY487" s="20">
        <f t="shared" si="135"/>
        <v>2.7003373780554334</v>
      </c>
      <c r="AZ487" s="20"/>
      <c r="BA487" s="20">
        <f t="shared" si="136"/>
        <v>-8.1330861601121587</v>
      </c>
      <c r="BB487" s="20">
        <f t="shared" si="137"/>
        <v>0.50056106637299247</v>
      </c>
      <c r="BC487" s="20"/>
      <c r="BD487" s="20">
        <f t="shared" si="138"/>
        <v>-28.765246137502249</v>
      </c>
      <c r="BE487" s="20">
        <f t="shared" si="139"/>
        <v>-3.4396121966113453</v>
      </c>
      <c r="BF487" s="20"/>
      <c r="BG487" s="54">
        <f t="shared" si="140"/>
        <v>108133.65632079344</v>
      </c>
      <c r="BH487" s="54">
        <f t="shared" si="141"/>
        <v>148211.68038303469</v>
      </c>
      <c r="BI487" s="54">
        <f t="shared" si="142"/>
        <v>133878.7392547944</v>
      </c>
      <c r="BJ487" s="20"/>
    </row>
    <row r="488" spans="37:62" x14ac:dyDescent="0.3">
      <c r="AK488">
        <v>484</v>
      </c>
      <c r="AL488">
        <v>242</v>
      </c>
      <c r="AN488" s="48">
        <f t="shared" si="143"/>
        <v>128627.35124841843</v>
      </c>
      <c r="AO488" s="48">
        <f t="shared" si="144"/>
        <v>1485.9459687161302</v>
      </c>
      <c r="AP488" s="20"/>
      <c r="AQ488" s="50">
        <f t="shared" si="145"/>
        <v>1370.9124525603565</v>
      </c>
      <c r="AR488" s="50">
        <f t="shared" si="146"/>
        <v>1181.1273348317843</v>
      </c>
      <c r="AS488" s="20"/>
      <c r="AT488" s="52">
        <f t="shared" si="147"/>
        <v>-80.109902309204841</v>
      </c>
      <c r="AU488" s="52">
        <f t="shared" si="148"/>
        <v>-0.63086238169283027</v>
      </c>
      <c r="AV488" s="20"/>
      <c r="AW488" s="20"/>
      <c r="AX488" s="20">
        <f t="shared" si="134"/>
        <v>-43.61599265455326</v>
      </c>
      <c r="AY488" s="20">
        <f t="shared" si="135"/>
        <v>2.4147595742502532</v>
      </c>
      <c r="AZ488" s="20"/>
      <c r="BA488" s="20">
        <f t="shared" si="136"/>
        <v>-8.0634767998563301</v>
      </c>
      <c r="BB488" s="20">
        <f t="shared" si="137"/>
        <v>0.46191280795439238</v>
      </c>
      <c r="BC488" s="20"/>
      <c r="BD488" s="20">
        <f t="shared" si="138"/>
        <v>-28.430432854795257</v>
      </c>
      <c r="BE488" s="20">
        <f t="shared" si="139"/>
        <v>-3.5075347638974761</v>
      </c>
      <c r="BF488" s="20"/>
      <c r="BG488" s="54">
        <f t="shared" si="140"/>
        <v>108793.70517239715</v>
      </c>
      <c r="BH488" s="54">
        <f t="shared" si="141"/>
        <v>148871.01348203543</v>
      </c>
      <c r="BI488" s="54">
        <f t="shared" si="142"/>
        <v>134640.46723088727</v>
      </c>
      <c r="BJ488" s="20"/>
    </row>
    <row r="489" spans="37:62" x14ac:dyDescent="0.3">
      <c r="AK489">
        <v>485</v>
      </c>
      <c r="AL489">
        <v>242.5</v>
      </c>
      <c r="AN489" s="48">
        <f t="shared" si="143"/>
        <v>129302.79373690995</v>
      </c>
      <c r="AO489" s="48">
        <f t="shared" si="144"/>
        <v>2076.4307783343111</v>
      </c>
      <c r="AP489" s="20"/>
      <c r="AQ489" s="50">
        <f t="shared" si="145"/>
        <v>1330.8575014057542</v>
      </c>
      <c r="AR489" s="50">
        <f t="shared" si="146"/>
        <v>1180.811903640938</v>
      </c>
      <c r="AS489" s="20"/>
      <c r="AT489" s="52">
        <f t="shared" si="147"/>
        <v>-79.228731380412398</v>
      </c>
      <c r="AU489" s="52">
        <f t="shared" si="148"/>
        <v>-1.0097834075700987</v>
      </c>
      <c r="AV489" s="20"/>
      <c r="AW489" s="20"/>
      <c r="AX489" s="20">
        <f t="shared" si="134"/>
        <v>-43.123837691135108</v>
      </c>
      <c r="AY489" s="20">
        <f t="shared" si="135"/>
        <v>2.1397908582712426</v>
      </c>
      <c r="AZ489" s="20"/>
      <c r="BA489" s="20">
        <f t="shared" si="136"/>
        <v>-7.9964696284147037</v>
      </c>
      <c r="BB489" s="20">
        <f t="shared" si="137"/>
        <v>0.42437639004492056</v>
      </c>
      <c r="BC489" s="20"/>
      <c r="BD489" s="20">
        <f t="shared" si="138"/>
        <v>-28.108424060862593</v>
      </c>
      <c r="BE489" s="20">
        <f t="shared" si="139"/>
        <v>-3.5739506558862617</v>
      </c>
      <c r="BF489" s="20"/>
      <c r="BG489" s="54">
        <f t="shared" si="140"/>
        <v>109437.26888859975</v>
      </c>
      <c r="BH489" s="54">
        <f t="shared" si="141"/>
        <v>149512.8996670749</v>
      </c>
      <c r="BI489" s="54">
        <f t="shared" si="142"/>
        <v>135384.06440074925</v>
      </c>
      <c r="BJ489" s="20"/>
    </row>
    <row r="490" spans="37:62" x14ac:dyDescent="0.3">
      <c r="AK490">
        <v>486</v>
      </c>
      <c r="AL490">
        <v>243</v>
      </c>
      <c r="AN490" s="48">
        <f t="shared" si="143"/>
        <v>129958.31889619028</v>
      </c>
      <c r="AO490" s="48">
        <f t="shared" si="144"/>
        <v>2666.7105072288336</v>
      </c>
      <c r="AP490" s="20"/>
      <c r="AQ490" s="50">
        <f t="shared" si="145"/>
        <v>1291.2431357155481</v>
      </c>
      <c r="AR490" s="50">
        <f t="shared" si="146"/>
        <v>1180.307011937153</v>
      </c>
      <c r="AS490" s="20"/>
      <c r="AT490" s="52">
        <f t="shared" si="147"/>
        <v>-78.381657758996823</v>
      </c>
      <c r="AU490" s="52">
        <f t="shared" si="148"/>
        <v>-1.3763364329562724</v>
      </c>
      <c r="AV490" s="20"/>
      <c r="AW490" s="20"/>
      <c r="AX490" s="20">
        <f t="shared" si="134"/>
        <v>-42.651034448598715</v>
      </c>
      <c r="AY490" s="20">
        <f t="shared" si="135"/>
        <v>1.8747539861067803</v>
      </c>
      <c r="AZ490" s="20"/>
      <c r="BA490" s="20">
        <f t="shared" si="136"/>
        <v>-7.9319696179211698</v>
      </c>
      <c r="BB490" s="20">
        <f t="shared" si="137"/>
        <v>0.38789064777625482</v>
      </c>
      <c r="BC490" s="20"/>
      <c r="BD490" s="20">
        <f t="shared" si="138"/>
        <v>-27.798653692476936</v>
      </c>
      <c r="BE490" s="20">
        <f t="shared" si="139"/>
        <v>-3.6389810668393077</v>
      </c>
      <c r="BF490" s="20"/>
      <c r="BG490" s="54">
        <f t="shared" si="140"/>
        <v>110064.49282941892</v>
      </c>
      <c r="BH490" s="54">
        <f t="shared" si="141"/>
        <v>150137.5187651517</v>
      </c>
      <c r="BI490" s="54">
        <f t="shared" si="142"/>
        <v>136109.73697510408</v>
      </c>
      <c r="BJ490" s="20"/>
    </row>
    <row r="491" spans="37:62" x14ac:dyDescent="0.3">
      <c r="AK491">
        <v>487</v>
      </c>
      <c r="AL491">
        <v>243.5</v>
      </c>
      <c r="AN491" s="48">
        <f t="shared" si="143"/>
        <v>130594.14275682818</v>
      </c>
      <c r="AO491" s="48">
        <f t="shared" si="144"/>
        <v>3256.6919711432906</v>
      </c>
      <c r="AP491" s="20"/>
      <c r="AQ491" s="50">
        <f t="shared" si="145"/>
        <v>1252.0523068360496</v>
      </c>
      <c r="AR491" s="50">
        <f t="shared" si="146"/>
        <v>1179.6188437206749</v>
      </c>
      <c r="AS491" s="20"/>
      <c r="AT491" s="52">
        <f t="shared" si="147"/>
        <v>-77.56726348192268</v>
      </c>
      <c r="AU491" s="52">
        <f t="shared" si="148"/>
        <v>-1.7313232743534239</v>
      </c>
      <c r="AV491" s="20"/>
      <c r="AW491" s="20"/>
      <c r="AX491" s="20">
        <f t="shared" si="134"/>
        <v>-42.196785323808029</v>
      </c>
      <c r="AY491" s="20">
        <f t="shared" si="135"/>
        <v>1.619018453356587</v>
      </c>
      <c r="AZ491" s="20"/>
      <c r="BA491" s="20">
        <f t="shared" si="136"/>
        <v>-7.8698871990225188</v>
      </c>
      <c r="BB491" s="20">
        <f t="shared" si="137"/>
        <v>0.35239799213876766</v>
      </c>
      <c r="BC491" s="20"/>
      <c r="BD491" s="20">
        <f t="shared" si="138"/>
        <v>-27.500590959092136</v>
      </c>
      <c r="BE491" s="20">
        <f t="shared" si="139"/>
        <v>-3.7027397198487786</v>
      </c>
      <c r="BF491" s="20"/>
      <c r="BG491" s="54">
        <f t="shared" si="140"/>
        <v>110675.51705388799</v>
      </c>
      <c r="BH491" s="54">
        <f t="shared" si="141"/>
        <v>150745.04315511003</v>
      </c>
      <c r="BI491" s="54">
        <f t="shared" si="142"/>
        <v>136817.68289109526</v>
      </c>
      <c r="BJ491" s="20"/>
    </row>
    <row r="492" spans="37:62" x14ac:dyDescent="0.3">
      <c r="AK492">
        <v>488</v>
      </c>
      <c r="AL492">
        <v>244</v>
      </c>
      <c r="AN492" s="48">
        <f t="shared" si="143"/>
        <v>131210.47300231096</v>
      </c>
      <c r="AO492" s="48">
        <f t="shared" si="144"/>
        <v>3846.2849775943337</v>
      </c>
      <c r="AP492" s="20"/>
      <c r="AQ492" s="50">
        <f t="shared" si="145"/>
        <v>1213.2686750950884</v>
      </c>
      <c r="AR492" s="50">
        <f t="shared" si="146"/>
        <v>1178.7531820834981</v>
      </c>
      <c r="AS492" s="20"/>
      <c r="AT492" s="52">
        <f t="shared" si="147"/>
        <v>-76.784215807066587</v>
      </c>
      <c r="AU492" s="52">
        <f t="shared" si="148"/>
        <v>-2.0754928356159192</v>
      </c>
      <c r="AV492" s="20"/>
      <c r="AW492" s="20"/>
      <c r="AX492" s="20">
        <f t="shared" si="134"/>
        <v>-41.760340151944568</v>
      </c>
      <c r="AY492" s="20">
        <f t="shared" si="135"/>
        <v>1.3719965218631858</v>
      </c>
      <c r="AZ492" s="20"/>
      <c r="BA492" s="20">
        <f t="shared" si="136"/>
        <v>-7.8101379074066966</v>
      </c>
      <c r="BB492" s="20">
        <f t="shared" si="137"/>
        <v>0.31784414143810014</v>
      </c>
      <c r="BC492" s="20"/>
      <c r="BD492" s="20">
        <f t="shared" si="138"/>
        <v>-27.213737747715317</v>
      </c>
      <c r="BE492" s="20">
        <f t="shared" si="139"/>
        <v>-3.7653334989172049</v>
      </c>
      <c r="BF492" s="20"/>
      <c r="BG492" s="54">
        <f t="shared" si="140"/>
        <v>111270.47649247614</v>
      </c>
      <c r="BH492" s="54">
        <f t="shared" si="141"/>
        <v>151335.63808356441</v>
      </c>
      <c r="BI492" s="54">
        <f t="shared" si="142"/>
        <v>137508.092172679</v>
      </c>
      <c r="BJ492" s="20"/>
    </row>
    <row r="493" spans="37:62" x14ac:dyDescent="0.3">
      <c r="AK493">
        <v>489</v>
      </c>
      <c r="AL493">
        <v>244.5</v>
      </c>
      <c r="AN493" s="48">
        <f t="shared" si="143"/>
        <v>131807.50931288264</v>
      </c>
      <c r="AO493" s="48">
        <f t="shared" si="144"/>
        <v>4435.4021320316306</v>
      </c>
      <c r="AP493" s="20"/>
      <c r="AQ493" s="50">
        <f t="shared" si="145"/>
        <v>1174.8765671915551</v>
      </c>
      <c r="AR493" s="50">
        <f t="shared" si="146"/>
        <v>1177.7154356656902</v>
      </c>
      <c r="AS493" s="20"/>
      <c r="AT493" s="52">
        <f t="shared" si="147"/>
        <v>-76.031261344829986</v>
      </c>
      <c r="AU493" s="52">
        <f t="shared" si="148"/>
        <v>-2.409545523927783</v>
      </c>
      <c r="AV493" s="20"/>
      <c r="AW493" s="20"/>
      <c r="AX493" s="20">
        <f t="shared" si="134"/>
        <v>-41.340993030853951</v>
      </c>
      <c r="AY493" s="20">
        <f t="shared" si="135"/>
        <v>1.1331396243476859</v>
      </c>
      <c r="AZ493" s="20"/>
      <c r="BA493" s="20">
        <f t="shared" si="136"/>
        <v>-7.7526420586530733</v>
      </c>
      <c r="BB493" s="20">
        <f t="shared" si="137"/>
        <v>0.28417787542899786</v>
      </c>
      <c r="BC493" s="20"/>
      <c r="BD493" s="20">
        <f t="shared" si="138"/>
        <v>-26.937626255322961</v>
      </c>
      <c r="BE493" s="20">
        <f t="shared" si="139"/>
        <v>-3.8268630237044667</v>
      </c>
      <c r="BF493" s="20"/>
      <c r="BG493" s="54">
        <f t="shared" si="140"/>
        <v>111849.50111128209</v>
      </c>
      <c r="BH493" s="54">
        <f t="shared" si="141"/>
        <v>151909.46196077828</v>
      </c>
      <c r="BI493" s="54">
        <f t="shared" si="142"/>
        <v>138181.14726846153</v>
      </c>
      <c r="BJ493" s="20"/>
    </row>
    <row r="494" spans="37:62" x14ac:dyDescent="0.3">
      <c r="AK494">
        <v>490</v>
      </c>
      <c r="AL494">
        <v>245</v>
      </c>
      <c r="AN494" s="48">
        <f t="shared" si="143"/>
        <v>132385.44368881031</v>
      </c>
      <c r="AO494" s="48">
        <f t="shared" si="144"/>
        <v>5023.9586566739845</v>
      </c>
      <c r="AP494" s="20"/>
      <c r="AQ494" s="50">
        <f t="shared" si="145"/>
        <v>1136.8609365191401</v>
      </c>
      <c r="AR494" s="50">
        <f t="shared" si="146"/>
        <v>1176.5106629037264</v>
      </c>
      <c r="AS494" s="20"/>
      <c r="AT494" s="52">
        <f t="shared" si="147"/>
        <v>-75.307220672538676</v>
      </c>
      <c r="AU494" s="52">
        <f t="shared" si="148"/>
        <v>-2.7341372567116249</v>
      </c>
      <c r="AV494" s="20"/>
      <c r="AW494" s="20"/>
      <c r="AX494" s="20">
        <f t="shared" si="134"/>
        <v>-40.93807939758215</v>
      </c>
      <c r="AY494" s="20">
        <f t="shared" si="135"/>
        <v>0.90193510634214591</v>
      </c>
      <c r="AZ494" s="20"/>
      <c r="BA494" s="20">
        <f t="shared" si="136"/>
        <v>-7.6973244488431414</v>
      </c>
      <c r="BB494" s="20">
        <f t="shared" si="137"/>
        <v>0.25135080991499026</v>
      </c>
      <c r="BC494" s="20"/>
      <c r="BD494" s="20">
        <f t="shared" si="138"/>
        <v>-26.671816826113389</v>
      </c>
      <c r="BE494" s="20">
        <f t="shared" si="139"/>
        <v>-3.8874231729687612</v>
      </c>
      <c r="BF494" s="20"/>
      <c r="BG494" s="54">
        <f t="shared" si="140"/>
        <v>112412.71606835506</v>
      </c>
      <c r="BH494" s="54">
        <f t="shared" si="141"/>
        <v>152466.66663794441</v>
      </c>
      <c r="BI494" s="54">
        <f t="shared" si="142"/>
        <v>138837.02336860821</v>
      </c>
      <c r="BJ494" s="20"/>
    </row>
    <row r="495" spans="37:62" x14ac:dyDescent="0.3">
      <c r="AK495">
        <v>491</v>
      </c>
      <c r="AL495">
        <v>245.5</v>
      </c>
      <c r="AN495" s="48">
        <f t="shared" si="143"/>
        <v>132944.46075448583</v>
      </c>
      <c r="AO495" s="48">
        <f t="shared" si="144"/>
        <v>5611.8722209687594</v>
      </c>
      <c r="AP495" s="20"/>
      <c r="AQ495" s="50">
        <f t="shared" si="145"/>
        <v>1099.2073261828707</v>
      </c>
      <c r="AR495" s="50">
        <f t="shared" si="146"/>
        <v>1175.1435942753706</v>
      </c>
      <c r="AS495" s="20"/>
      <c r="AT495" s="52">
        <f t="shared" si="147"/>
        <v>-74.610983387102692</v>
      </c>
      <c r="AU495" s="52">
        <f t="shared" si="148"/>
        <v>-3.0498831026641104</v>
      </c>
      <c r="AV495" s="20"/>
      <c r="AW495" s="20"/>
      <c r="AX495" s="20">
        <f t="shared" si="134"/>
        <v>-40.550973335025169</v>
      </c>
      <c r="AY495" s="20">
        <f t="shared" si="135"/>
        <v>0.67790326952864899</v>
      </c>
      <c r="AZ495" s="20"/>
      <c r="BA495" s="20">
        <f t="shared" si="136"/>
        <v>-7.6441140786363748</v>
      </c>
      <c r="BB495" s="20">
        <f t="shared" si="137"/>
        <v>0.21931718984183121</v>
      </c>
      <c r="BC495" s="20"/>
      <c r="BD495" s="20">
        <f t="shared" si="138"/>
        <v>-26.415895973441138</v>
      </c>
      <c r="BE495" s="20">
        <f t="shared" si="139"/>
        <v>-3.9471035620345907</v>
      </c>
      <c r="BF495" s="20"/>
      <c r="BG495" s="54">
        <f t="shared" si="140"/>
        <v>112960.2418624869</v>
      </c>
      <c r="BH495" s="54">
        <f t="shared" si="141"/>
        <v>153007.39766718983</v>
      </c>
      <c r="BI495" s="54">
        <f t="shared" si="142"/>
        <v>139475.88870231094</v>
      </c>
      <c r="BJ495" s="20"/>
    </row>
    <row r="496" spans="37:62" x14ac:dyDescent="0.3">
      <c r="AK496">
        <v>492</v>
      </c>
      <c r="AL496">
        <v>246</v>
      </c>
      <c r="AN496" s="48">
        <f t="shared" si="143"/>
        <v>133484.73804465387</v>
      </c>
      <c r="AO496" s="48">
        <f t="shared" si="144"/>
        <v>6199.0627827186117</v>
      </c>
      <c r="AP496" s="20"/>
      <c r="AQ496" s="50">
        <f t="shared" si="145"/>
        <v>1061.9018344893193</v>
      </c>
      <c r="AR496" s="50">
        <f t="shared" si="146"/>
        <v>1173.6186527240386</v>
      </c>
      <c r="AS496" s="20"/>
      <c r="AT496" s="52">
        <f t="shared" si="147"/>
        <v>-73.941503556019057</v>
      </c>
      <c r="AU496" s="52">
        <f t="shared" si="148"/>
        <v>-3.3573605950995891</v>
      </c>
      <c r="AV496" s="20"/>
      <c r="AW496" s="20"/>
      <c r="AX496" s="20">
        <f t="shared" si="134"/>
        <v>-40.179085088762946</v>
      </c>
      <c r="AY496" s="20">
        <f t="shared" si="135"/>
        <v>0.46059468479118354</v>
      </c>
      <c r="AZ496" s="20"/>
      <c r="BA496" s="20">
        <f t="shared" si="136"/>
        <v>-7.5929438987500584</v>
      </c>
      <c r="BB496" s="20">
        <f t="shared" si="137"/>
        <v>0.1880336991231813</v>
      </c>
      <c r="BC496" s="20"/>
      <c r="BD496" s="20">
        <f t="shared" si="138"/>
        <v>-26.16947456850605</v>
      </c>
      <c r="BE496" s="20">
        <f t="shared" si="139"/>
        <v>-4.0059889790139538</v>
      </c>
      <c r="BF496" s="20"/>
      <c r="BG496" s="54">
        <f t="shared" si="140"/>
        <v>113492.19447480526</v>
      </c>
      <c r="BH496" s="54">
        <f t="shared" si="141"/>
        <v>153531.79454551337</v>
      </c>
      <c r="BI496" s="54">
        <f t="shared" si="142"/>
        <v>140097.90481717439</v>
      </c>
      <c r="BJ496" s="20"/>
    </row>
    <row r="497" spans="37:62" x14ac:dyDescent="0.3">
      <c r="AK497">
        <v>493</v>
      </c>
      <c r="AL497">
        <v>246.5</v>
      </c>
      <c r="AN497" s="48">
        <f t="shared" si="143"/>
        <v>134006.44627395403</v>
      </c>
      <c r="AO497" s="48">
        <f t="shared" si="144"/>
        <v>6785.4524390062434</v>
      </c>
      <c r="AP497" s="20"/>
      <c r="AQ497" s="50">
        <f t="shared" si="145"/>
        <v>1024.9310827113097</v>
      </c>
      <c r="AR497" s="50">
        <f t="shared" si="146"/>
        <v>1171.9399724264888</v>
      </c>
      <c r="AS497" s="20"/>
      <c r="AT497" s="52">
        <f t="shared" si="147"/>
        <v>-73.29779553087215</v>
      </c>
      <c r="AU497" s="52">
        <f t="shared" si="148"/>
        <v>-3.6571127514107276</v>
      </c>
      <c r="AV497" s="20"/>
      <c r="AW497" s="20"/>
      <c r="AX497" s="20">
        <f t="shared" si="134"/>
        <v>-39.821858776047435</v>
      </c>
      <c r="AY497" s="20">
        <f t="shared" si="135"/>
        <v>0.24958774694447494</v>
      </c>
      <c r="AZ497" s="20"/>
      <c r="BA497" s="20">
        <f t="shared" si="136"/>
        <v>-7.543750574988481</v>
      </c>
      <c r="BB497" s="20">
        <f t="shared" si="137"/>
        <v>0.15745928562261519</v>
      </c>
      <c r="BC497" s="20"/>
      <c r="BD497" s="20">
        <f t="shared" si="138"/>
        <v>-25.932186179836229</v>
      </c>
      <c r="BE497" s="20">
        <f t="shared" si="139"/>
        <v>-4.0641597839778179</v>
      </c>
      <c r="BF497" s="20"/>
      <c r="BG497" s="54">
        <f t="shared" si="140"/>
        <v>114008.68550348649</v>
      </c>
      <c r="BH497" s="54">
        <f t="shared" si="141"/>
        <v>154039.99094376169</v>
      </c>
      <c r="BI497" s="54">
        <f t="shared" si="142"/>
        <v>140703.22684176746</v>
      </c>
      <c r="BJ497" s="20"/>
    </row>
    <row r="498" spans="37:62" x14ac:dyDescent="0.3">
      <c r="AK498">
        <v>494</v>
      </c>
      <c r="AL498">
        <v>247</v>
      </c>
      <c r="AN498" s="48">
        <f t="shared" si="143"/>
        <v>134509.74959086833</v>
      </c>
      <c r="AO498" s="48">
        <f t="shared" si="144"/>
        <v>7370.9652861255618</v>
      </c>
      <c r="AP498" s="20"/>
      <c r="AQ498" s="50">
        <f t="shared" si="145"/>
        <v>988.28218494587361</v>
      </c>
      <c r="AR498" s="50">
        <f t="shared" si="146"/>
        <v>1170.1114160507834</v>
      </c>
      <c r="AS498" s="20"/>
      <c r="AT498" s="52">
        <f t="shared" si="147"/>
        <v>-72.678930091105769</v>
      </c>
      <c r="AU498" s="52">
        <f t="shared" si="148"/>
        <v>-3.949650828630662</v>
      </c>
      <c r="AV498" s="20"/>
      <c r="AW498" s="20"/>
      <c r="AX498" s="20">
        <f t="shared" si="134"/>
        <v>-39.478770270627805</v>
      </c>
      <c r="AY498" s="20">
        <f t="shared" si="135"/>
        <v>4.4486446299864875E-2</v>
      </c>
      <c r="AZ498" s="20"/>
      <c r="BA498" s="20">
        <f t="shared" si="136"/>
        <v>-7.4964742711528967</v>
      </c>
      <c r="BB498" s="20">
        <f t="shared" si="137"/>
        <v>0.1275549998800356</v>
      </c>
      <c r="BC498" s="20"/>
      <c r="BD498" s="20">
        <f t="shared" si="138"/>
        <v>-25.703685549325058</v>
      </c>
      <c r="BE498" s="20">
        <f t="shared" si="139"/>
        <v>-4.1216922748105622</v>
      </c>
      <c r="BF498" s="20"/>
      <c r="BG498" s="54">
        <f t="shared" si="140"/>
        <v>114509.8222918923</v>
      </c>
      <c r="BH498" s="54">
        <f t="shared" si="141"/>
        <v>154532.11492165501</v>
      </c>
      <c r="BI498" s="54">
        <f t="shared" si="142"/>
        <v>141292.00373248241</v>
      </c>
      <c r="BJ498" s="20"/>
    </row>
    <row r="499" spans="37:62" x14ac:dyDescent="0.3">
      <c r="AK499">
        <v>495</v>
      </c>
      <c r="AL499">
        <v>247.5</v>
      </c>
      <c r="AN499" s="48">
        <f t="shared" si="143"/>
        <v>134994.80581707988</v>
      </c>
      <c r="AO499" s="48">
        <f t="shared" si="144"/>
        <v>7955.5272877973748</v>
      </c>
      <c r="AP499" s="20"/>
      <c r="AQ499" s="50">
        <f t="shared" si="145"/>
        <v>951.94271990032075</v>
      </c>
      <c r="AR499" s="50">
        <f t="shared" si="146"/>
        <v>1168.1365906364681</v>
      </c>
      <c r="AS499" s="20"/>
      <c r="AT499" s="52">
        <f t="shared" si="147"/>
        <v>-72.084030889066568</v>
      </c>
      <c r="AU499" s="52">
        <f t="shared" si="148"/>
        <v>-4.2354568417322369</v>
      </c>
      <c r="AV499" s="20"/>
      <c r="AW499" s="20"/>
      <c r="AX499" s="20">
        <f t="shared" si="134"/>
        <v>-39.149325248639812</v>
      </c>
      <c r="AY499" s="20">
        <f t="shared" si="135"/>
        <v>-0.15508166497517931</v>
      </c>
      <c r="AZ499" s="20"/>
      <c r="BA499" s="20">
        <f t="shared" si="136"/>
        <v>-7.4510584483274611</v>
      </c>
      <c r="BB499" s="20">
        <f t="shared" si="137"/>
        <v>9.8283846315536674E-2</v>
      </c>
      <c r="BC499" s="20"/>
      <c r="BD499" s="20">
        <f t="shared" si="138"/>
        <v>-25.483647192099301</v>
      </c>
      <c r="BE499" s="20">
        <f t="shared" si="139"/>
        <v>-4.1786590230725942</v>
      </c>
      <c r="BF499" s="20"/>
      <c r="BG499" s="54">
        <f t="shared" si="140"/>
        <v>114995.70805042176</v>
      </c>
      <c r="BH499" s="54">
        <f t="shared" si="141"/>
        <v>155008.28912979216</v>
      </c>
      <c r="BI499" s="54">
        <f t="shared" si="142"/>
        <v>141864.37850575004</v>
      </c>
      <c r="BJ499" s="20"/>
    </row>
    <row r="500" spans="37:62" x14ac:dyDescent="0.3">
      <c r="AK500">
        <v>496</v>
      </c>
      <c r="AL500">
        <v>248</v>
      </c>
      <c r="AN500" s="48">
        <f t="shared" si="143"/>
        <v>135461.76667316892</v>
      </c>
      <c r="AO500" s="48">
        <f t="shared" si="144"/>
        <v>8539.0661510103928</v>
      </c>
      <c r="AP500" s="20"/>
      <c r="AQ500" s="50">
        <f t="shared" si="145"/>
        <v>915.90070445578749</v>
      </c>
      <c r="AR500" s="50">
        <f t="shared" si="146"/>
        <v>1166.018862215602</v>
      </c>
      <c r="AS500" s="20"/>
      <c r="AT500" s="52">
        <f t="shared" si="147"/>
        <v>-71.512271170186324</v>
      </c>
      <c r="AU500" s="52">
        <f t="shared" si="148"/>
        <v>-4.5149858683635946</v>
      </c>
      <c r="AV500" s="20"/>
      <c r="AW500" s="20"/>
      <c r="AX500" s="20">
        <f t="shared" si="134"/>
        <v>-38.83305738216513</v>
      </c>
      <c r="AY500" s="20">
        <f t="shared" si="135"/>
        <v>-0.34946733129650465</v>
      </c>
      <c r="AZ500" s="20"/>
      <c r="BA500" s="20">
        <f t="shared" si="136"/>
        <v>-7.4074496791818776</v>
      </c>
      <c r="BB500" s="20">
        <f t="shared" si="137"/>
        <v>6.9610645772184829E-2</v>
      </c>
      <c r="BC500" s="20"/>
      <c r="BD500" s="20">
        <f t="shared" si="138"/>
        <v>-25.271764108839314</v>
      </c>
      <c r="BE500" s="20">
        <f t="shared" si="139"/>
        <v>-4.235129182839275</v>
      </c>
      <c r="BF500" s="20"/>
      <c r="BG500" s="54">
        <f t="shared" si="140"/>
        <v>115466.4419723561</v>
      </c>
      <c r="BH500" s="54">
        <f t="shared" si="141"/>
        <v>155468.63099948471</v>
      </c>
      <c r="BI500" s="54">
        <f t="shared" si="142"/>
        <v>142420.48845657494</v>
      </c>
      <c r="BJ500" s="20"/>
    </row>
    <row r="501" spans="37:62" x14ac:dyDescent="0.3">
      <c r="AK501">
        <v>497</v>
      </c>
      <c r="AL501">
        <v>248.5</v>
      </c>
      <c r="AN501" s="48">
        <f t="shared" si="143"/>
        <v>135910.77799150054</v>
      </c>
      <c r="AO501" s="48">
        <f t="shared" si="144"/>
        <v>9121.511208884649</v>
      </c>
      <c r="AP501" s="20"/>
      <c r="AQ501" s="50">
        <f t="shared" si="145"/>
        <v>880.14456887069434</v>
      </c>
      <c r="AR501" s="50">
        <f t="shared" si="146"/>
        <v>1163.7613692814202</v>
      </c>
      <c r="AS501" s="20"/>
      <c r="AT501" s="52">
        <f t="shared" si="147"/>
        <v>-70.96287074473274</v>
      </c>
      <c r="AU501" s="52">
        <f t="shared" si="148"/>
        <v>-4.7886681611377977</v>
      </c>
      <c r="AV501" s="20"/>
      <c r="AW501" s="20"/>
      <c r="AX501" s="20">
        <f t="shared" si="134"/>
        <v>-38.529526668319676</v>
      </c>
      <c r="AY501" s="20">
        <f t="shared" si="135"/>
        <v>-0.53900129434280553</v>
      </c>
      <c r="AZ501" s="20"/>
      <c r="BA501" s="20">
        <f t="shared" si="136"/>
        <v>-7.3655974760649121</v>
      </c>
      <c r="BB501" s="20">
        <f t="shared" si="137"/>
        <v>4.1501908373154865E-2</v>
      </c>
      <c r="BC501" s="20"/>
      <c r="BD501" s="20">
        <f t="shared" si="138"/>
        <v>-25.067746600348151</v>
      </c>
      <c r="BE501" s="20">
        <f t="shared" si="139"/>
        <v>-4.2911687751681473</v>
      </c>
      <c r="BF501" s="20"/>
      <c r="BG501" s="54">
        <f t="shared" si="140"/>
        <v>115922.11934396069</v>
      </c>
      <c r="BH501" s="54">
        <f t="shared" si="141"/>
        <v>155913.25292120321</v>
      </c>
      <c r="BI501" s="54">
        <f t="shared" si="142"/>
        <v>142960.46536427579</v>
      </c>
      <c r="BJ501" s="20"/>
    </row>
    <row r="502" spans="37:62" x14ac:dyDescent="0.3">
      <c r="AK502">
        <v>498</v>
      </c>
      <c r="AL502">
        <v>249</v>
      </c>
      <c r="AN502" s="48">
        <f t="shared" si="143"/>
        <v>136341.9799170928</v>
      </c>
      <c r="AO502" s="48">
        <f t="shared" si="144"/>
        <v>9702.793310005216</v>
      </c>
      <c r="AP502" s="20"/>
      <c r="AQ502" s="50">
        <f t="shared" si="145"/>
        <v>844.66313349832797</v>
      </c>
      <c r="AR502" s="50">
        <f t="shared" si="146"/>
        <v>1161.3670352008514</v>
      </c>
      <c r="AS502" s="20"/>
      <c r="AT502" s="52">
        <f t="shared" si="147"/>
        <v>-70.435093189850534</v>
      </c>
      <c r="AU502" s="52">
        <f t="shared" si="148"/>
        <v>-5.0569110863255764</v>
      </c>
      <c r="AV502" s="20"/>
      <c r="AW502" s="20"/>
      <c r="AX502" s="20">
        <f t="shared" si="134"/>
        <v>-38.238317882850119</v>
      </c>
      <c r="AY502" s="20">
        <f t="shared" si="135"/>
        <v>-0.72399585152512902</v>
      </c>
      <c r="AZ502" s="20"/>
      <c r="BA502" s="20">
        <f t="shared" si="136"/>
        <v>-7.3254541317771178</v>
      </c>
      <c r="BB502" s="20">
        <f t="shared" si="137"/>
        <v>1.3925715769805613E-2</v>
      </c>
      <c r="BC502" s="20"/>
      <c r="BD502" s="20">
        <f t="shared" si="138"/>
        <v>-24.871321175223304</v>
      </c>
      <c r="BE502" s="20">
        <f t="shared" si="139"/>
        <v>-4.346840950570253</v>
      </c>
      <c r="BF502" s="20"/>
      <c r="BG502" s="54">
        <f t="shared" si="140"/>
        <v>116362.83164909587</v>
      </c>
      <c r="BH502" s="54">
        <f t="shared" si="141"/>
        <v>156342.26241235356</v>
      </c>
      <c r="BI502" s="54">
        <f t="shared" si="142"/>
        <v>143484.43568624684</v>
      </c>
      <c r="BJ502" s="20"/>
    </row>
    <row r="503" spans="37:62" x14ac:dyDescent="0.3">
      <c r="AK503">
        <v>499</v>
      </c>
      <c r="AL503">
        <v>249.5</v>
      </c>
      <c r="AN503" s="48">
        <f t="shared" si="143"/>
        <v>136755.50709719324</v>
      </c>
      <c r="AO503" s="48">
        <f t="shared" si="144"/>
        <v>10282.844713719851</v>
      </c>
      <c r="AP503" s="20"/>
      <c r="AQ503" s="50">
        <f t="shared" si="145"/>
        <v>809.44558690340273</v>
      </c>
      <c r="AR503" s="50">
        <f t="shared" si="146"/>
        <v>1158.8385796576886</v>
      </c>
      <c r="AS503" s="20"/>
      <c r="AT503" s="52">
        <f t="shared" si="147"/>
        <v>-69.928243262643846</v>
      </c>
      <c r="AU503" s="52">
        <f t="shared" si="148"/>
        <v>-5.3201009057986326</v>
      </c>
      <c r="AV503" s="20"/>
      <c r="AW503" s="20"/>
      <c r="AX503" s="20">
        <f t="shared" si="134"/>
        <v>-37.959039148220512</v>
      </c>
      <c r="AY503" s="20">
        <f t="shared" si="135"/>
        <v>-0.90474628613085539</v>
      </c>
      <c r="AZ503" s="20"/>
      <c r="BA503" s="20">
        <f t="shared" si="136"/>
        <v>-7.2869745720179422</v>
      </c>
      <c r="BB503" s="20">
        <f t="shared" si="137"/>
        <v>-1.314838805266544E-2</v>
      </c>
      <c r="BC503" s="20"/>
      <c r="BD503" s="20">
        <f t="shared" si="138"/>
        <v>-24.682229542405395</v>
      </c>
      <c r="BE503" s="20">
        <f t="shared" si="139"/>
        <v>-4.4022062316151116</v>
      </c>
      <c r="BF503" s="20"/>
      <c r="BG503" s="54">
        <f t="shared" si="140"/>
        <v>116788.66666857456</v>
      </c>
      <c r="BH503" s="54">
        <f t="shared" si="141"/>
        <v>156755.76227504454</v>
      </c>
      <c r="BI503" s="54">
        <f t="shared" si="142"/>
        <v>143992.52074049012</v>
      </c>
      <c r="BJ503" s="20"/>
    </row>
    <row r="504" spans="37:62" x14ac:dyDescent="0.3">
      <c r="AK504">
        <v>500</v>
      </c>
      <c r="AL504">
        <v>250</v>
      </c>
      <c r="AN504" s="48">
        <f t="shared" si="143"/>
        <v>137151.48886023712</v>
      </c>
      <c r="AO504" s="48">
        <f t="shared" si="144"/>
        <v>10861.59899093547</v>
      </c>
      <c r="AP504" s="20"/>
      <c r="AQ504" s="50">
        <f t="shared" si="145"/>
        <v>774.48146527208075</v>
      </c>
      <c r="AR504" s="50">
        <f t="shared" si="146"/>
        <v>1156.1785292047894</v>
      </c>
      <c r="AS504" s="20"/>
      <c r="AT504" s="52">
        <f t="shared" si="147"/>
        <v>-69.44166450690345</v>
      </c>
      <c r="AU504" s="52">
        <f t="shared" si="148"/>
        <v>-5.5786044173069502</v>
      </c>
      <c r="AV504" s="20"/>
      <c r="AW504" s="20"/>
      <c r="AX504" s="20">
        <f t="shared" si="134"/>
        <v>-37.691320607099605</v>
      </c>
      <c r="AY504" s="20">
        <f t="shared" si="135"/>
        <v>-1.0815321815586088</v>
      </c>
      <c r="AZ504" s="20"/>
      <c r="BA504" s="20">
        <f t="shared" si="136"/>
        <v>-7.250116218595263</v>
      </c>
      <c r="BB504" s="20">
        <f t="shared" si="137"/>
        <v>-3.9749498165188052E-2</v>
      </c>
      <c r="BC504" s="20"/>
      <c r="BD504" s="20">
        <f t="shared" si="138"/>
        <v>-24.500227681208589</v>
      </c>
      <c r="BE504" s="20">
        <f t="shared" si="139"/>
        <v>-4.4573227375831532</v>
      </c>
      <c r="BF504" s="20"/>
      <c r="BG504" s="54">
        <f t="shared" si="140"/>
        <v>117199.70857449314</v>
      </c>
      <c r="BH504" s="54">
        <f t="shared" si="141"/>
        <v>157153.85074445492</v>
      </c>
      <c r="BI504" s="54">
        <f t="shared" si="142"/>
        <v>144484.83687761173</v>
      </c>
      <c r="BJ504" s="20"/>
    </row>
    <row r="505" spans="37:62" x14ac:dyDescent="0.3">
      <c r="AK505">
        <v>501</v>
      </c>
      <c r="AL505">
        <v>250.5</v>
      </c>
      <c r="AN505" s="48">
        <f t="shared" si="143"/>
        <v>137530.0493848098</v>
      </c>
      <c r="AO505" s="48">
        <f t="shared" si="144"/>
        <v>11438.990929985703</v>
      </c>
      <c r="AP505" s="20"/>
      <c r="AQ505" s="50">
        <f t="shared" si="145"/>
        <v>739.76063301862905</v>
      </c>
      <c r="AR505" s="50">
        <f t="shared" si="146"/>
        <v>1153.3892269961359</v>
      </c>
      <c r="AS505" s="20"/>
      <c r="AT505" s="52">
        <f t="shared" si="147"/>
        <v>-68.974737037708366</v>
      </c>
      <c r="AU505" s="52">
        <f t="shared" si="148"/>
        <v>-5.8327704666137459</v>
      </c>
      <c r="AV505" s="20"/>
      <c r="AW505" s="20"/>
      <c r="AX505" s="20">
        <f t="shared" si="134"/>
        <v>-37.434813192968079</v>
      </c>
      <c r="AY505" s="20">
        <f t="shared" si="135"/>
        <v>-1.2546186307641278</v>
      </c>
      <c r="AZ505" s="20"/>
      <c r="BA505" s="20">
        <f t="shared" si="136"/>
        <v>-7.2148388625717166</v>
      </c>
      <c r="BB505" s="20">
        <f t="shared" si="137"/>
        <v>-6.5905442962110691E-2</v>
      </c>
      <c r="BC505" s="20"/>
      <c r="BD505" s="20">
        <f t="shared" si="138"/>
        <v>-24.325084982168573</v>
      </c>
      <c r="BE505" s="20">
        <f t="shared" si="139"/>
        <v>-4.5122463928875076</v>
      </c>
      <c r="BF505" s="20"/>
      <c r="BG505" s="54">
        <f t="shared" si="140"/>
        <v>117596.03801974937</v>
      </c>
      <c r="BH505" s="54">
        <f t="shared" si="141"/>
        <v>157536.62162836042</v>
      </c>
      <c r="BI505" s="54">
        <f t="shared" si="142"/>
        <v>144961.49564291956</v>
      </c>
      <c r="BJ505" s="20"/>
    </row>
    <row r="506" spans="37:62" x14ac:dyDescent="0.3">
      <c r="AK506">
        <v>502</v>
      </c>
      <c r="AL506">
        <v>251</v>
      </c>
      <c r="AN506" s="48">
        <f t="shared" si="143"/>
        <v>137891.3078591894</v>
      </c>
      <c r="AO506" s="48">
        <f t="shared" si="144"/>
        <v>12014.956447175444</v>
      </c>
      <c r="AP506" s="20"/>
      <c r="AQ506" s="50">
        <f t="shared" si="145"/>
        <v>705.27326449977488</v>
      </c>
      <c r="AR506" s="50">
        <f t="shared" si="146"/>
        <v>1150.4728417628289</v>
      </c>
      <c r="AS506" s="20"/>
      <c r="AT506" s="52">
        <f t="shared" si="147"/>
        <v>-68.526875489612536</v>
      </c>
      <c r="AU506" s="52">
        <f t="shared" si="148"/>
        <v>-6.0829313436321515</v>
      </c>
      <c r="AV506" s="20"/>
      <c r="AW506" s="20"/>
      <c r="AX506" s="20">
        <f t="shared" si="134"/>
        <v>-37.189187490319483</v>
      </c>
      <c r="AY506" s="20">
        <f t="shared" si="135"/>
        <v>-1.4242573508912535</v>
      </c>
      <c r="AZ506" s="20"/>
      <c r="BA506" s="20">
        <f t="shared" si="136"/>
        <v>-7.1811045465952166</v>
      </c>
      <c r="BB506" s="20">
        <f t="shared" si="137"/>
        <v>-9.1642871923685698E-2</v>
      </c>
      <c r="BC506" s="20"/>
      <c r="BD506" s="20">
        <f t="shared" si="138"/>
        <v>-24.156583452697845</v>
      </c>
      <c r="BE506" s="20">
        <f t="shared" si="139"/>
        <v>-4.5670311208172123</v>
      </c>
      <c r="BF506" s="20"/>
      <c r="BG506" s="54">
        <f t="shared" si="140"/>
        <v>117977.73222294987</v>
      </c>
      <c r="BH506" s="54">
        <f t="shared" si="141"/>
        <v>157904.16443833688</v>
      </c>
      <c r="BI506" s="54">
        <f t="shared" si="142"/>
        <v>145422.60392921188</v>
      </c>
      <c r="BJ506" s="20"/>
    </row>
    <row r="507" spans="37:62" x14ac:dyDescent="0.3">
      <c r="AK507">
        <v>503</v>
      </c>
      <c r="AL507">
        <v>251.5</v>
      </c>
      <c r="AN507" s="48">
        <f t="shared" si="143"/>
        <v>138235.37863200309</v>
      </c>
      <c r="AO507" s="48">
        <f t="shared" si="144"/>
        <v>12589.432501638905</v>
      </c>
      <c r="AP507" s="20"/>
      <c r="AQ507" s="50">
        <f t="shared" si="145"/>
        <v>671.00982675496857</v>
      </c>
      <c r="AR507" s="50">
        <f t="shared" si="146"/>
        <v>1147.4313760910129</v>
      </c>
      <c r="AS507" s="20"/>
      <c r="AT507" s="52">
        <f t="shared" si="147"/>
        <v>-68.097527115451015</v>
      </c>
      <c r="AU507" s="52">
        <f t="shared" si="148"/>
        <v>-6.3294040734860797</v>
      </c>
      <c r="AV507" s="20"/>
      <c r="AW507" s="20"/>
      <c r="AX507" s="20">
        <f t="shared" si="134"/>
        <v>-36.954132677594934</v>
      </c>
      <c r="AY507" s="20">
        <f t="shared" si="135"/>
        <v>-1.5906877120476446</v>
      </c>
      <c r="AZ507" s="20"/>
      <c r="BA507" s="20">
        <f t="shared" si="136"/>
        <v>-7.1488774557330483</v>
      </c>
      <c r="BB507" s="20">
        <f t="shared" si="137"/>
        <v>-0.11698733743456814</v>
      </c>
      <c r="BC507" s="20"/>
      <c r="BD507" s="20">
        <f t="shared" si="138"/>
        <v>-23.994516982123034</v>
      </c>
      <c r="BE507" s="20">
        <f t="shared" si="139"/>
        <v>-4.6217290240038666</v>
      </c>
      <c r="BF507" s="20"/>
      <c r="BG507" s="54">
        <f t="shared" si="140"/>
        <v>118344.86504889796</v>
      </c>
      <c r="BH507" s="54">
        <f t="shared" si="141"/>
        <v>158256.56451311562</v>
      </c>
      <c r="BI507" s="54">
        <f t="shared" si="142"/>
        <v>145868.26412080106</v>
      </c>
      <c r="BJ507" s="20"/>
    </row>
    <row r="508" spans="37:62" x14ac:dyDescent="0.3">
      <c r="AK508">
        <v>504</v>
      </c>
      <c r="AL508">
        <v>252</v>
      </c>
      <c r="AN508" s="48">
        <f t="shared" si="143"/>
        <v>138562.37135449116</v>
      </c>
      <c r="AO508" s="48">
        <f t="shared" si="144"/>
        <v>13162.357014175224</v>
      </c>
      <c r="AP508" s="20"/>
      <c r="AQ508" s="50">
        <f t="shared" si="145"/>
        <v>636.96106319724311</v>
      </c>
      <c r="AR508" s="50">
        <f t="shared" si="146"/>
        <v>1144.26667405427</v>
      </c>
      <c r="AS508" s="20"/>
      <c r="AT508" s="52">
        <f t="shared" si="147"/>
        <v>-67.68617002398949</v>
      </c>
      <c r="AU508" s="52">
        <f t="shared" si="148"/>
        <v>-6.5724916123332182</v>
      </c>
      <c r="AV508" s="20"/>
      <c r="AW508" s="20"/>
      <c r="AX508" s="20">
        <f t="shared" si="134"/>
        <v>-36.729355546605369</v>
      </c>
      <c r="AY508" s="20">
        <f t="shared" si="135"/>
        <v>-1.7541376882858584</v>
      </c>
      <c r="AZ508" s="20"/>
      <c r="BA508" s="20">
        <f t="shared" si="136"/>
        <v>-7.1181238161880733</v>
      </c>
      <c r="BB508" s="20">
        <f t="shared" si="137"/>
        <v>-0.14196337116808949</v>
      </c>
      <c r="BC508" s="20"/>
      <c r="BD508" s="20">
        <f t="shared" si="138"/>
        <v>-23.838690661196051</v>
      </c>
      <c r="BE508" s="20">
        <f t="shared" si="139"/>
        <v>-4.67639055287927</v>
      </c>
      <c r="BF508" s="20"/>
      <c r="BG508" s="54">
        <f t="shared" si="140"/>
        <v>118697.50708484254</v>
      </c>
      <c r="BH508" s="54">
        <f t="shared" si="141"/>
        <v>158593.90313452994</v>
      </c>
      <c r="BI508" s="54">
        <f t="shared" si="142"/>
        <v>146298.57422927499</v>
      </c>
      <c r="BJ508" s="20"/>
    </row>
    <row r="509" spans="37:62" x14ac:dyDescent="0.3">
      <c r="AK509">
        <v>505</v>
      </c>
      <c r="AL509">
        <v>252.5</v>
      </c>
      <c r="AN509" s="48">
        <f t="shared" si="143"/>
        <v>138872.39111483676</v>
      </c>
      <c r="AO509" s="48">
        <f t="shared" si="144"/>
        <v>13733.668789750818</v>
      </c>
      <c r="AP509" s="20"/>
      <c r="AQ509" s="50">
        <f t="shared" si="145"/>
        <v>603.11797818524838</v>
      </c>
      <c r="AR509" s="50">
        <f t="shared" si="146"/>
        <v>1140.9804282481034</v>
      </c>
      <c r="AS509" s="20"/>
      <c r="AT509" s="52">
        <f t="shared" si="147"/>
        <v>-67.292311545722342</v>
      </c>
      <c r="AU509" s="52">
        <f t="shared" si="148"/>
        <v>-6.8124839568269904</v>
      </c>
      <c r="AV509" s="20"/>
      <c r="AW509" s="20"/>
      <c r="AX509" s="20">
        <f t="shared" si="134"/>
        <v>-36.51457959274817</v>
      </c>
      <c r="AY509" s="20">
        <f t="shared" si="135"/>
        <v>-1.9148247380528767</v>
      </c>
      <c r="AZ509" s="20"/>
      <c r="BA509" s="20">
        <f t="shared" si="136"/>
        <v>-7.0888118013332031</v>
      </c>
      <c r="BB509" s="20">
        <f t="shared" si="137"/>
        <v>-0.16659455550035673</v>
      </c>
      <c r="BC509" s="20"/>
      <c r="BD509" s="20">
        <f t="shared" si="138"/>
        <v>-23.688920151640971</v>
      </c>
      <c r="BE509" s="20">
        <f t="shared" si="139"/>
        <v>-4.7310646632737567</v>
      </c>
      <c r="BF509" s="20"/>
      <c r="BG509" s="54">
        <f t="shared" si="140"/>
        <v>119035.72571265753</v>
      </c>
      <c r="BH509" s="54">
        <f t="shared" si="141"/>
        <v>158916.25763645838</v>
      </c>
      <c r="BI509" s="54">
        <f t="shared" si="142"/>
        <v>146713.6280214611</v>
      </c>
      <c r="BJ509" s="20"/>
    </row>
    <row r="510" spans="37:62" x14ac:dyDescent="0.3">
      <c r="AK510">
        <v>506</v>
      </c>
      <c r="AL510">
        <v>253</v>
      </c>
      <c r="AN510" s="48">
        <f t="shared" si="143"/>
        <v>139165.53856498617</v>
      </c>
      <c r="AO510" s="48">
        <f t="shared" si="144"/>
        <v>14303.307443380265</v>
      </c>
      <c r="AP510" s="20"/>
      <c r="AQ510" s="50">
        <f t="shared" si="145"/>
        <v>569.47182241238716</v>
      </c>
      <c r="AR510" s="50">
        <f t="shared" si="146"/>
        <v>1137.57418626969</v>
      </c>
      <c r="AS510" s="20"/>
      <c r="AT510" s="52">
        <f t="shared" si="147"/>
        <v>-66.915486717085997</v>
      </c>
      <c r="AU510" s="52">
        <f t="shared" si="148"/>
        <v>-7.0496591752384417</v>
      </c>
      <c r="AV510" s="20"/>
      <c r="AW510" s="20"/>
      <c r="AX510" s="20">
        <f t="shared" si="134"/>
        <v>-36.30954417082264</v>
      </c>
      <c r="AY510" s="20">
        <f t="shared" si="135"/>
        <v>-2.0729566206625138</v>
      </c>
      <c r="AZ510" s="20"/>
      <c r="BA510" s="20">
        <f t="shared" si="136"/>
        <v>-7.0609114445499319</v>
      </c>
      <c r="BB510" s="20">
        <f t="shared" si="137"/>
        <v>-0.1909035903772256</v>
      </c>
      <c r="BC510" s="20"/>
      <c r="BD510" s="20">
        <f t="shared" si="138"/>
        <v>-23.545031101713427</v>
      </c>
      <c r="BE510" s="20">
        <f t="shared" si="139"/>
        <v>-4.785798964198702</v>
      </c>
      <c r="BF510" s="20"/>
      <c r="BG510" s="54">
        <f t="shared" si="140"/>
        <v>119359.58517711244</v>
      </c>
      <c r="BH510" s="54">
        <f t="shared" si="141"/>
        <v>159223.70150713852</v>
      </c>
      <c r="BI510" s="54">
        <f t="shared" si="142"/>
        <v>147113.515140023</v>
      </c>
      <c r="BJ510" s="20"/>
    </row>
    <row r="511" spans="37:62" x14ac:dyDescent="0.3">
      <c r="AK511">
        <v>507</v>
      </c>
      <c r="AL511">
        <v>253.5</v>
      </c>
      <c r="AN511" s="48">
        <f t="shared" si="143"/>
        <v>139441.91004035273</v>
      </c>
      <c r="AO511" s="48">
        <f t="shared" si="144"/>
        <v>14871.213329118204</v>
      </c>
      <c r="AP511" s="20"/>
      <c r="AQ511" s="50">
        <f t="shared" si="145"/>
        <v>536.01407905384417</v>
      </c>
      <c r="AR511" s="50">
        <f t="shared" si="146"/>
        <v>1134.0493566820708</v>
      </c>
      <c r="AS511" s="20"/>
      <c r="AT511" s="52">
        <f t="shared" si="147"/>
        <v>-66.555256874232484</v>
      </c>
      <c r="AU511" s="52">
        <f t="shared" si="148"/>
        <v>-7.2842843674987439</v>
      </c>
      <c r="AV511" s="20"/>
      <c r="AW511" s="20"/>
      <c r="AX511" s="20">
        <f t="shared" si="134"/>
        <v>-36.114003711704285</v>
      </c>
      <c r="AY511" s="20">
        <f t="shared" si="135"/>
        <v>-2.2287321547152379</v>
      </c>
      <c r="AZ511" s="20"/>
      <c r="BA511" s="20">
        <f t="shared" si="136"/>
        <v>-7.0343945584034362</v>
      </c>
      <c r="BB511" s="20">
        <f t="shared" si="137"/>
        <v>-0.21491235602044079</v>
      </c>
      <c r="BC511" s="20"/>
      <c r="BD511" s="20">
        <f t="shared" si="138"/>
        <v>-23.406858604124761</v>
      </c>
      <c r="BE511" s="20">
        <f t="shared" si="139"/>
        <v>-4.8406398567630653</v>
      </c>
      <c r="BF511" s="20"/>
      <c r="BG511" s="54">
        <f t="shared" si="140"/>
        <v>119669.14665038389</v>
      </c>
      <c r="BH511" s="54">
        <f t="shared" si="141"/>
        <v>159516.30448519584</v>
      </c>
      <c r="BI511" s="54">
        <f t="shared" si="142"/>
        <v>147498.32121708721</v>
      </c>
      <c r="BJ511" s="20"/>
    </row>
    <row r="512" spans="37:62" x14ac:dyDescent="0.3">
      <c r="AK512">
        <v>508</v>
      </c>
      <c r="AL512">
        <v>254</v>
      </c>
      <c r="AN512" s="48">
        <f t="shared" si="143"/>
        <v>139701.59767277035</v>
      </c>
      <c r="AO512" s="48">
        <f t="shared" si="144"/>
        <v>15437.327471913301</v>
      </c>
      <c r="AP512" s="20"/>
      <c r="AQ512" s="50">
        <f t="shared" si="145"/>
        <v>502.73645061672795</v>
      </c>
      <c r="AR512" s="50">
        <f t="shared" si="146"/>
        <v>1130.4072144983213</v>
      </c>
      <c r="AS512" s="20"/>
      <c r="AT512" s="52">
        <f t="shared" si="147"/>
        <v>-66.211208348303813</v>
      </c>
      <c r="AU512" s="52">
        <f t="shared" si="148"/>
        <v>-7.5166165607458755</v>
      </c>
      <c r="AV512" s="20"/>
      <c r="AW512" s="20"/>
      <c r="AX512" s="20">
        <f t="shared" si="134"/>
        <v>-35.92772699555708</v>
      </c>
      <c r="AY512" s="20">
        <f t="shared" si="135"/>
        <v>-2.3823419238296988</v>
      </c>
      <c r="AZ512" s="20"/>
      <c r="BA512" s="20">
        <f t="shared" si="136"/>
        <v>-7.009234659727432</v>
      </c>
      <c r="BB512" s="20">
        <f t="shared" si="137"/>
        <v>-0.23864197182619032</v>
      </c>
      <c r="BC512" s="20"/>
      <c r="BD512" s="20">
        <f t="shared" si="138"/>
        <v>-23.2742466930193</v>
      </c>
      <c r="BE512" s="20">
        <f t="shared" si="139"/>
        <v>-4.8956326650899857</v>
      </c>
      <c r="BF512" s="20"/>
      <c r="BG512" s="54">
        <f t="shared" si="140"/>
        <v>119964.46829294985</v>
      </c>
      <c r="BH512" s="54">
        <f t="shared" si="141"/>
        <v>159794.13264970723</v>
      </c>
      <c r="BI512" s="54">
        <f t="shared" si="142"/>
        <v>147868.12798126845</v>
      </c>
      <c r="BJ512" s="20"/>
    </row>
    <row r="513" spans="37:62" x14ac:dyDescent="0.3">
      <c r="AK513">
        <v>509</v>
      </c>
      <c r="AL513">
        <v>254.5</v>
      </c>
      <c r="AN513" s="48">
        <f t="shared" si="143"/>
        <v>139944.68949703517</v>
      </c>
      <c r="AO513" s="48">
        <f t="shared" si="144"/>
        <v>16001.591502092368</v>
      </c>
      <c r="AP513" s="20"/>
      <c r="AQ513" s="50">
        <f t="shared" si="145"/>
        <v>469.63084644257606</v>
      </c>
      <c r="AR513" s="50">
        <f t="shared" si="146"/>
        <v>1126.6489062179485</v>
      </c>
      <c r="AS513" s="20"/>
      <c r="AT513" s="52">
        <f t="shared" si="147"/>
        <v>-65.882951254860046</v>
      </c>
      <c r="AU513" s="52">
        <f t="shared" si="148"/>
        <v>-7.7469035463557532</v>
      </c>
      <c r="AV513" s="20"/>
      <c r="AW513" s="20"/>
      <c r="AX513" s="20">
        <f t="shared" si="134"/>
        <v>-35.750496477631579</v>
      </c>
      <c r="AY513" s="20">
        <f t="shared" si="135"/>
        <v>-2.5339689345506917</v>
      </c>
      <c r="AZ513" s="20"/>
      <c r="BA513" s="20">
        <f t="shared" si="136"/>
        <v>-6.985406900231232</v>
      </c>
      <c r="BB513" s="20">
        <f t="shared" si="137"/>
        <v>-0.2621128517796914</v>
      </c>
      <c r="BC513" s="20"/>
      <c r="BD513" s="20">
        <f t="shared" si="138"/>
        <v>-23.147047876997227</v>
      </c>
      <c r="BE513" s="20">
        <f t="shared" si="139"/>
        <v>-4.9508217600253701</v>
      </c>
      <c r="BF513" s="20"/>
      <c r="BG513" s="54">
        <f t="shared" si="140"/>
        <v>120245.60531099932</v>
      </c>
      <c r="BH513" s="54">
        <f t="shared" si="141"/>
        <v>160057.24850459283</v>
      </c>
      <c r="BI513" s="54">
        <f t="shared" si="142"/>
        <v>148223.01335843414</v>
      </c>
      <c r="BJ513" s="20"/>
    </row>
    <row r="514" spans="37:62" x14ac:dyDescent="0.3">
      <c r="AK514">
        <v>510</v>
      </c>
      <c r="AL514">
        <v>255</v>
      </c>
      <c r="AN514" s="48">
        <f t="shared" si="143"/>
        <v>140171.2695513496</v>
      </c>
      <c r="AO514" s="48">
        <f t="shared" si="144"/>
        <v>16563.947592258046</v>
      </c>
      <c r="AP514" s="20"/>
      <c r="AQ514" s="50">
        <f t="shared" si="145"/>
        <v>436.68937081514605</v>
      </c>
      <c r="AR514" s="50">
        <f t="shared" si="146"/>
        <v>1122.7754544447705</v>
      </c>
      <c r="AS514" s="20"/>
      <c r="AT514" s="52">
        <f t="shared" si="147"/>
        <v>-65.570118370767332</v>
      </c>
      <c r="AU514" s="52">
        <f t="shared" si="148"/>
        <v>-7.9753846639001553</v>
      </c>
      <c r="AV514" s="20"/>
      <c r="AW514" s="20"/>
      <c r="AX514" s="20">
        <f t="shared" si="134"/>
        <v>-35.582107663046152</v>
      </c>
      <c r="AY514" s="20">
        <f t="shared" si="135"/>
        <v>-2.6837892308537383</v>
      </c>
      <c r="AZ514" s="20"/>
      <c r="BA514" s="20">
        <f t="shared" si="136"/>
        <v>-6.9628880022748589</v>
      </c>
      <c r="BB514" s="20">
        <f t="shared" si="137"/>
        <v>-0.28534475668273429</v>
      </c>
      <c r="BC514" s="20"/>
      <c r="BD514" s="20">
        <f t="shared" si="138"/>
        <v>-23.025122705446318</v>
      </c>
      <c r="BE514" s="20">
        <f t="shared" si="139"/>
        <v>-5.0062506763636829</v>
      </c>
      <c r="BF514" s="20"/>
      <c r="BG514" s="54">
        <f t="shared" si="140"/>
        <v>120512.61001048116</v>
      </c>
      <c r="BH514" s="54">
        <f t="shared" si="141"/>
        <v>160305.71105760706</v>
      </c>
      <c r="BI514" s="54">
        <f t="shared" si="142"/>
        <v>148563.05156652315</v>
      </c>
      <c r="BJ514" s="20"/>
    </row>
    <row r="515" spans="37:62" x14ac:dyDescent="0.3">
      <c r="AK515">
        <v>511</v>
      </c>
      <c r="AL515">
        <v>255.5</v>
      </c>
      <c r="AN515" s="48">
        <f t="shared" si="143"/>
        <v>140381.41797196082</v>
      </c>
      <c r="AO515" s="48">
        <f t="shared" si="144"/>
        <v>17124.338396397441</v>
      </c>
      <c r="AP515" s="20"/>
      <c r="AQ515" s="50">
        <f t="shared" si="145"/>
        <v>403.90431162976239</v>
      </c>
      <c r="AR515" s="50">
        <f t="shared" si="146"/>
        <v>1118.7877621128205</v>
      </c>
      <c r="AS515" s="20"/>
      <c r="AT515" s="52">
        <f t="shared" si="147"/>
        <v>-65.272364092444818</v>
      </c>
      <c r="AU515" s="52">
        <f t="shared" si="148"/>
        <v>-8.2022915369945881</v>
      </c>
      <c r="AV515" s="20"/>
      <c r="AW515" s="20"/>
      <c r="AX515" s="20">
        <f t="shared" si="134"/>
        <v>-35.422368527259898</v>
      </c>
      <c r="AY515" s="20">
        <f t="shared" si="135"/>
        <v>-2.8319724692697497</v>
      </c>
      <c r="AZ515" s="20"/>
      <c r="BA515" s="20">
        <f t="shared" si="136"/>
        <v>-6.9416561994904198</v>
      </c>
      <c r="BB515" s="20">
        <f t="shared" si="137"/>
        <v>-0.30835684346715286</v>
      </c>
      <c r="BC515" s="20"/>
      <c r="BD515" s="20">
        <f t="shared" si="138"/>
        <v>-22.908339365694506</v>
      </c>
      <c r="BE515" s="20">
        <f t="shared" si="139"/>
        <v>-5.0619622242576856</v>
      </c>
      <c r="BF515" s="20"/>
      <c r="BG515" s="54">
        <f t="shared" si="140"/>
        <v>120765.53184790892</v>
      </c>
      <c r="BH515" s="54">
        <f t="shared" si="141"/>
        <v>160539.57589417999</v>
      </c>
      <c r="BI515" s="54">
        <f t="shared" si="142"/>
        <v>148888.31320471136</v>
      </c>
      <c r="BJ515" s="20"/>
    </row>
    <row r="516" spans="37:62" x14ac:dyDescent="0.3">
      <c r="AK516">
        <v>512</v>
      </c>
      <c r="AL516">
        <v>256</v>
      </c>
      <c r="AN516" s="48">
        <f t="shared" si="143"/>
        <v>140575.21108226414</v>
      </c>
      <c r="AO516" s="48">
        <f t="shared" si="144"/>
        <v>17682.706991011728</v>
      </c>
      <c r="AP516" s="20"/>
      <c r="AQ516" s="50">
        <f t="shared" si="145"/>
        <v>371.26812958353997</v>
      </c>
      <c r="AR516" s="50">
        <f t="shared" si="146"/>
        <v>1114.6866163443233</v>
      </c>
      <c r="AS516" s="20"/>
      <c r="AT516" s="52">
        <f t="shared" si="147"/>
        <v>-64.989363469897185</v>
      </c>
      <c r="AU516" s="52">
        <f t="shared" si="148"/>
        <v>-8.4278487655702587</v>
      </c>
      <c r="AV516" s="20"/>
      <c r="AW516" s="20"/>
      <c r="AX516" s="20">
        <f t="shared" ref="AX516:AX579" si="149">Masse_1*(q_1x-AN516)/($BG516^2+Aarseth_1^2)^(3/2)</f>
        <v>-35.271098979226892</v>
      </c>
      <c r="AY516" s="20">
        <f t="shared" ref="AY516:AY579" si="150">Masse_1*(q_1y-AO516)/($BG516^2+Aarseth_1^2)^(3/2)</f>
        <v>-2.9786824582990072</v>
      </c>
      <c r="AZ516" s="20"/>
      <c r="BA516" s="20">
        <f t="shared" ref="BA516:BA579" si="151">Masse_2*(q_2x-AN516)/($BH516^2+Aarseth_2^2)^(3/2)</f>
        <v>-6.921691181956283</v>
      </c>
      <c r="BB516" s="20">
        <f t="shared" ref="BB516:BB579" si="152">Masse_2*(q_2y-AO516)/($BH516^2+Aarseth_2^2)^(3/2)</f>
        <v>-0.33116771184561317</v>
      </c>
      <c r="BC516" s="20"/>
      <c r="BD516" s="20">
        <f t="shared" ref="BD516:BD579" si="153">Masse_3*(q_3x-AN516)/($BI516^2+Aarseth_3^2)^(3/2)</f>
        <v>-22.796573308714006</v>
      </c>
      <c r="BE516" s="20">
        <f t="shared" ref="BE516:BE579" si="154">Masse_3*(q_3y-AO516)/($BI516^2+Aarseth_3^2)^(3/2)</f>
        <v>-5.1179985954256377</v>
      </c>
      <c r="BF516" s="20"/>
      <c r="BG516" s="54">
        <f t="shared" ref="BG516:BG579" si="155">SQRT((q_1x-AN516)^2+(q_1y-AO516)^2)</f>
        <v>121004.41747802992</v>
      </c>
      <c r="BH516" s="54">
        <f t="shared" ref="BH516:BH579" si="156">SQRT((q_2x-AN516)^2+(q_2y-AO516)^2)</f>
        <v>160758.89524633909</v>
      </c>
      <c r="BI516" s="54">
        <f t="shared" ref="BI516:BI579" si="157">SQRT((q_3x-AN516)^2+(q_3y-AO516)^2)</f>
        <v>149198.8653371938</v>
      </c>
      <c r="BJ516" s="20"/>
    </row>
    <row r="517" spans="37:62" x14ac:dyDescent="0.3">
      <c r="AK517">
        <v>513</v>
      </c>
      <c r="AL517">
        <v>256.5</v>
      </c>
      <c r="AN517" s="48">
        <f t="shared" ref="AN517:AN580" si="158">AN516+(AQ516*bt)+(0.5*AT516)*bt^2</f>
        <v>140752.72147662219</v>
      </c>
      <c r="AO517" s="48">
        <f t="shared" ref="AO517:AO580" si="159">AO516+(AR516*bt)+(0.5*AU516)*bt^2</f>
        <v>18238.996818088195</v>
      </c>
      <c r="AP517" s="20"/>
      <c r="AQ517" s="50">
        <f t="shared" ref="AQ517:AQ580" si="160">AQ516+(AT516*bt)</f>
        <v>338.77344784859139</v>
      </c>
      <c r="AR517" s="50">
        <f t="shared" ref="AR517:AR580" si="161">AR516+(AU516*bt)</f>
        <v>1110.4726919615382</v>
      </c>
      <c r="AS517" s="20"/>
      <c r="AT517" s="52">
        <f t="shared" si="147"/>
        <v>-64.720811311466505</v>
      </c>
      <c r="AU517" s="52">
        <f t="shared" si="148"/>
        <v>-8.6522745787241764</v>
      </c>
      <c r="AV517" s="20"/>
      <c r="AW517" s="20"/>
      <c r="AX517" s="20">
        <f t="shared" si="149"/>
        <v>-35.128130364497373</v>
      </c>
      <c r="AY517" s="20">
        <f t="shared" si="150"/>
        <v>-3.1240776654690858</v>
      </c>
      <c r="AZ517" s="20"/>
      <c r="BA517" s="20">
        <f t="shared" si="151"/>
        <v>-6.9029740456575546</v>
      </c>
      <c r="BB517" s="20">
        <f t="shared" si="152"/>
        <v>-0.35379544853173106</v>
      </c>
      <c r="BC517" s="20"/>
      <c r="BD517" s="20">
        <f t="shared" si="153"/>
        <v>-22.689706901311585</v>
      </c>
      <c r="BE517" s="20">
        <f t="shared" si="154"/>
        <v>-5.1744014647233589</v>
      </c>
      <c r="BF517" s="20"/>
      <c r="BG517" s="54">
        <f t="shared" si="155"/>
        <v>121229.31079845996</v>
      </c>
      <c r="BH517" s="54">
        <f t="shared" si="156"/>
        <v>160963.71805692403</v>
      </c>
      <c r="BI517" s="54">
        <f t="shared" si="157"/>
        <v>149494.77157183352</v>
      </c>
      <c r="BJ517" s="20"/>
    </row>
    <row r="518" spans="37:62" x14ac:dyDescent="0.3">
      <c r="AK518">
        <v>514</v>
      </c>
      <c r="AL518">
        <v>257</v>
      </c>
      <c r="AN518" s="48">
        <f t="shared" si="158"/>
        <v>140914.01809913255</v>
      </c>
      <c r="AO518" s="48">
        <f t="shared" si="159"/>
        <v>18793.151629746622</v>
      </c>
      <c r="AP518" s="20"/>
      <c r="AQ518" s="50">
        <f t="shared" si="160"/>
        <v>306.41304219285814</v>
      </c>
      <c r="AR518" s="50">
        <f t="shared" si="161"/>
        <v>1106.1465546721761</v>
      </c>
      <c r="AS518" s="20"/>
      <c r="AT518" s="52">
        <f t="shared" si="147"/>
        <v>-64.466421354665769</v>
      </c>
      <c r="AU518" s="52">
        <f t="shared" si="148"/>
        <v>-8.8757814519598988</v>
      </c>
      <c r="AV518" s="20"/>
      <c r="AW518" s="20"/>
      <c r="AX518" s="20">
        <f t="shared" si="149"/>
        <v>-34.993305005751793</v>
      </c>
      <c r="AY518" s="20">
        <f t="shared" si="150"/>
        <v>-3.2683116951082578</v>
      </c>
      <c r="AZ518" s="20"/>
      <c r="BA518" s="20">
        <f t="shared" si="151"/>
        <v>-6.8854872459905518</v>
      </c>
      <c r="BB518" s="20">
        <f t="shared" si="152"/>
        <v>-0.37625766924409304</v>
      </c>
      <c r="BC518" s="20"/>
      <c r="BD518" s="20">
        <f t="shared" si="153"/>
        <v>-22.587629102923419</v>
      </c>
      <c r="BE518" s="20">
        <f t="shared" si="154"/>
        <v>-5.2312120876075472</v>
      </c>
      <c r="BF518" s="20"/>
      <c r="BG518" s="54">
        <f t="shared" si="155"/>
        <v>121440.25299137762</v>
      </c>
      <c r="BH518" s="54">
        <f t="shared" si="156"/>
        <v>161154.09003929025</v>
      </c>
      <c r="BI518" s="54">
        <f t="shared" si="157"/>
        <v>149776.09213390845</v>
      </c>
      <c r="BJ518" s="20"/>
    </row>
    <row r="519" spans="37:62" x14ac:dyDescent="0.3">
      <c r="AK519">
        <v>515</v>
      </c>
      <c r="AL519">
        <v>257.5</v>
      </c>
      <c r="AN519" s="48">
        <f t="shared" si="158"/>
        <v>141059.16631755966</v>
      </c>
      <c r="AO519" s="48">
        <f t="shared" si="159"/>
        <v>19345.115434401214</v>
      </c>
      <c r="AP519" s="20"/>
      <c r="AQ519" s="50">
        <f t="shared" si="160"/>
        <v>274.17983151552528</v>
      </c>
      <c r="AR519" s="50">
        <f t="shared" si="161"/>
        <v>1101.7086639461961</v>
      </c>
      <c r="AS519" s="20"/>
      <c r="AT519" s="52">
        <f t="shared" si="147"/>
        <v>-64.225925498873778</v>
      </c>
      <c r="AU519" s="52">
        <f t="shared" si="148"/>
        <v>-9.0985766923273879</v>
      </c>
      <c r="AV519" s="20"/>
      <c r="AW519" s="20"/>
      <c r="AX519" s="20">
        <f t="shared" si="149"/>
        <v>-34.866475778492372</v>
      </c>
      <c r="AY519" s="20">
        <f t="shared" si="150"/>
        <v>-3.4115337396561167</v>
      </c>
      <c r="AZ519" s="20"/>
      <c r="BA519" s="20">
        <f t="shared" si="151"/>
        <v>-6.86921455509132</v>
      </c>
      <c r="BB519" s="20">
        <f t="shared" si="152"/>
        <v>-0.39857155869307748</v>
      </c>
      <c r="BC519" s="20"/>
      <c r="BD519" s="20">
        <f t="shared" si="153"/>
        <v>-22.490235165290091</v>
      </c>
      <c r="BE519" s="20">
        <f t="shared" si="154"/>
        <v>-5.2884713939781944</v>
      </c>
      <c r="BF519" s="20"/>
      <c r="BG519" s="54">
        <f t="shared" si="155"/>
        <v>121637.28256236597</v>
      </c>
      <c r="BH519" s="54">
        <f t="shared" si="156"/>
        <v>161330.05373268065</v>
      </c>
      <c r="BI519" s="54">
        <f t="shared" si="157"/>
        <v>150042.88393517002</v>
      </c>
      <c r="BJ519" s="20"/>
    </row>
    <row r="520" spans="37:62" x14ac:dyDescent="0.3">
      <c r="AK520">
        <v>516</v>
      </c>
      <c r="AL520">
        <v>258</v>
      </c>
      <c r="AN520" s="48">
        <f t="shared" si="158"/>
        <v>141188.22799263007</v>
      </c>
      <c r="AO520" s="48">
        <f t="shared" si="159"/>
        <v>19894.832444287771</v>
      </c>
      <c r="AP520" s="20"/>
      <c r="AQ520" s="50">
        <f t="shared" si="160"/>
        <v>242.06686876608839</v>
      </c>
      <c r="AR520" s="50">
        <f t="shared" si="161"/>
        <v>1097.1593756000325</v>
      </c>
      <c r="AS520" s="20"/>
      <c r="AT520" s="52">
        <f t="shared" si="147"/>
        <v>-63.999073096045962</v>
      </c>
      <c r="AU520" s="52">
        <f t="shared" si="148"/>
        <v>-9.3208629947019439</v>
      </c>
      <c r="AV520" s="20"/>
      <c r="AW520" s="20"/>
      <c r="AX520" s="20">
        <f t="shared" si="149"/>
        <v>-34.747505719806888</v>
      </c>
      <c r="AY520" s="20">
        <f t="shared" si="150"/>
        <v>-3.5538890071082583</v>
      </c>
      <c r="AZ520" s="20"/>
      <c r="BA520" s="20">
        <f t="shared" si="151"/>
        <v>-6.8541410227886015</v>
      </c>
      <c r="BB520" s="20">
        <f t="shared" si="152"/>
        <v>-0.42075390873527901</v>
      </c>
      <c r="BC520" s="20"/>
      <c r="BD520" s="20">
        <f t="shared" si="153"/>
        <v>-22.39742635345047</v>
      </c>
      <c r="BE520" s="20">
        <f t="shared" si="154"/>
        <v>-5.3462200788584058</v>
      </c>
      <c r="BF520" s="20"/>
      <c r="BG520" s="54">
        <f t="shared" si="155"/>
        <v>121820.43537648211</v>
      </c>
      <c r="BH520" s="54">
        <f t="shared" si="156"/>
        <v>161491.64855343022</v>
      </c>
      <c r="BI520" s="54">
        <f t="shared" si="157"/>
        <v>150295.20063841064</v>
      </c>
      <c r="BJ520" s="20"/>
    </row>
    <row r="521" spans="37:62" x14ac:dyDescent="0.3">
      <c r="AK521">
        <v>517</v>
      </c>
      <c r="AL521">
        <v>258.5</v>
      </c>
      <c r="AN521" s="48">
        <f t="shared" si="158"/>
        <v>141301.26154287611</v>
      </c>
      <c r="AO521" s="48">
        <f t="shared" si="159"/>
        <v>20442.247024213448</v>
      </c>
      <c r="AP521" s="20"/>
      <c r="AQ521" s="50">
        <f t="shared" si="160"/>
        <v>210.06733221806542</v>
      </c>
      <c r="AR521" s="50">
        <f t="shared" si="161"/>
        <v>1092.4989441026814</v>
      </c>
      <c r="AS521" s="20"/>
      <c r="AT521" s="52">
        <f t="shared" si="147"/>
        <v>-63.785630295931981</v>
      </c>
      <c r="AU521" s="52">
        <f t="shared" si="148"/>
        <v>-9.5428389721992577</v>
      </c>
      <c r="AV521" s="20"/>
      <c r="AW521" s="20"/>
      <c r="AX521" s="20">
        <f t="shared" si="149"/>
        <v>-34.636267668313771</v>
      </c>
      <c r="AY521" s="20">
        <f t="shared" si="150"/>
        <v>-3.6955191269931262</v>
      </c>
      <c r="AZ521" s="20"/>
      <c r="BA521" s="20">
        <f t="shared" si="151"/>
        <v>-6.8402529410020465</v>
      </c>
      <c r="BB521" s="20">
        <f t="shared" si="152"/>
        <v>-0.44282115486777801</v>
      </c>
      <c r="BC521" s="20"/>
      <c r="BD521" s="20">
        <f t="shared" si="153"/>
        <v>-22.309109686616164</v>
      </c>
      <c r="BE521" s="20">
        <f t="shared" si="154"/>
        <v>-5.4044986903383538</v>
      </c>
      <c r="BF521" s="20"/>
      <c r="BG521" s="54">
        <f t="shared" si="155"/>
        <v>121989.7446916297</v>
      </c>
      <c r="BH521" s="54">
        <f t="shared" si="156"/>
        <v>161638.91084215464</v>
      </c>
      <c r="BI521" s="54">
        <f t="shared" si="157"/>
        <v>150533.09271772241</v>
      </c>
      <c r="BJ521" s="20"/>
    </row>
    <row r="522" spans="37:62" x14ac:dyDescent="0.3">
      <c r="AK522">
        <v>518</v>
      </c>
      <c r="AL522">
        <v>259</v>
      </c>
      <c r="AN522" s="48">
        <f t="shared" si="158"/>
        <v>141398.32200519813</v>
      </c>
      <c r="AO522" s="48">
        <f t="shared" si="159"/>
        <v>20987.303641393264</v>
      </c>
      <c r="AP522" s="20"/>
      <c r="AQ522" s="50">
        <f t="shared" si="160"/>
        <v>178.17451707009943</v>
      </c>
      <c r="AR522" s="50">
        <f t="shared" si="161"/>
        <v>1087.7275246165818</v>
      </c>
      <c r="AS522" s="20"/>
      <c r="AT522" s="52">
        <f t="shared" si="147"/>
        <v>-63.585379442610773</v>
      </c>
      <c r="AU522" s="52">
        <f t="shared" si="148"/>
        <v>-9.7646996635118093</v>
      </c>
      <c r="AV522" s="20"/>
      <c r="AW522" s="20"/>
      <c r="AX522" s="20">
        <f t="shared" si="149"/>
        <v>-34.532643933565211</v>
      </c>
      <c r="AY522" s="20">
        <f t="shared" si="150"/>
        <v>-3.8365625371013623</v>
      </c>
      <c r="AZ522" s="20"/>
      <c r="BA522" s="20">
        <f t="shared" si="151"/>
        <v>-6.8275378114223129</v>
      </c>
      <c r="BB522" s="20">
        <f t="shared" si="152"/>
        <v>-0.46478941122308903</v>
      </c>
      <c r="BC522" s="20"/>
      <c r="BD522" s="20">
        <f t="shared" si="153"/>
        <v>-22.225197697623251</v>
      </c>
      <c r="BE522" s="20">
        <f t="shared" si="154"/>
        <v>-5.463347715187358</v>
      </c>
      <c r="BF522" s="20"/>
      <c r="BG522" s="54">
        <f t="shared" si="155"/>
        <v>122145.24118930263</v>
      </c>
      <c r="BH522" s="54">
        <f t="shared" si="156"/>
        <v>161771.87390706025</v>
      </c>
      <c r="BI522" s="54">
        <f t="shared" si="157"/>
        <v>150756.6075146145</v>
      </c>
      <c r="BJ522" s="20"/>
    </row>
    <row r="523" spans="37:62" x14ac:dyDescent="0.3">
      <c r="AK523">
        <v>519</v>
      </c>
      <c r="AL523">
        <v>259.5</v>
      </c>
      <c r="AN523" s="48">
        <f t="shared" si="158"/>
        <v>141479.46109130286</v>
      </c>
      <c r="AO523" s="48">
        <f t="shared" si="159"/>
        <v>21529.946816243617</v>
      </c>
      <c r="AP523" s="20"/>
      <c r="AQ523" s="50">
        <f t="shared" si="160"/>
        <v>146.38182734879405</v>
      </c>
      <c r="AR523" s="50">
        <f t="shared" si="161"/>
        <v>1082.845174784826</v>
      </c>
      <c r="AS523" s="20"/>
      <c r="AT523" s="52">
        <f t="shared" si="147"/>
        <v>-63.398118519441084</v>
      </c>
      <c r="AU523" s="52">
        <f t="shared" si="148"/>
        <v>-9.9866370197611758</v>
      </c>
      <c r="AV523" s="20"/>
      <c r="AW523" s="20"/>
      <c r="AX523" s="20">
        <f t="shared" si="149"/>
        <v>-34.43652599334871</v>
      </c>
      <c r="AY523" s="20">
        <f t="shared" si="150"/>
        <v>-3.9771548530310623</v>
      </c>
      <c r="AZ523" s="20"/>
      <c r="BA523" s="20">
        <f t="shared" si="151"/>
        <v>-6.8159843163286524</v>
      </c>
      <c r="BB523" s="20">
        <f t="shared" si="152"/>
        <v>-0.48667450421564878</v>
      </c>
      <c r="BC523" s="20"/>
      <c r="BD523" s="20">
        <f t="shared" si="153"/>
        <v>-22.145608209763722</v>
      </c>
      <c r="BE523" s="20">
        <f t="shared" si="154"/>
        <v>-5.5228076625144649</v>
      </c>
      <c r="BF523" s="20"/>
      <c r="BG523" s="54">
        <f t="shared" si="155"/>
        <v>122286.9530027631</v>
      </c>
      <c r="BH523" s="54">
        <f t="shared" si="156"/>
        <v>161890.56806350086</v>
      </c>
      <c r="BI523" s="54">
        <f t="shared" si="157"/>
        <v>150965.78929014379</v>
      </c>
      <c r="BJ523" s="20"/>
    </row>
    <row r="524" spans="37:62" x14ac:dyDescent="0.3">
      <c r="AK524">
        <v>520</v>
      </c>
      <c r="AL524">
        <v>260</v>
      </c>
      <c r="AN524" s="48">
        <f t="shared" si="158"/>
        <v>141544.72724016232</v>
      </c>
      <c r="AO524" s="48">
        <f t="shared" si="159"/>
        <v>22070.121074008559</v>
      </c>
      <c r="AP524" s="20"/>
      <c r="AQ524" s="50">
        <f t="shared" si="160"/>
        <v>114.68276808907351</v>
      </c>
      <c r="AR524" s="50">
        <f t="shared" si="161"/>
        <v>1077.8518562749455</v>
      </c>
      <c r="AS524" s="20"/>
      <c r="AT524" s="52">
        <f t="shared" si="147"/>
        <v>-63.223660639794602</v>
      </c>
      <c r="AU524" s="52">
        <f t="shared" si="148"/>
        <v>-10.208840373295164</v>
      </c>
      <c r="AV524" s="20"/>
      <c r="AW524" s="20"/>
      <c r="AX524" s="20">
        <f t="shared" si="149"/>
        <v>-34.347814217470557</v>
      </c>
      <c r="AY524" s="20">
        <f t="shared" si="150"/>
        <v>-4.1174292224725404</v>
      </c>
      <c r="AZ524" s="20"/>
      <c r="BA524" s="20">
        <f t="shared" si="151"/>
        <v>-6.8055822924128542</v>
      </c>
      <c r="BB524" s="20">
        <f t="shared" si="152"/>
        <v>-0.50849200498157554</v>
      </c>
      <c r="BC524" s="20"/>
      <c r="BD524" s="20">
        <f t="shared" si="153"/>
        <v>-22.070264129911198</v>
      </c>
      <c r="BE524" s="20">
        <f t="shared" si="154"/>
        <v>-5.5829191458410472</v>
      </c>
      <c r="BF524" s="20"/>
      <c r="BG524" s="54">
        <f t="shared" si="155"/>
        <v>122414.90574271062</v>
      </c>
      <c r="BH524" s="54">
        <f t="shared" si="156"/>
        <v>161995.02066989488</v>
      </c>
      <c r="BI524" s="54">
        <f t="shared" si="157"/>
        <v>151160.67927319996</v>
      </c>
      <c r="BJ524" s="20"/>
    </row>
    <row r="525" spans="37:62" x14ac:dyDescent="0.3">
      <c r="AK525">
        <v>521</v>
      </c>
      <c r="AL525">
        <v>260.5</v>
      </c>
      <c r="AN525" s="48">
        <f t="shared" si="158"/>
        <v>141594.16566662688</v>
      </c>
      <c r="AO525" s="48">
        <f t="shared" si="159"/>
        <v>22607.77089709937</v>
      </c>
      <c r="AP525" s="20"/>
      <c r="AQ525" s="50">
        <f t="shared" si="160"/>
        <v>83.070937769176197</v>
      </c>
      <c r="AR525" s="50">
        <f t="shared" si="161"/>
        <v>1072.7474360882979</v>
      </c>
      <c r="AS525" s="20"/>
      <c r="AT525" s="52">
        <f t="shared" si="147"/>
        <v>-63.061833581185091</v>
      </c>
      <c r="AU525" s="52">
        <f t="shared" si="148"/>
        <v>-10.431496890710072</v>
      </c>
      <c r="AV525" s="20"/>
      <c r="AW525" s="20"/>
      <c r="AX525" s="20">
        <f t="shared" si="149"/>
        <v>-34.266417616750012</v>
      </c>
      <c r="AY525" s="20">
        <f t="shared" si="150"/>
        <v>-4.2575166660342125</v>
      </c>
      <c r="AZ525" s="20"/>
      <c r="BA525" s="20">
        <f t="shared" si="151"/>
        <v>-6.7963227074943307</v>
      </c>
      <c r="BB525" s="20">
        <f t="shared" si="152"/>
        <v>-0.53025726074551549</v>
      </c>
      <c r="BC525" s="20"/>
      <c r="BD525" s="20">
        <f t="shared" si="153"/>
        <v>-21.999093256940746</v>
      </c>
      <c r="BE525" s="20">
        <f t="shared" si="154"/>
        <v>-5.643722963930343</v>
      </c>
      <c r="BF525" s="20"/>
      <c r="BG525" s="54">
        <f t="shared" si="155"/>
        <v>122529.12252049448</v>
      </c>
      <c r="BH525" s="54">
        <f t="shared" si="156"/>
        <v>162085.25616010546</v>
      </c>
      <c r="BI525" s="54">
        <f t="shared" si="157"/>
        <v>151341.31570507493</v>
      </c>
      <c r="BJ525" s="20"/>
    </row>
    <row r="526" spans="37:62" x14ac:dyDescent="0.3">
      <c r="AK526">
        <v>522</v>
      </c>
      <c r="AL526">
        <v>261</v>
      </c>
      <c r="AN526" s="48">
        <f t="shared" si="158"/>
        <v>141627.81840631383</v>
      </c>
      <c r="AO526" s="48">
        <f t="shared" si="159"/>
        <v>23142.840678032182</v>
      </c>
      <c r="AP526" s="20"/>
      <c r="AQ526" s="50">
        <f t="shared" si="160"/>
        <v>51.540020978583655</v>
      </c>
      <c r="AR526" s="50">
        <f t="shared" si="161"/>
        <v>1067.5316876429429</v>
      </c>
      <c r="AS526" s="20"/>
      <c r="AT526" s="52">
        <f t="shared" si="147"/>
        <v>-62.912479360638187</v>
      </c>
      <c r="AU526" s="52">
        <f t="shared" si="148"/>
        <v>-10.654792012251544</v>
      </c>
      <c r="AV526" s="20"/>
      <c r="AW526" s="20"/>
      <c r="AX526" s="20">
        <f t="shared" si="149"/>
        <v>-34.192253616074424</v>
      </c>
      <c r="AY526" s="20">
        <f t="shared" si="150"/>
        <v>-4.397546406302693</v>
      </c>
      <c r="AZ526" s="20"/>
      <c r="BA526" s="20">
        <f t="shared" si="151"/>
        <v>-6.7881976400248139</v>
      </c>
      <c r="BB526" s="20">
        <f t="shared" si="152"/>
        <v>-0.55198542524134597</v>
      </c>
      <c r="BC526" s="20"/>
      <c r="BD526" s="20">
        <f t="shared" si="153"/>
        <v>-21.932028104538947</v>
      </c>
      <c r="BE526" s="20">
        <f t="shared" si="154"/>
        <v>-5.7052601807075041</v>
      </c>
      <c r="BF526" s="20"/>
      <c r="BG526" s="54">
        <f t="shared" si="155"/>
        <v>122629.62396891524</v>
      </c>
      <c r="BH526" s="54">
        <f t="shared" si="156"/>
        <v>162161.29607237512</v>
      </c>
      <c r="BI526" s="54">
        <f t="shared" si="157"/>
        <v>151507.73388043494</v>
      </c>
      <c r="BJ526" s="20"/>
    </row>
    <row r="527" spans="37:62" x14ac:dyDescent="0.3">
      <c r="AK527">
        <v>523</v>
      </c>
      <c r="AL527">
        <v>261.5</v>
      </c>
      <c r="AN527" s="48">
        <f t="shared" si="158"/>
        <v>141645.72435688306</v>
      </c>
      <c r="AO527" s="48">
        <f t="shared" si="159"/>
        <v>23675.274672852123</v>
      </c>
      <c r="AP527" s="20"/>
      <c r="AQ527" s="50">
        <f t="shared" si="160"/>
        <v>20.083781298264562</v>
      </c>
      <c r="AR527" s="50">
        <f t="shared" si="161"/>
        <v>1062.2042916368171</v>
      </c>
      <c r="AS527" s="20"/>
      <c r="AT527" s="52">
        <f t="shared" si="147"/>
        <v>-62.775453849356438</v>
      </c>
      <c r="AU527" s="52">
        <f t="shared" si="148"/>
        <v>-10.878909879634801</v>
      </c>
      <c r="AV527" s="20"/>
      <c r="AW527" s="20"/>
      <c r="AX527" s="20">
        <f t="shared" si="149"/>
        <v>-34.125247850488201</v>
      </c>
      <c r="AY527" s="20">
        <f t="shared" si="150"/>
        <v>-4.5376461867364455</v>
      </c>
      <c r="AZ527" s="20"/>
      <c r="BA527" s="20">
        <f t="shared" si="151"/>
        <v>-6.7812002612933444</v>
      </c>
      <c r="BB527" s="20">
        <f t="shared" si="152"/>
        <v>-0.57369148830724581</v>
      </c>
      <c r="BC527" s="20"/>
      <c r="BD527" s="20">
        <f t="shared" si="153"/>
        <v>-21.869005737574895</v>
      </c>
      <c r="BE527" s="20">
        <f t="shared" si="154"/>
        <v>-5.7675722045911089</v>
      </c>
      <c r="BF527" s="20"/>
      <c r="BG527" s="54">
        <f t="shared" si="155"/>
        <v>122716.42826065703</v>
      </c>
      <c r="BH527" s="54">
        <f t="shared" si="156"/>
        <v>162223.15907489709</v>
      </c>
      <c r="BI527" s="54">
        <f t="shared" si="157"/>
        <v>151659.96618480264</v>
      </c>
      <c r="BJ527" s="20"/>
    </row>
    <row r="528" spans="37:62" x14ac:dyDescent="0.3">
      <c r="AK528">
        <v>524</v>
      </c>
      <c r="AL528">
        <v>262</v>
      </c>
      <c r="AN528" s="48">
        <f t="shared" si="158"/>
        <v>141647.919315801</v>
      </c>
      <c r="AO528" s="48">
        <f t="shared" si="159"/>
        <v>24205.016954935578</v>
      </c>
      <c r="AP528" s="20"/>
      <c r="AQ528" s="50">
        <f t="shared" si="160"/>
        <v>-11.303945626413658</v>
      </c>
      <c r="AR528" s="50">
        <f t="shared" si="161"/>
        <v>1056.7648366969997</v>
      </c>
      <c r="AS528" s="20"/>
      <c r="AT528" s="52">
        <f t="shared" si="147"/>
        <v>-62.650626424942288</v>
      </c>
      <c r="AU528" s="52">
        <f t="shared" si="148"/>
        <v>-11.104033754230734</v>
      </c>
      <c r="AV528" s="20"/>
      <c r="AW528" s="20"/>
      <c r="AX528" s="20">
        <f t="shared" si="149"/>
        <v>-34.065333983408493</v>
      </c>
      <c r="AY528" s="20">
        <f t="shared" si="150"/>
        <v>-4.67794258191201</v>
      </c>
      <c r="AZ528" s="20"/>
      <c r="BA528" s="20">
        <f t="shared" si="151"/>
        <v>-6.7753248202556593</v>
      </c>
      <c r="BB528" s="20">
        <f t="shared" si="152"/>
        <v>-0.59539030477034871</v>
      </c>
      <c r="BC528" s="20"/>
      <c r="BD528" s="20">
        <f t="shared" si="153"/>
        <v>-21.809967621278133</v>
      </c>
      <c r="BE528" s="20">
        <f t="shared" si="154"/>
        <v>-5.8307008675483765</v>
      </c>
      <c r="BF528" s="20"/>
      <c r="BG528" s="54">
        <f t="shared" si="155"/>
        <v>122789.55112438646</v>
      </c>
      <c r="BH528" s="54">
        <f t="shared" si="156"/>
        <v>162270.8609880952</v>
      </c>
      <c r="BI528" s="54">
        <f t="shared" si="157"/>
        <v>151798.04212864692</v>
      </c>
      <c r="BJ528" s="20"/>
    </row>
    <row r="529" spans="37:62" x14ac:dyDescent="0.3">
      <c r="AK529">
        <v>525</v>
      </c>
      <c r="AL529">
        <v>262.5</v>
      </c>
      <c r="AN529" s="48">
        <f t="shared" si="158"/>
        <v>141634.43601468467</v>
      </c>
      <c r="AO529" s="48">
        <f t="shared" si="159"/>
        <v>24732.0113690648</v>
      </c>
      <c r="AP529" s="20"/>
      <c r="AQ529" s="50">
        <f t="shared" si="160"/>
        <v>-42.629258838884802</v>
      </c>
      <c r="AR529" s="50">
        <f t="shared" si="161"/>
        <v>1051.2128198198843</v>
      </c>
      <c r="AS529" s="20"/>
      <c r="AT529" s="52">
        <f t="shared" si="147"/>
        <v>-62.537879659617076</v>
      </c>
      <c r="AU529" s="52">
        <f t="shared" si="148"/>
        <v>-11.330346427482315</v>
      </c>
      <c r="AV529" s="20"/>
      <c r="AW529" s="20"/>
      <c r="AX529" s="20">
        <f t="shared" si="149"/>
        <v>-34.012453546154596</v>
      </c>
      <c r="AY529" s="20">
        <f t="shared" si="150"/>
        <v>-4.8185613005708792</v>
      </c>
      <c r="AZ529" s="20"/>
      <c r="BA529" s="20">
        <f t="shared" si="151"/>
        <v>-6.7705666309226702</v>
      </c>
      <c r="BB529" s="20">
        <f t="shared" si="152"/>
        <v>-0.61709662273144361</v>
      </c>
      <c r="BC529" s="20"/>
      <c r="BD529" s="20">
        <f t="shared" si="153"/>
        <v>-21.754859482539803</v>
      </c>
      <c r="BE529" s="20">
        <f t="shared" si="154"/>
        <v>-5.8946885041799932</v>
      </c>
      <c r="BF529" s="20"/>
      <c r="BG529" s="54">
        <f t="shared" si="155"/>
        <v>122849.00585854978</v>
      </c>
      <c r="BH529" s="54">
        <f t="shared" si="156"/>
        <v>162304.41480367517</v>
      </c>
      <c r="BI529" s="54">
        <f t="shared" si="157"/>
        <v>151921.98837816779</v>
      </c>
      <c r="BJ529" s="20"/>
    </row>
    <row r="530" spans="37:62" x14ac:dyDescent="0.3">
      <c r="AK530">
        <v>526</v>
      </c>
      <c r="AL530">
        <v>263</v>
      </c>
      <c r="AN530" s="48">
        <f t="shared" si="158"/>
        <v>141605.30415030778</v>
      </c>
      <c r="AO530" s="48">
        <f t="shared" si="159"/>
        <v>25256.201485671307</v>
      </c>
      <c r="AP530" s="20"/>
      <c r="AQ530" s="50">
        <f t="shared" si="160"/>
        <v>-73.89819866869334</v>
      </c>
      <c r="AR530" s="50">
        <f t="shared" si="161"/>
        <v>1045.5476466061432</v>
      </c>
      <c r="AS530" s="20"/>
      <c r="AT530" s="52">
        <f t="shared" ref="AT530:AT593" si="162">AX530+BA530+BD530</f>
        <v>-62.437109043061589</v>
      </c>
      <c r="AU530" s="52">
        <f t="shared" ref="AU530:AU593" si="163">AY530+BB530+BE530</f>
        <v>-11.558030625349559</v>
      </c>
      <c r="AV530" s="20"/>
      <c r="AW530" s="20"/>
      <c r="AX530" s="20">
        <f t="shared" si="149"/>
        <v>-33.966555798092912</v>
      </c>
      <c r="AY530" s="20">
        <f t="shared" si="150"/>
        <v>-4.9596274828585116</v>
      </c>
      <c r="AZ530" s="20"/>
      <c r="BA530" s="20">
        <f t="shared" si="151"/>
        <v>-6.7669220622559578</v>
      </c>
      <c r="BB530" s="20">
        <f t="shared" si="152"/>
        <v>-0.63882511135643727</v>
      </c>
      <c r="BC530" s="20"/>
      <c r="BD530" s="20">
        <f t="shared" si="153"/>
        <v>-21.703631182712719</v>
      </c>
      <c r="BE530" s="20">
        <f t="shared" si="154"/>
        <v>-5.95957803113461</v>
      </c>
      <c r="BF530" s="20"/>
      <c r="BG530" s="54">
        <f t="shared" si="155"/>
        <v>122894.80334289411</v>
      </c>
      <c r="BH530" s="54">
        <f t="shared" si="156"/>
        <v>162323.83070050093</v>
      </c>
      <c r="BI530" s="54">
        <f t="shared" si="157"/>
        <v>152031.8287828546</v>
      </c>
      <c r="BJ530" s="20"/>
    </row>
    <row r="531" spans="37:62" x14ac:dyDescent="0.3">
      <c r="AK531">
        <v>527</v>
      </c>
      <c r="AL531">
        <v>263.5</v>
      </c>
      <c r="AN531" s="48">
        <f t="shared" si="158"/>
        <v>141560.55041234306</v>
      </c>
      <c r="AO531" s="48">
        <f t="shared" si="159"/>
        <v>25777.530555146212</v>
      </c>
      <c r="AP531" s="20"/>
      <c r="AQ531" s="50">
        <f t="shared" si="160"/>
        <v>-105.11675319022413</v>
      </c>
      <c r="AR531" s="50">
        <f t="shared" si="161"/>
        <v>1039.7686312934684</v>
      </c>
      <c r="AS531" s="20"/>
      <c r="AT531" s="52">
        <f t="shared" si="162"/>
        <v>-62.348222738659743</v>
      </c>
      <c r="AU531" s="52">
        <f t="shared" si="163"/>
        <v>-11.787269408526383</v>
      </c>
      <c r="AV531" s="20"/>
      <c r="AW531" s="20"/>
      <c r="AX531" s="20">
        <f t="shared" si="149"/>
        <v>-33.927597606785348</v>
      </c>
      <c r="AY531" s="20">
        <f t="shared" si="150"/>
        <v>-5.1012659930977033</v>
      </c>
      <c r="AZ531" s="20"/>
      <c r="BA531" s="20">
        <f t="shared" si="151"/>
        <v>-6.7643885305265785</v>
      </c>
      <c r="BB531" s="20">
        <f t="shared" si="152"/>
        <v>-0.66059038827779315</v>
      </c>
      <c r="BC531" s="20"/>
      <c r="BD531" s="20">
        <f t="shared" si="153"/>
        <v>-21.65623660134781</v>
      </c>
      <c r="BE531" s="20">
        <f t="shared" si="154"/>
        <v>-6.0254130271508863</v>
      </c>
      <c r="BF531" s="20"/>
      <c r="BG531" s="54">
        <f t="shared" si="155"/>
        <v>122926.95204773484</v>
      </c>
      <c r="BH531" s="54">
        <f t="shared" si="156"/>
        <v>162329.11605734139</v>
      </c>
      <c r="BI531" s="54">
        <f t="shared" si="157"/>
        <v>152127.5843998873</v>
      </c>
      <c r="BJ531" s="20"/>
    </row>
    <row r="532" spans="37:62" x14ac:dyDescent="0.3">
      <c r="AK532">
        <v>528</v>
      </c>
      <c r="AL532">
        <v>264</v>
      </c>
      <c r="AN532" s="48">
        <f t="shared" si="158"/>
        <v>141500.19850790562</v>
      </c>
      <c r="AO532" s="48">
        <f t="shared" si="159"/>
        <v>26295.94146211688</v>
      </c>
      <c r="AP532" s="20"/>
      <c r="AQ532" s="50">
        <f t="shared" si="160"/>
        <v>-136.290864559554</v>
      </c>
      <c r="AR532" s="50">
        <f t="shared" si="161"/>
        <v>1033.8749965892052</v>
      </c>
      <c r="AS532" s="20"/>
      <c r="AT532" s="52">
        <f t="shared" si="162"/>
        <v>-62.271141372095627</v>
      </c>
      <c r="AU532" s="52">
        <f t="shared" si="163"/>
        <v>-12.018246570132092</v>
      </c>
      <c r="AV532" s="20"/>
      <c r="AW532" s="20"/>
      <c r="AX532" s="20">
        <f t="shared" si="149"/>
        <v>-33.895543347632234</v>
      </c>
      <c r="AY532" s="20">
        <f t="shared" si="150"/>
        <v>-5.2436017094020366</v>
      </c>
      <c r="AZ532" s="20"/>
      <c r="BA532" s="20">
        <f t="shared" si="151"/>
        <v>-6.7629644941072726</v>
      </c>
      <c r="BB532" s="20">
        <f t="shared" si="152"/>
        <v>-0.68240704670683217</v>
      </c>
      <c r="BC532" s="20"/>
      <c r="BD532" s="20">
        <f t="shared" si="153"/>
        <v>-21.612633530356124</v>
      </c>
      <c r="BE532" s="20">
        <f t="shared" si="154"/>
        <v>-6.092237814023223</v>
      </c>
      <c r="BF532" s="20"/>
      <c r="BG532" s="54">
        <f t="shared" si="155"/>
        <v>122945.45804098577</v>
      </c>
      <c r="BH532" s="54">
        <f t="shared" si="156"/>
        <v>162320.27546252398</v>
      </c>
      <c r="BI532" s="54">
        <f t="shared" si="157"/>
        <v>152209.27351544102</v>
      </c>
      <c r="BJ532" s="20"/>
    </row>
    <row r="533" spans="37:62" x14ac:dyDescent="0.3">
      <c r="AK533">
        <v>529</v>
      </c>
      <c r="AL533">
        <v>264.5</v>
      </c>
      <c r="AN533" s="48">
        <f t="shared" si="158"/>
        <v>141424.26918295433</v>
      </c>
      <c r="AO533" s="48">
        <f t="shared" si="159"/>
        <v>26811.376679590216</v>
      </c>
      <c r="AP533" s="20"/>
      <c r="AQ533" s="50">
        <f t="shared" si="160"/>
        <v>-167.42643524560179</v>
      </c>
      <c r="AR533" s="50">
        <f t="shared" si="161"/>
        <v>1027.8658733041391</v>
      </c>
      <c r="AS533" s="20"/>
      <c r="AT533" s="52">
        <f t="shared" si="162"/>
        <v>-62.20579785139391</v>
      </c>
      <c r="AU533" s="52">
        <f t="shared" si="163"/>
        <v>-12.2511470325496</v>
      </c>
      <c r="AV533" s="20"/>
      <c r="AW533" s="20"/>
      <c r="AX533" s="20">
        <f t="shared" si="149"/>
        <v>-33.870364822575574</v>
      </c>
      <c r="AY533" s="20">
        <f t="shared" si="150"/>
        <v>-5.3867598114044872</v>
      </c>
      <c r="AZ533" s="20"/>
      <c r="BA533" s="20">
        <f t="shared" si="151"/>
        <v>-6.762649450676312</v>
      </c>
      <c r="BB533" s="20">
        <f t="shared" si="152"/>
        <v>-0.70428968235557254</v>
      </c>
      <c r="BC533" s="20"/>
      <c r="BD533" s="20">
        <f t="shared" si="153"/>
        <v>-21.572783578142023</v>
      </c>
      <c r="BE533" s="20">
        <f t="shared" si="154"/>
        <v>-6.1600975387895405</v>
      </c>
      <c r="BF533" s="20"/>
      <c r="BG533" s="54">
        <f t="shared" si="155"/>
        <v>122950.32499296444</v>
      </c>
      <c r="BH533" s="54">
        <f t="shared" si="156"/>
        <v>162297.31072052295</v>
      </c>
      <c r="BI533" s="54">
        <f t="shared" si="157"/>
        <v>152276.91166294663</v>
      </c>
      <c r="BJ533" s="20"/>
    </row>
    <row r="534" spans="37:62" x14ac:dyDescent="0.3">
      <c r="AK534">
        <v>530</v>
      </c>
      <c r="AL534">
        <v>265</v>
      </c>
      <c r="AN534" s="48">
        <f t="shared" si="158"/>
        <v>141332.78024060011</v>
      </c>
      <c r="AO534" s="48">
        <f t="shared" si="159"/>
        <v>27323.778222863217</v>
      </c>
      <c r="AP534" s="20"/>
      <c r="AQ534" s="50">
        <f t="shared" si="160"/>
        <v>-198.52933417129876</v>
      </c>
      <c r="AR534" s="50">
        <f t="shared" si="161"/>
        <v>1021.7402997878643</v>
      </c>
      <c r="AS534" s="20"/>
      <c r="AT534" s="52">
        <f t="shared" si="162"/>
        <v>-62.152137217644167</v>
      </c>
      <c r="AU534" s="52">
        <f t="shared" si="163"/>
        <v>-12.486157245063946</v>
      </c>
      <c r="AV534" s="20"/>
      <c r="AW534" s="20"/>
      <c r="AX534" s="20">
        <f t="shared" si="149"/>
        <v>-33.85204119753157</v>
      </c>
      <c r="AY534" s="20">
        <f t="shared" si="150"/>
        <v>-5.5308660673592724</v>
      </c>
      <c r="AZ534" s="20"/>
      <c r="BA534" s="20">
        <f t="shared" si="151"/>
        <v>-6.7634439368222159</v>
      </c>
      <c r="BB534" s="20">
        <f t="shared" si="152"/>
        <v>-0.72625292026543165</v>
      </c>
      <c r="BC534" s="20"/>
      <c r="BD534" s="20">
        <f t="shared" si="153"/>
        <v>-21.536652083290384</v>
      </c>
      <c r="BE534" s="20">
        <f t="shared" si="154"/>
        <v>-6.2290382574392424</v>
      </c>
      <c r="BF534" s="20"/>
      <c r="BG534" s="54">
        <f t="shared" si="155"/>
        <v>122941.5541789798</v>
      </c>
      <c r="BH534" s="54">
        <f t="shared" si="156"/>
        <v>162260.22085550334</v>
      </c>
      <c r="BI534" s="54">
        <f t="shared" si="157"/>
        <v>152330.51163835128</v>
      </c>
      <c r="BJ534" s="20"/>
    </row>
    <row r="535" spans="37:62" x14ac:dyDescent="0.3">
      <c r="AK535">
        <v>531</v>
      </c>
      <c r="AL535">
        <v>265.5</v>
      </c>
      <c r="AN535" s="48">
        <f t="shared" si="158"/>
        <v>141225.74655636225</v>
      </c>
      <c r="AO535" s="48">
        <f t="shared" si="159"/>
        <v>27833.087603101518</v>
      </c>
      <c r="AP535" s="20"/>
      <c r="AQ535" s="50">
        <f t="shared" si="160"/>
        <v>-229.60540278012084</v>
      </c>
      <c r="AR535" s="50">
        <f t="shared" si="161"/>
        <v>1015.4972211653323</v>
      </c>
      <c r="AS535" s="20"/>
      <c r="AT535" s="52">
        <f t="shared" si="162"/>
        <v>-62.110116525791128</v>
      </c>
      <c r="AU535" s="52">
        <f t="shared" si="163"/>
        <v>-12.723465583949574</v>
      </c>
      <c r="AV535" s="20"/>
      <c r="AW535" s="20"/>
      <c r="AX535" s="20">
        <f t="shared" si="149"/>
        <v>-33.840558958291503</v>
      </c>
      <c r="AY535" s="20">
        <f t="shared" si="150"/>
        <v>-5.6760471218624193</v>
      </c>
      <c r="AZ535" s="20"/>
      <c r="BA535" s="20">
        <f t="shared" si="151"/>
        <v>-6.7653495300502726</v>
      </c>
      <c r="BB535" s="20">
        <f t="shared" si="152"/>
        <v>-0.74831144163945107</v>
      </c>
      <c r="BC535" s="20"/>
      <c r="BD535" s="20">
        <f t="shared" si="153"/>
        <v>-21.504208037449356</v>
      </c>
      <c r="BE535" s="20">
        <f t="shared" si="154"/>
        <v>-6.2991070204477033</v>
      </c>
      <c r="BF535" s="20"/>
      <c r="BG535" s="54">
        <f t="shared" si="155"/>
        <v>122919.14447970575</v>
      </c>
      <c r="BH535" s="54">
        <f t="shared" si="156"/>
        <v>162209.0021118318</v>
      </c>
      <c r="BI535" s="54">
        <f t="shared" si="157"/>
        <v>152370.08351241544</v>
      </c>
      <c r="BJ535" s="20"/>
    </row>
    <row r="536" spans="37:62" x14ac:dyDescent="0.3">
      <c r="AK536">
        <v>532</v>
      </c>
      <c r="AL536">
        <v>266</v>
      </c>
      <c r="AN536" s="48">
        <f t="shared" si="158"/>
        <v>141103.18009040647</v>
      </c>
      <c r="AO536" s="48">
        <f t="shared" si="159"/>
        <v>28339.245780486188</v>
      </c>
      <c r="AP536" s="20"/>
      <c r="AQ536" s="50">
        <f t="shared" si="160"/>
        <v>-260.66046104301643</v>
      </c>
      <c r="AR536" s="50">
        <f t="shared" si="161"/>
        <v>1009.1354883733576</v>
      </c>
      <c r="AS536" s="20"/>
      <c r="AT536" s="52">
        <f t="shared" si="162"/>
        <v>-62.079704754999817</v>
      </c>
      <c r="AU536" s="52">
        <f t="shared" si="163"/>
        <v>-12.963262756656409</v>
      </c>
      <c r="AV536" s="20"/>
      <c r="AW536" s="20"/>
      <c r="AX536" s="20">
        <f t="shared" si="149"/>
        <v>-33.835911884720872</v>
      </c>
      <c r="AY536" s="20">
        <f t="shared" si="150"/>
        <v>-5.8224307854359099</v>
      </c>
      <c r="AZ536" s="20"/>
      <c r="BA536" s="20">
        <f t="shared" si="151"/>
        <v>-6.7683688531995649</v>
      </c>
      <c r="BB536" s="20">
        <f t="shared" si="152"/>
        <v>-0.77048001077419992</v>
      </c>
      <c r="BC536" s="20"/>
      <c r="BD536" s="20">
        <f t="shared" si="153"/>
        <v>-21.475424017079384</v>
      </c>
      <c r="BE536" s="20">
        <f t="shared" si="154"/>
        <v>-6.3703519604462979</v>
      </c>
      <c r="BF536" s="20"/>
      <c r="BG536" s="54">
        <f t="shared" si="155"/>
        <v>122883.09237933806</v>
      </c>
      <c r="BH536" s="54">
        <f t="shared" si="156"/>
        <v>162143.64795155876</v>
      </c>
      <c r="BI536" s="54">
        <f t="shared" si="157"/>
        <v>152395.63464007468</v>
      </c>
      <c r="BJ536" s="20"/>
    </row>
    <row r="537" spans="37:62" x14ac:dyDescent="0.3">
      <c r="AK537">
        <v>533</v>
      </c>
      <c r="AL537">
        <v>266.5</v>
      </c>
      <c r="AN537" s="48">
        <f t="shared" si="158"/>
        <v>140965.0898967906</v>
      </c>
      <c r="AO537" s="48">
        <f t="shared" si="159"/>
        <v>28842.193116828286</v>
      </c>
      <c r="AP537" s="20"/>
      <c r="AQ537" s="50">
        <f t="shared" si="160"/>
        <v>-291.70031342051635</v>
      </c>
      <c r="AR537" s="50">
        <f t="shared" si="161"/>
        <v>1002.6538569950294</v>
      </c>
      <c r="AS537" s="20"/>
      <c r="AT537" s="52">
        <f t="shared" si="162"/>
        <v>-62.060882748243543</v>
      </c>
      <c r="AU537" s="52">
        <f t="shared" si="163"/>
        <v>-13.205742211762129</v>
      </c>
      <c r="AV537" s="20"/>
      <c r="AW537" s="20"/>
      <c r="AX537" s="20">
        <f t="shared" si="149"/>
        <v>-33.838101043162851</v>
      </c>
      <c r="AY537" s="20">
        <f t="shared" si="150"/>
        <v>-5.9701463272263551</v>
      </c>
      <c r="AZ537" s="20"/>
      <c r="BA537" s="20">
        <f t="shared" si="151"/>
        <v>-6.7725055812920809</v>
      </c>
      <c r="BB537" s="20">
        <f t="shared" si="152"/>
        <v>-0.79277350218811082</v>
      </c>
      <c r="BC537" s="20"/>
      <c r="BD537" s="20">
        <f t="shared" si="153"/>
        <v>-21.450276123788608</v>
      </c>
      <c r="BE537" s="20">
        <f t="shared" si="154"/>
        <v>-6.4428223823476625</v>
      </c>
      <c r="BF537" s="20"/>
      <c r="BG537" s="54">
        <f t="shared" si="155"/>
        <v>122833.39196152902</v>
      </c>
      <c r="BH537" s="54">
        <f t="shared" si="156"/>
        <v>162064.14904886807</v>
      </c>
      <c r="BI537" s="54">
        <f t="shared" si="157"/>
        <v>152407.16966688746</v>
      </c>
      <c r="BJ537" s="20"/>
    </row>
    <row r="538" spans="37:62" x14ac:dyDescent="0.3">
      <c r="AK538">
        <v>534</v>
      </c>
      <c r="AL538">
        <v>267</v>
      </c>
      <c r="AN538" s="48">
        <f t="shared" si="158"/>
        <v>140811.4821297368</v>
      </c>
      <c r="AO538" s="48">
        <f t="shared" si="159"/>
        <v>29341.869327549332</v>
      </c>
      <c r="AP538" s="20"/>
      <c r="AQ538" s="50">
        <f t="shared" si="160"/>
        <v>-322.73075479463813</v>
      </c>
      <c r="AR538" s="50">
        <f t="shared" si="161"/>
        <v>996.05098588914836</v>
      </c>
      <c r="AS538" s="20"/>
      <c r="AT538" s="52">
        <f t="shared" si="162"/>
        <v>-62.053643180891214</v>
      </c>
      <c r="AU538" s="52">
        <f t="shared" si="163"/>
        <v>-13.451100556383629</v>
      </c>
      <c r="AV538" s="20"/>
      <c r="AW538" s="20"/>
      <c r="AX538" s="20">
        <f t="shared" si="149"/>
        <v>-33.847134797040084</v>
      </c>
      <c r="AY538" s="20">
        <f t="shared" si="150"/>
        <v>-6.1193247720857844</v>
      </c>
      <c r="AZ538" s="20"/>
      <c r="BA538" s="20">
        <f t="shared" si="151"/>
        <v>-6.777764450844515</v>
      </c>
      <c r="BB538" s="20">
        <f t="shared" si="152"/>
        <v>-0.81520692804374151</v>
      </c>
      <c r="BC538" s="20"/>
      <c r="BD538" s="20">
        <f t="shared" si="153"/>
        <v>-21.428743933006615</v>
      </c>
      <c r="BE538" s="20">
        <f t="shared" si="154"/>
        <v>-6.5165688562541044</v>
      </c>
      <c r="BF538" s="20"/>
      <c r="BG538" s="54">
        <f t="shared" si="155"/>
        <v>122770.03490308805</v>
      </c>
      <c r="BH538" s="54">
        <f t="shared" si="156"/>
        <v>161970.49328148214</v>
      </c>
      <c r="BI538" s="54">
        <f t="shared" si="157"/>
        <v>152404.69053258176</v>
      </c>
      <c r="BJ538" s="20"/>
    </row>
    <row r="539" spans="37:62" x14ac:dyDescent="0.3">
      <c r="AK539">
        <v>535</v>
      </c>
      <c r="AL539">
        <v>267.5</v>
      </c>
      <c r="AN539" s="48">
        <f t="shared" si="158"/>
        <v>140642.36004694187</v>
      </c>
      <c r="AO539" s="48">
        <f t="shared" si="159"/>
        <v>29838.213432924356</v>
      </c>
      <c r="AP539" s="20"/>
      <c r="AQ539" s="50">
        <f t="shared" si="160"/>
        <v>-353.75757638508372</v>
      </c>
      <c r="AR539" s="50">
        <f t="shared" si="161"/>
        <v>989.32543561095656</v>
      </c>
      <c r="AS539" s="20"/>
      <c r="AT539" s="52">
        <f t="shared" si="162"/>
        <v>-62.057990558194774</v>
      </c>
      <c r="AU539" s="52">
        <f t="shared" si="163"/>
        <v>-13.699537982779066</v>
      </c>
      <c r="AV539" s="20"/>
      <c r="AW539" s="20"/>
      <c r="AX539" s="20">
        <f t="shared" si="149"/>
        <v>-33.863028835717223</v>
      </c>
      <c r="AY539" s="20">
        <f t="shared" si="150"/>
        <v>-6.2700992033245457</v>
      </c>
      <c r="AZ539" s="20"/>
      <c r="BA539" s="20">
        <f t="shared" si="151"/>
        <v>-6.7841512716843342</v>
      </c>
      <c r="BB539" s="20">
        <f t="shared" si="152"/>
        <v>-0.83779546596297094</v>
      </c>
      <c r="BC539" s="20"/>
      <c r="BD539" s="20">
        <f t="shared" si="153"/>
        <v>-21.41081045079321</v>
      </c>
      <c r="BE539" s="20">
        <f t="shared" si="154"/>
        <v>-6.5916433134915504</v>
      </c>
      <c r="BF539" s="20"/>
      <c r="BG539" s="54">
        <f t="shared" si="155"/>
        <v>122693.01046543295</v>
      </c>
      <c r="BH539" s="54">
        <f t="shared" si="156"/>
        <v>161862.66571900257</v>
      </c>
      <c r="BI539" s="54">
        <f t="shared" si="157"/>
        <v>152388.19647170685</v>
      </c>
      <c r="BJ539" s="20"/>
    </row>
    <row r="540" spans="37:62" x14ac:dyDescent="0.3">
      <c r="AK540">
        <v>536</v>
      </c>
      <c r="AL540">
        <v>268</v>
      </c>
      <c r="AN540" s="48">
        <f t="shared" si="158"/>
        <v>140457.72400992954</v>
      </c>
      <c r="AO540" s="48">
        <f t="shared" si="159"/>
        <v>30331.163708481985</v>
      </c>
      <c r="AP540" s="20"/>
      <c r="AQ540" s="50">
        <f t="shared" si="160"/>
        <v>-384.78657166418111</v>
      </c>
      <c r="AR540" s="50">
        <f t="shared" si="161"/>
        <v>982.47566661956705</v>
      </c>
      <c r="AS540" s="20"/>
      <c r="AT540" s="52">
        <f t="shared" si="162"/>
        <v>-62.073941241711026</v>
      </c>
      <c r="AU540" s="52">
        <f t="shared" si="163"/>
        <v>-13.95125870592079</v>
      </c>
      <c r="AV540" s="20"/>
      <c r="AW540" s="20"/>
      <c r="AX540" s="20">
        <f t="shared" si="149"/>
        <v>-33.885806221785828</v>
      </c>
      <c r="AY540" s="20">
        <f t="shared" si="150"/>
        <v>-6.4226050724627335</v>
      </c>
      <c r="AZ540" s="20"/>
      <c r="BA540" s="20">
        <f t="shared" si="151"/>
        <v>-6.7916729413233412</v>
      </c>
      <c r="BB540" s="20">
        <f t="shared" si="152"/>
        <v>-0.86055448733628626</v>
      </c>
      <c r="BC540" s="20"/>
      <c r="BD540" s="20">
        <f t="shared" si="153"/>
        <v>-21.396462078601857</v>
      </c>
      <c r="BE540" s="20">
        <f t="shared" si="154"/>
        <v>-6.6680991461217705</v>
      </c>
      <c r="BF540" s="20"/>
      <c r="BG540" s="54">
        <f t="shared" si="155"/>
        <v>122602.30548377082</v>
      </c>
      <c r="BH540" s="54">
        <f t="shared" si="156"/>
        <v>161740.64860815855</v>
      </c>
      <c r="BI540" s="54">
        <f t="shared" si="157"/>
        <v>152357.68401138825</v>
      </c>
      <c r="BJ540" s="20"/>
    </row>
    <row r="541" spans="37:62" x14ac:dyDescent="0.3">
      <c r="AK541">
        <v>537</v>
      </c>
      <c r="AL541">
        <v>268.5</v>
      </c>
      <c r="AN541" s="48">
        <f t="shared" si="158"/>
        <v>140257.57148144225</v>
      </c>
      <c r="AO541" s="48">
        <f t="shared" si="159"/>
        <v>30820.657634453528</v>
      </c>
      <c r="AP541" s="20"/>
      <c r="AQ541" s="50">
        <f t="shared" si="160"/>
        <v>-415.82354228503664</v>
      </c>
      <c r="AR541" s="50">
        <f t="shared" si="161"/>
        <v>975.50003726660668</v>
      </c>
      <c r="AS541" s="20"/>
      <c r="AT541" s="52">
        <f t="shared" si="162"/>
        <v>-62.101523504816249</v>
      </c>
      <c r="AU541" s="52">
        <f t="shared" si="163"/>
        <v>-14.2064714138823</v>
      </c>
      <c r="AV541" s="20"/>
      <c r="AW541" s="20"/>
      <c r="AX541" s="20">
        <f t="shared" si="149"/>
        <v>-33.915497456998239</v>
      </c>
      <c r="AY541" s="20">
        <f t="shared" si="150"/>
        <v>-6.5769805173463798</v>
      </c>
      <c r="AZ541" s="20"/>
      <c r="BA541" s="20">
        <f t="shared" si="151"/>
        <v>-6.8003374619531716</v>
      </c>
      <c r="BB541" s="20">
        <f t="shared" si="152"/>
        <v>-0.88349958622997959</v>
      </c>
      <c r="BC541" s="20"/>
      <c r="BD541" s="20">
        <f t="shared" si="153"/>
        <v>-21.385688585864841</v>
      </c>
      <c r="BE541" s="20">
        <f t="shared" si="154"/>
        <v>-6.7459913103059401</v>
      </c>
      <c r="BF541" s="20"/>
      <c r="BG541" s="54">
        <f t="shared" si="155"/>
        <v>122497.90435398309</v>
      </c>
      <c r="BH541" s="54">
        <f t="shared" si="156"/>
        <v>161604.42135492674</v>
      </c>
      <c r="BI541" s="54">
        <f t="shared" si="157"/>
        <v>152313.1469661766</v>
      </c>
      <c r="BJ541" s="20"/>
    </row>
    <row r="542" spans="37:62" x14ac:dyDescent="0.3">
      <c r="AK542">
        <v>538</v>
      </c>
      <c r="AL542">
        <v>269</v>
      </c>
      <c r="AN542" s="48">
        <f t="shared" si="158"/>
        <v>140041.89701986164</v>
      </c>
      <c r="AO542" s="48">
        <f t="shared" si="159"/>
        <v>31306.631844160096</v>
      </c>
      <c r="AP542" s="20"/>
      <c r="AQ542" s="50">
        <f t="shared" si="160"/>
        <v>-446.87430403744474</v>
      </c>
      <c r="AR542" s="50">
        <f t="shared" si="161"/>
        <v>968.39680155966551</v>
      </c>
      <c r="AS542" s="20"/>
      <c r="AT542" s="52">
        <f t="shared" si="162"/>
        <v>-62.140777617601415</v>
      </c>
      <c r="AU542" s="52">
        <f t="shared" si="163"/>
        <v>-14.465389732955614</v>
      </c>
      <c r="AV542" s="20"/>
      <c r="AW542" s="20"/>
      <c r="AX542" s="20">
        <f t="shared" si="149"/>
        <v>-33.952140567172677</v>
      </c>
      <c r="AY542" s="20">
        <f t="shared" si="150"/>
        <v>-6.733366690049202</v>
      </c>
      <c r="AZ542" s="20"/>
      <c r="BA542" s="20">
        <f t="shared" si="151"/>
        <v>-6.8101539601380532</v>
      </c>
      <c r="BB542" s="20">
        <f t="shared" si="152"/>
        <v>-0.90664660899828575</v>
      </c>
      <c r="BC542" s="20"/>
      <c r="BD542" s="20">
        <f t="shared" si="153"/>
        <v>-21.37848309029069</v>
      </c>
      <c r="BE542" s="20">
        <f t="shared" si="154"/>
        <v>-6.8253764339081258</v>
      </c>
      <c r="BF542" s="20"/>
      <c r="BG542" s="54">
        <f t="shared" si="155"/>
        <v>122379.7890171839</v>
      </c>
      <c r="BH542" s="54">
        <f t="shared" si="156"/>
        <v>161453.96050347781</v>
      </c>
      <c r="BI542" s="54">
        <f t="shared" si="157"/>
        <v>152254.57642997379</v>
      </c>
      <c r="BJ542" s="20"/>
    </row>
    <row r="543" spans="37:62" x14ac:dyDescent="0.3">
      <c r="AK543">
        <v>539</v>
      </c>
      <c r="AL543">
        <v>269.5</v>
      </c>
      <c r="AN543" s="48">
        <f t="shared" si="158"/>
        <v>139810.69227064072</v>
      </c>
      <c r="AO543" s="48">
        <f t="shared" si="159"/>
        <v>31789.022071223306</v>
      </c>
      <c r="AP543" s="20"/>
      <c r="AQ543" s="50">
        <f t="shared" si="160"/>
        <v>-477.94469284624546</v>
      </c>
      <c r="AR543" s="50">
        <f t="shared" si="161"/>
        <v>961.1641066931877</v>
      </c>
      <c r="AS543" s="20"/>
      <c r="AT543" s="52">
        <f t="shared" si="162"/>
        <v>-62.191755961572397</v>
      </c>
      <c r="AU543" s="52">
        <f t="shared" si="163"/>
        <v>-14.728232709504715</v>
      </c>
      <c r="AV543" s="20"/>
      <c r="AW543" s="20"/>
      <c r="AX543" s="20">
        <f t="shared" si="149"/>
        <v>-33.995781206476707</v>
      </c>
      <c r="AY543" s="20">
        <f t="shared" si="150"/>
        <v>-6.8919080960433838</v>
      </c>
      <c r="AZ543" s="20"/>
      <c r="BA543" s="20">
        <f t="shared" si="151"/>
        <v>-6.8211327092942486</v>
      </c>
      <c r="BB543" s="20">
        <f t="shared" si="152"/>
        <v>-0.93001168471166229</v>
      </c>
      <c r="BC543" s="20"/>
      <c r="BD543" s="20">
        <f t="shared" si="153"/>
        <v>-21.374842045801447</v>
      </c>
      <c r="BE543" s="20">
        <f t="shared" si="154"/>
        <v>-6.906312928749669</v>
      </c>
      <c r="BF543" s="20"/>
      <c r="BG543" s="54">
        <f t="shared" si="155"/>
        <v>122247.93894191648</v>
      </c>
      <c r="BH543" s="54">
        <f t="shared" si="156"/>
        <v>161289.23971189672</v>
      </c>
      <c r="BI543" s="54">
        <f t="shared" si="157"/>
        <v>152181.9607650119</v>
      </c>
      <c r="BJ543" s="20"/>
    </row>
    <row r="544" spans="37:62" x14ac:dyDescent="0.3">
      <c r="AK544">
        <v>540</v>
      </c>
      <c r="AL544">
        <v>270</v>
      </c>
      <c r="AN544" s="48">
        <f t="shared" si="158"/>
        <v>139563.94595472238</v>
      </c>
      <c r="AO544" s="48">
        <f t="shared" si="159"/>
        <v>32267.763095481208</v>
      </c>
      <c r="AP544" s="20"/>
      <c r="AQ544" s="50">
        <f t="shared" si="160"/>
        <v>-509.04057082703167</v>
      </c>
      <c r="AR544" s="50">
        <f t="shared" si="161"/>
        <v>953.79999033843535</v>
      </c>
      <c r="AS544" s="20"/>
      <c r="AT544" s="52">
        <f t="shared" si="162"/>
        <v>-62.254523174709789</v>
      </c>
      <c r="AU544" s="52">
        <f t="shared" si="163"/>
        <v>-14.995225310662022</v>
      </c>
      <c r="AV544" s="20"/>
      <c r="AW544" s="20"/>
      <c r="AX544" s="20">
        <f t="shared" si="149"/>
        <v>-34.04647278158189</v>
      </c>
      <c r="AY544" s="20">
        <f t="shared" si="150"/>
        <v>-7.0527529461958469</v>
      </c>
      <c r="AZ544" s="20"/>
      <c r="BA544" s="20">
        <f t="shared" si="151"/>
        <v>-6.8332851550578333</v>
      </c>
      <c r="BB544" s="20">
        <f t="shared" si="152"/>
        <v>-0.95361125651701828</v>
      </c>
      <c r="BC544" s="20"/>
      <c r="BD544" s="20">
        <f t="shared" si="153"/>
        <v>-21.374765238070069</v>
      </c>
      <c r="BE544" s="20">
        <f t="shared" si="154"/>
        <v>-6.9888611079491563</v>
      </c>
      <c r="BF544" s="20"/>
      <c r="BG544" s="54">
        <f t="shared" si="155"/>
        <v>122102.33110394599</v>
      </c>
      <c r="BH544" s="54">
        <f t="shared" si="156"/>
        <v>161110.22972461444</v>
      </c>
      <c r="BI544" s="54">
        <f t="shared" si="157"/>
        <v>152095.28558785256</v>
      </c>
      <c r="BJ544" s="20"/>
    </row>
    <row r="545" spans="37:62" x14ac:dyDescent="0.3">
      <c r="AK545">
        <v>541</v>
      </c>
      <c r="AL545">
        <v>270.5</v>
      </c>
      <c r="AN545" s="48">
        <f t="shared" si="158"/>
        <v>139301.64385391204</v>
      </c>
      <c r="AO545" s="48">
        <f t="shared" si="159"/>
        <v>32742.788687486591</v>
      </c>
      <c r="AP545" s="20"/>
      <c r="AQ545" s="50">
        <f t="shared" si="160"/>
        <v>-540.16783241438657</v>
      </c>
      <c r="AR545" s="50">
        <f t="shared" si="161"/>
        <v>946.3023776831044</v>
      </c>
      <c r="AS545" s="20"/>
      <c r="AT545" s="52">
        <f t="shared" si="162"/>
        <v>-62.329156327578055</v>
      </c>
      <c r="AU545" s="52">
        <f t="shared" si="163"/>
        <v>-15.266598946090692</v>
      </c>
      <c r="AV545" s="20"/>
      <c r="AW545" s="20"/>
      <c r="AX545" s="20">
        <f t="shared" si="149"/>
        <v>-34.10427659627787</v>
      </c>
      <c r="AY545" s="20">
        <f t="shared" si="150"/>
        <v>-7.2160535232323815</v>
      </c>
      <c r="AZ545" s="20"/>
      <c r="BA545" s="20">
        <f t="shared" si="151"/>
        <v>-6.8466239436552758</v>
      </c>
      <c r="BB545" s="20">
        <f t="shared" si="152"/>
        <v>-0.97746211405096051</v>
      </c>
      <c r="BC545" s="20"/>
      <c r="BD545" s="20">
        <f t="shared" si="153"/>
        <v>-21.37825578764491</v>
      </c>
      <c r="BE545" s="20">
        <f t="shared" si="154"/>
        <v>-7.0730833088073508</v>
      </c>
      <c r="BF545" s="20"/>
      <c r="BG545" s="54">
        <f t="shared" si="155"/>
        <v>121942.93996360253</v>
      </c>
      <c r="BH545" s="54">
        <f t="shared" si="156"/>
        <v>160916.89834148029</v>
      </c>
      <c r="BI545" s="54">
        <f t="shared" si="157"/>
        <v>151994.53375236646</v>
      </c>
      <c r="BJ545" s="20"/>
    </row>
    <row r="546" spans="37:62" x14ac:dyDescent="0.3">
      <c r="AK546">
        <v>542</v>
      </c>
      <c r="AL546">
        <v>271</v>
      </c>
      <c r="AN546" s="48">
        <f t="shared" si="158"/>
        <v>139023.76879316391</v>
      </c>
      <c r="AO546" s="48">
        <f t="shared" si="159"/>
        <v>33214.031551459884</v>
      </c>
      <c r="AP546" s="20"/>
      <c r="AQ546" s="50">
        <f t="shared" si="160"/>
        <v>-571.33241057817554</v>
      </c>
      <c r="AR546" s="50">
        <f t="shared" si="161"/>
        <v>938.66907821005907</v>
      </c>
      <c r="AS546" s="20"/>
      <c r="AT546" s="52">
        <f t="shared" si="162"/>
        <v>-62.415745131333004</v>
      </c>
      <c r="AU546" s="52">
        <f t="shared" si="163"/>
        <v>-15.54259201317296</v>
      </c>
      <c r="AV546" s="20"/>
      <c r="AW546" s="20"/>
      <c r="AX546" s="20">
        <f t="shared" si="149"/>
        <v>-34.169262017236882</v>
      </c>
      <c r="AY546" s="20">
        <f t="shared" si="150"/>
        <v>-7.3819665644110639</v>
      </c>
      <c r="AZ546" s="20"/>
      <c r="BA546" s="20">
        <f t="shared" si="151"/>
        <v>-6.8611629534084431</v>
      </c>
      <c r="BB546" s="20">
        <f t="shared" si="152"/>
        <v>-1.0015814270336811</v>
      </c>
      <c r="BC546" s="20"/>
      <c r="BD546" s="20">
        <f t="shared" si="153"/>
        <v>-21.385320160687677</v>
      </c>
      <c r="BE546" s="20">
        <f t="shared" si="154"/>
        <v>-7.1590440217282154</v>
      </c>
      <c r="BF546" s="20"/>
      <c r="BG546" s="54">
        <f t="shared" si="155"/>
        <v>121769.73744062198</v>
      </c>
      <c r="BH546" s="54">
        <f t="shared" si="156"/>
        <v>160709.21038339348</v>
      </c>
      <c r="BI546" s="54">
        <f t="shared" si="157"/>
        <v>151879.68532964474</v>
      </c>
      <c r="BJ546" s="20"/>
    </row>
    <row r="547" spans="37:62" x14ac:dyDescent="0.3">
      <c r="AK547">
        <v>543</v>
      </c>
      <c r="AL547">
        <v>271.5</v>
      </c>
      <c r="AN547" s="48">
        <f t="shared" si="158"/>
        <v>138730.3006197334</v>
      </c>
      <c r="AO547" s="48">
        <f t="shared" si="159"/>
        <v>33681.423266563266</v>
      </c>
      <c r="AP547" s="20"/>
      <c r="AQ547" s="50">
        <f t="shared" si="160"/>
        <v>-602.54028314384209</v>
      </c>
      <c r="AR547" s="50">
        <f t="shared" si="161"/>
        <v>930.89778220347262</v>
      </c>
      <c r="AS547" s="20"/>
      <c r="AT547" s="52">
        <f t="shared" si="162"/>
        <v>-62.514392178608212</v>
      </c>
      <c r="AU547" s="52">
        <f t="shared" si="163"/>
        <v>-15.82345046813148</v>
      </c>
      <c r="AV547" s="20"/>
      <c r="AW547" s="20"/>
      <c r="AX547" s="20">
        <f t="shared" si="149"/>
        <v>-34.241506661712926</v>
      </c>
      <c r="AY547" s="20">
        <f t="shared" si="150"/>
        <v>-7.5506536622560505</v>
      </c>
      <c r="AZ547" s="20"/>
      <c r="BA547" s="20">
        <f t="shared" si="151"/>
        <v>-6.8769173295181751</v>
      </c>
      <c r="BB547" s="20">
        <f t="shared" si="152"/>
        <v>-1.0259867801777327</v>
      </c>
      <c r="BC547" s="20"/>
      <c r="BD547" s="20">
        <f t="shared" si="153"/>
        <v>-21.395968187377115</v>
      </c>
      <c r="BE547" s="20">
        <f t="shared" si="154"/>
        <v>-7.2468100256976955</v>
      </c>
      <c r="BF547" s="20"/>
      <c r="BG547" s="54">
        <f t="shared" si="155"/>
        <v>121582.69288642691</v>
      </c>
      <c r="BH547" s="54">
        <f t="shared" si="156"/>
        <v>160487.12765440429</v>
      </c>
      <c r="BI547" s="54">
        <f t="shared" si="157"/>
        <v>151750.71758478516</v>
      </c>
      <c r="BJ547" s="20"/>
    </row>
    <row r="548" spans="37:62" x14ac:dyDescent="0.3">
      <c r="AK548">
        <v>544</v>
      </c>
      <c r="AL548">
        <v>272</v>
      </c>
      <c r="AN548" s="48">
        <f t="shared" si="158"/>
        <v>138421.21617913916</v>
      </c>
      <c r="AO548" s="48">
        <f t="shared" si="159"/>
        <v>34144.89422635649</v>
      </c>
      <c r="AP548" s="20"/>
      <c r="AQ548" s="50">
        <f t="shared" si="160"/>
        <v>-633.79747923314619</v>
      </c>
      <c r="AR548" s="50">
        <f t="shared" si="161"/>
        <v>922.98605696940683</v>
      </c>
      <c r="AS548" s="20"/>
      <c r="AT548" s="52">
        <f t="shared" si="162"/>
        <v>-62.625213218428286</v>
      </c>
      <c r="AU548" s="52">
        <f t="shared" si="163"/>
        <v>-16.109428425762953</v>
      </c>
      <c r="AV548" s="20"/>
      <c r="AW548" s="20"/>
      <c r="AX548" s="20">
        <f t="shared" si="149"/>
        <v>-34.321096608072708</v>
      </c>
      <c r="AY548" s="20">
        <f t="shared" si="150"/>
        <v>-7.7222816853299054</v>
      </c>
      <c r="AZ548" s="20"/>
      <c r="BA548" s="20">
        <f t="shared" si="151"/>
        <v>-6.8939035222903753</v>
      </c>
      <c r="BB548" s="20">
        <f t="shared" si="152"/>
        <v>-1.0506962095543233</v>
      </c>
      <c r="BC548" s="20"/>
      <c r="BD548" s="20">
        <f t="shared" si="153"/>
        <v>-21.410213088065209</v>
      </c>
      <c r="BE548" s="20">
        <f t="shared" si="154"/>
        <v>-7.336450530878726</v>
      </c>
      <c r="BF548" s="20"/>
      <c r="BG548" s="54">
        <f t="shared" si="155"/>
        <v>121381.77305378322</v>
      </c>
      <c r="BH548" s="54">
        <f t="shared" si="156"/>
        <v>160250.60890018323</v>
      </c>
      <c r="BI548" s="54">
        <f t="shared" si="157"/>
        <v>151607.60495048767</v>
      </c>
      <c r="BJ548" s="20"/>
    </row>
    <row r="549" spans="37:62" x14ac:dyDescent="0.3">
      <c r="AK549">
        <v>545</v>
      </c>
      <c r="AL549">
        <v>272.5</v>
      </c>
      <c r="AN549" s="48">
        <f t="shared" si="158"/>
        <v>138096.4892878703</v>
      </c>
      <c r="AO549" s="48">
        <f t="shared" si="159"/>
        <v>34604.373576287973</v>
      </c>
      <c r="AP549" s="20"/>
      <c r="AQ549" s="50">
        <f t="shared" si="160"/>
        <v>-665.11008584236038</v>
      </c>
      <c r="AR549" s="50">
        <f t="shared" si="161"/>
        <v>914.9313427565254</v>
      </c>
      <c r="AS549" s="20"/>
      <c r="AT549" s="52">
        <f t="shared" si="162"/>
        <v>-62.748337466467881</v>
      </c>
      <c r="AU549" s="52">
        <f t="shared" si="163"/>
        <v>-16.400788790656033</v>
      </c>
      <c r="AV549" s="20"/>
      <c r="AW549" s="20"/>
      <c r="AX549" s="20">
        <f t="shared" si="149"/>
        <v>-34.408126630176582</v>
      </c>
      <c r="AY549" s="20">
        <f t="shared" si="150"/>
        <v>-7.8970232211662976</v>
      </c>
      <c r="AZ549" s="20"/>
      <c r="BA549" s="20">
        <f t="shared" si="151"/>
        <v>-6.9121393289834421</v>
      </c>
      <c r="BB549" s="20">
        <f t="shared" si="152"/>
        <v>-1.0757282405682702</v>
      </c>
      <c r="BC549" s="20"/>
      <c r="BD549" s="20">
        <f t="shared" si="153"/>
        <v>-21.428071507307855</v>
      </c>
      <c r="BE549" s="20">
        <f t="shared" si="154"/>
        <v>-7.428037328921465</v>
      </c>
      <c r="BF549" s="20"/>
      <c r="BG549" s="54">
        <f t="shared" si="155"/>
        <v>121166.94206376193</v>
      </c>
      <c r="BH549" s="54">
        <f t="shared" si="156"/>
        <v>159999.6097627467</v>
      </c>
      <c r="BI549" s="54">
        <f t="shared" si="157"/>
        <v>151450.31899738446</v>
      </c>
      <c r="BJ549" s="20"/>
    </row>
    <row r="550" spans="37:62" x14ac:dyDescent="0.3">
      <c r="AK550">
        <v>546</v>
      </c>
      <c r="AL550">
        <v>273</v>
      </c>
      <c r="AN550" s="48">
        <f t="shared" si="158"/>
        <v>137756.0907027658</v>
      </c>
      <c r="AO550" s="48">
        <f t="shared" si="159"/>
        <v>35059.789149067401</v>
      </c>
      <c r="AP550" s="20"/>
      <c r="AQ550" s="50">
        <f t="shared" si="160"/>
        <v>-696.48425457559426</v>
      </c>
      <c r="AR550" s="50">
        <f t="shared" si="161"/>
        <v>906.73094836119742</v>
      </c>
      <c r="AS550" s="20"/>
      <c r="AT550" s="52">
        <f t="shared" si="162"/>
        <v>-62.883907952134372</v>
      </c>
      <c r="AU550" s="52">
        <f t="shared" si="163"/>
        <v>-16.697803922974966</v>
      </c>
      <c r="AV550" s="20"/>
      <c r="AW550" s="20"/>
      <c r="AX550" s="20">
        <f t="shared" si="149"/>
        <v>-34.502700456734608</v>
      </c>
      <c r="AY550" s="20">
        <f t="shared" si="150"/>
        <v>-8.0750570436413387</v>
      </c>
      <c r="AZ550" s="20"/>
      <c r="BA550" s="20">
        <f t="shared" si="151"/>
        <v>-6.9316439394781488</v>
      </c>
      <c r="BB550" s="20">
        <f t="shared" si="152"/>
        <v>-1.1011019277031813</v>
      </c>
      <c r="BC550" s="20"/>
      <c r="BD550" s="20">
        <f t="shared" si="153"/>
        <v>-21.449563555921614</v>
      </c>
      <c r="BE550" s="20">
        <f t="shared" si="154"/>
        <v>-7.5216449516304458</v>
      </c>
      <c r="BF550" s="20"/>
      <c r="BG550" s="54">
        <f t="shared" si="155"/>
        <v>120938.16136992929</v>
      </c>
      <c r="BH550" s="54">
        <f t="shared" si="156"/>
        <v>159734.08273131624</v>
      </c>
      <c r="BI550" s="54">
        <f t="shared" si="157"/>
        <v>151278.82840102041</v>
      </c>
      <c r="BJ550" s="20"/>
    </row>
    <row r="551" spans="37:62" x14ac:dyDescent="0.3">
      <c r="AK551">
        <v>547</v>
      </c>
      <c r="AL551">
        <v>273.5</v>
      </c>
      <c r="AN551" s="48">
        <f t="shared" si="158"/>
        <v>137399.988086984</v>
      </c>
      <c r="AO551" s="48">
        <f t="shared" si="159"/>
        <v>35511.06739775763</v>
      </c>
      <c r="AP551" s="20"/>
      <c r="AQ551" s="50">
        <f t="shared" si="160"/>
        <v>-727.92620855166149</v>
      </c>
      <c r="AR551" s="50">
        <f t="shared" si="161"/>
        <v>898.38204639970991</v>
      </c>
      <c r="AS551" s="20"/>
      <c r="AT551" s="52">
        <f t="shared" si="162"/>
        <v>-63.032081904157721</v>
      </c>
      <c r="AU551" s="52">
        <f t="shared" si="163"/>
        <v>-17.000756342134252</v>
      </c>
      <c r="AV551" s="20"/>
      <c r="AW551" s="20"/>
      <c r="AX551" s="20">
        <f t="shared" si="149"/>
        <v>-34.604931056911575</v>
      </c>
      <c r="AY551" s="20">
        <f t="shared" si="150"/>
        <v>-8.256568607244807</v>
      </c>
      <c r="AZ551" s="20"/>
      <c r="BA551" s="20">
        <f t="shared" si="151"/>
        <v>-6.9524379859890759</v>
      </c>
      <c r="BB551" s="20">
        <f t="shared" si="152"/>
        <v>-1.1268368962091717</v>
      </c>
      <c r="BC551" s="20"/>
      <c r="BD551" s="20">
        <f t="shared" si="153"/>
        <v>-21.474712861257071</v>
      </c>
      <c r="BE551" s="20">
        <f t="shared" si="154"/>
        <v>-7.6173508386802729</v>
      </c>
      <c r="BF551" s="20"/>
      <c r="BG551" s="54">
        <f t="shared" si="155"/>
        <v>120695.38971968112</v>
      </c>
      <c r="BH551" s="54">
        <f t="shared" si="156"/>
        <v>159453.97708917654</v>
      </c>
      <c r="BI551" s="54">
        <f t="shared" si="157"/>
        <v>151093.0989053901</v>
      </c>
      <c r="BJ551" s="20"/>
    </row>
    <row r="552" spans="37:62" x14ac:dyDescent="0.3">
      <c r="AK552">
        <v>548</v>
      </c>
      <c r="AL552">
        <v>274</v>
      </c>
      <c r="AN552" s="48">
        <f t="shared" si="158"/>
        <v>137028.14597247014</v>
      </c>
      <c r="AO552" s="48">
        <f t="shared" si="159"/>
        <v>35958.133326414718</v>
      </c>
      <c r="AP552" s="20"/>
      <c r="AQ552" s="50">
        <f t="shared" si="160"/>
        <v>-759.4422495037403</v>
      </c>
      <c r="AR552" s="50">
        <f t="shared" si="161"/>
        <v>889.88166822864275</v>
      </c>
      <c r="AS552" s="20"/>
      <c r="AT552" s="52">
        <f t="shared" si="162"/>
        <v>-63.19303117655933</v>
      </c>
      <c r="AU552" s="52">
        <f t="shared" si="163"/>
        <v>-17.309939471953179</v>
      </c>
      <c r="AV552" s="20"/>
      <c r="AW552" s="20"/>
      <c r="AX552" s="20">
        <f t="shared" si="149"/>
        <v>-34.714940953584069</v>
      </c>
      <c r="AY552" s="20">
        <f t="shared" si="150"/>
        <v>-8.4417505709106084</v>
      </c>
      <c r="AZ552" s="20"/>
      <c r="BA552" s="20">
        <f t="shared" si="151"/>
        <v>-6.9745435970621035</v>
      </c>
      <c r="BB552" s="20">
        <f t="shared" si="152"/>
        <v>-1.1529533859182852</v>
      </c>
      <c r="BC552" s="20"/>
      <c r="BD552" s="20">
        <f t="shared" si="153"/>
        <v>-21.503546625913156</v>
      </c>
      <c r="BE552" s="20">
        <f t="shared" si="154"/>
        <v>-7.7152355151242862</v>
      </c>
      <c r="BF552" s="20"/>
      <c r="BG552" s="54">
        <f t="shared" si="155"/>
        <v>120438.58311262955</v>
      </c>
      <c r="BH552" s="54">
        <f t="shared" si="156"/>
        <v>159159.23885638342</v>
      </c>
      <c r="BI552" s="54">
        <f t="shared" si="157"/>
        <v>150893.09328292645</v>
      </c>
      <c r="BJ552" s="20"/>
    </row>
    <row r="553" spans="37:62" x14ac:dyDescent="0.3">
      <c r="AK553">
        <v>549</v>
      </c>
      <c r="AL553">
        <v>274.5</v>
      </c>
      <c r="AN553" s="48">
        <f t="shared" si="158"/>
        <v>136640.52571882121</v>
      </c>
      <c r="AO553" s="48">
        <f t="shared" si="159"/>
        <v>36400.910418095045</v>
      </c>
      <c r="AP553" s="20"/>
      <c r="AQ553" s="50">
        <f t="shared" si="160"/>
        <v>-791.03876509201996</v>
      </c>
      <c r="AR553" s="50">
        <f t="shared" si="161"/>
        <v>881.22669849266617</v>
      </c>
      <c r="AS553" s="20"/>
      <c r="AT553" s="52">
        <f t="shared" si="162"/>
        <v>-63.366942717084846</v>
      </c>
      <c r="AU553" s="52">
        <f t="shared" si="163"/>
        <v>-17.625658431176369</v>
      </c>
      <c r="AV553" s="20"/>
      <c r="AW553" s="20"/>
      <c r="AX553" s="20">
        <f t="shared" si="149"/>
        <v>-34.832862565804071</v>
      </c>
      <c r="AY553" s="20">
        <f t="shared" si="150"/>
        <v>-8.630803354289732</v>
      </c>
      <c r="AZ553" s="20"/>
      <c r="BA553" s="20">
        <f t="shared" si="151"/>
        <v>-6.9979844561241427</v>
      </c>
      <c r="BB553" s="20">
        <f t="shared" si="152"/>
        <v>-1.1794722973861671</v>
      </c>
      <c r="BC553" s="20"/>
      <c r="BD553" s="20">
        <f t="shared" si="153"/>
        <v>-21.536095695156632</v>
      </c>
      <c r="BE553" s="20">
        <f t="shared" si="154"/>
        <v>-7.8153827795004673</v>
      </c>
      <c r="BF553" s="20"/>
      <c r="BG553" s="54">
        <f t="shared" si="155"/>
        <v>120167.69475594407</v>
      </c>
      <c r="BH553" s="54">
        <f t="shared" si="156"/>
        <v>158849.81072816224</v>
      </c>
      <c r="BI553" s="54">
        <f t="shared" si="157"/>
        <v>150678.77129082612</v>
      </c>
      <c r="BJ553" s="20"/>
    </row>
    <row r="554" spans="37:62" x14ac:dyDescent="0.3">
      <c r="AK554">
        <v>550</v>
      </c>
      <c r="AL554">
        <v>275</v>
      </c>
      <c r="AN554" s="48">
        <f t="shared" si="158"/>
        <v>136237.08546843557</v>
      </c>
      <c r="AO554" s="48">
        <f t="shared" si="159"/>
        <v>36839.320560037486</v>
      </c>
      <c r="AP554" s="20"/>
      <c r="AQ554" s="50">
        <f t="shared" si="160"/>
        <v>-822.72223645056238</v>
      </c>
      <c r="AR554" s="50">
        <f t="shared" si="161"/>
        <v>872.41386927707799</v>
      </c>
      <c r="AS554" s="20"/>
      <c r="AT554" s="52">
        <f t="shared" si="162"/>
        <v>-63.554019080424546</v>
      </c>
      <c r="AU554" s="52">
        <f t="shared" si="163"/>
        <v>-17.948230873578993</v>
      </c>
      <c r="AV554" s="20"/>
      <c r="AW554" s="20"/>
      <c r="AX554" s="20">
        <f t="shared" si="149"/>
        <v>-34.958838582193714</v>
      </c>
      <c r="AY554" s="20">
        <f t="shared" si="150"/>
        <v>-8.823935729600775</v>
      </c>
      <c r="AZ554" s="20"/>
      <c r="BA554" s="20">
        <f t="shared" si="151"/>
        <v>-7.0227858648808716</v>
      </c>
      <c r="BB554" s="20">
        <f t="shared" si="152"/>
        <v>-1.2064152405743489</v>
      </c>
      <c r="BC554" s="20"/>
      <c r="BD554" s="20">
        <f t="shared" si="153"/>
        <v>-21.572394633349958</v>
      </c>
      <c r="BE554" s="20">
        <f t="shared" si="154"/>
        <v>-7.91787990340387</v>
      </c>
      <c r="BF554" s="20"/>
      <c r="BG554" s="54">
        <f t="shared" si="155"/>
        <v>119882.67501653871</v>
      </c>
      <c r="BH554" s="54">
        <f t="shared" si="156"/>
        <v>158525.63200881961</v>
      </c>
      <c r="BI554" s="54">
        <f t="shared" si="157"/>
        <v>150450.08962358415</v>
      </c>
      <c r="BJ554" s="20"/>
    </row>
    <row r="555" spans="37:62" x14ac:dyDescent="0.3">
      <c r="AK555">
        <v>551</v>
      </c>
      <c r="AL555">
        <v>275.5</v>
      </c>
      <c r="AN555" s="48">
        <f t="shared" si="158"/>
        <v>135817.78009782522</v>
      </c>
      <c r="AO555" s="48">
        <f t="shared" si="159"/>
        <v>37273.28396581683</v>
      </c>
      <c r="AP555" s="20"/>
      <c r="AQ555" s="50">
        <f t="shared" si="160"/>
        <v>-854.49924599077463</v>
      </c>
      <c r="AR555" s="50">
        <f t="shared" si="161"/>
        <v>863.43975384028852</v>
      </c>
      <c r="AS555" s="20"/>
      <c r="AT555" s="52">
        <f t="shared" si="162"/>
        <v>-63.754478988783596</v>
      </c>
      <c r="AU555" s="52">
        <f t="shared" si="163"/>
        <v>-18.27798788224159</v>
      </c>
      <c r="AV555" s="20"/>
      <c r="AW555" s="20"/>
      <c r="AX555" s="20">
        <f t="shared" si="149"/>
        <v>-35.093022367167947</v>
      </c>
      <c r="AY555" s="20">
        <f t="shared" si="150"/>
        <v>-9.0213654524714251</v>
      </c>
      <c r="AZ555" s="20"/>
      <c r="BA555" s="20">
        <f t="shared" si="151"/>
        <v>-7.0489748118848938</v>
      </c>
      <c r="BB555" s="20">
        <f t="shared" si="152"/>
        <v>-1.2338045863041418</v>
      </c>
      <c r="BC555" s="20"/>
      <c r="BD555" s="20">
        <f t="shared" si="153"/>
        <v>-21.612481809730753</v>
      </c>
      <c r="BE555" s="20">
        <f t="shared" si="154"/>
        <v>-8.0228178434660222</v>
      </c>
      <c r="BF555" s="20"/>
      <c r="BG555" s="54">
        <f t="shared" si="155"/>
        <v>119583.47136999061</v>
      </c>
      <c r="BH555" s="54">
        <f t="shared" si="156"/>
        <v>158186.63854097886</v>
      </c>
      <c r="BI555" s="54">
        <f t="shared" si="157"/>
        <v>150207.00186159892</v>
      </c>
      <c r="BJ555" s="20"/>
    </row>
    <row r="556" spans="37:62" x14ac:dyDescent="0.3">
      <c r="AK556">
        <v>552</v>
      </c>
      <c r="AL556">
        <v>276</v>
      </c>
      <c r="AN556" s="48">
        <f t="shared" si="158"/>
        <v>135382.56116495625</v>
      </c>
      <c r="AO556" s="48">
        <f t="shared" si="159"/>
        <v>37702.71909425169</v>
      </c>
      <c r="AP556" s="20"/>
      <c r="AQ556" s="50">
        <f t="shared" si="160"/>
        <v>-886.37648548516643</v>
      </c>
      <c r="AR556" s="50">
        <f t="shared" si="161"/>
        <v>854.3007598991677</v>
      </c>
      <c r="AS556" s="20"/>
      <c r="AT556" s="52">
        <f t="shared" si="162"/>
        <v>-63.968557942633794</v>
      </c>
      <c r="AU556" s="52">
        <f t="shared" si="163"/>
        <v>-18.615274922989503</v>
      </c>
      <c r="AV556" s="20"/>
      <c r="AW556" s="20"/>
      <c r="AX556" s="20">
        <f t="shared" si="149"/>
        <v>-35.23557840207026</v>
      </c>
      <c r="AY556" s="20">
        <f t="shared" si="150"/>
        <v>-9.2233199354949811</v>
      </c>
      <c r="AZ556" s="20"/>
      <c r="BA556" s="20">
        <f t="shared" si="151"/>
        <v>-7.0765800466300401</v>
      </c>
      <c r="BB556" s="20">
        <f t="shared" si="152"/>
        <v>-1.2616635207322864</v>
      </c>
      <c r="BC556" s="20"/>
      <c r="BD556" s="20">
        <f t="shared" si="153"/>
        <v>-21.656399493933495</v>
      </c>
      <c r="BE556" s="20">
        <f t="shared" si="154"/>
        <v>-8.1302914667622357</v>
      </c>
      <c r="BF556" s="20"/>
      <c r="BG556" s="54">
        <f t="shared" si="155"/>
        <v>119270.02834606498</v>
      </c>
      <c r="BH556" s="54">
        <f t="shared" si="156"/>
        <v>157832.76262993176</v>
      </c>
      <c r="BI556" s="54">
        <f t="shared" si="157"/>
        <v>149949.45841569512</v>
      </c>
      <c r="BJ556" s="20"/>
    </row>
    <row r="557" spans="37:62" x14ac:dyDescent="0.3">
      <c r="AK557">
        <v>553</v>
      </c>
      <c r="AL557">
        <v>276.5</v>
      </c>
      <c r="AN557" s="48">
        <f t="shared" si="158"/>
        <v>134931.37685247083</v>
      </c>
      <c r="AO557" s="48">
        <f t="shared" si="159"/>
        <v>38127.542564835901</v>
      </c>
      <c r="AP557" s="20"/>
      <c r="AQ557" s="50">
        <f t="shared" si="160"/>
        <v>-918.36076445648337</v>
      </c>
      <c r="AR557" s="50">
        <f t="shared" si="161"/>
        <v>844.99312243767292</v>
      </c>
      <c r="AS557" s="20"/>
      <c r="AT557" s="52">
        <f t="shared" si="162"/>
        <v>-64.196508884779519</v>
      </c>
      <c r="AU557" s="52">
        <f t="shared" si="163"/>
        <v>-18.960452862451852</v>
      </c>
      <c r="AV557" s="20"/>
      <c r="AW557" s="20"/>
      <c r="AX557" s="20">
        <f t="shared" si="149"/>
        <v>-35.386682763524128</v>
      </c>
      <c r="AY557" s="20">
        <f t="shared" si="150"/>
        <v>-9.4300369685763492</v>
      </c>
      <c r="AZ557" s="20"/>
      <c r="BA557" s="20">
        <f t="shared" si="151"/>
        <v>-7.1056321595621998</v>
      </c>
      <c r="BB557" s="20">
        <f t="shared" si="152"/>
        <v>-1.2900161031194322</v>
      </c>
      <c r="BC557" s="20"/>
      <c r="BD557" s="20">
        <f t="shared" si="153"/>
        <v>-21.704193961693186</v>
      </c>
      <c r="BE557" s="20">
        <f t="shared" si="154"/>
        <v>-8.2403997907560687</v>
      </c>
      <c r="BF557" s="20"/>
      <c r="BG557" s="54">
        <f t="shared" si="155"/>
        <v>118942.28747071204</v>
      </c>
      <c r="BH557" s="54">
        <f t="shared" si="156"/>
        <v>157463.93296288198</v>
      </c>
      <c r="BI557" s="54">
        <f t="shared" si="157"/>
        <v>149677.40646739793</v>
      </c>
      <c r="BJ557" s="20"/>
    </row>
    <row r="558" spans="37:62" x14ac:dyDescent="0.3">
      <c r="AK558">
        <v>554</v>
      </c>
      <c r="AL558">
        <v>277</v>
      </c>
      <c r="AN558" s="48">
        <f t="shared" si="158"/>
        <v>134464.17190663196</v>
      </c>
      <c r="AO558" s="48">
        <f t="shared" si="159"/>
        <v>38547.669069446936</v>
      </c>
      <c r="AP558" s="20"/>
      <c r="AQ558" s="50">
        <f t="shared" si="160"/>
        <v>-950.45901889887318</v>
      </c>
      <c r="AR558" s="50">
        <f t="shared" si="161"/>
        <v>835.51289600644702</v>
      </c>
      <c r="AS558" s="20"/>
      <c r="AT558" s="52">
        <f t="shared" si="162"/>
        <v>-64.438602921166151</v>
      </c>
      <c r="AU558" s="52">
        <f t="shared" si="163"/>
        <v>-19.313899056696407</v>
      </c>
      <c r="AV558" s="20"/>
      <c r="AW558" s="20"/>
      <c r="AX558" s="20">
        <f t="shared" si="149"/>
        <v>-35.546523641518576</v>
      </c>
      <c r="AY558" s="20">
        <f t="shared" si="150"/>
        <v>-9.6417654905272325</v>
      </c>
      <c r="AZ558" s="20"/>
      <c r="BA558" s="20">
        <f t="shared" si="151"/>
        <v>-7.1361636684353291</v>
      </c>
      <c r="BB558" s="20">
        <f t="shared" si="152"/>
        <v>-1.3188873271857771</v>
      </c>
      <c r="BC558" s="20"/>
      <c r="BD558" s="20">
        <f t="shared" si="153"/>
        <v>-21.755915611212249</v>
      </c>
      <c r="BE558" s="20">
        <f t="shared" si="154"/>
        <v>-8.3532462389833988</v>
      </c>
      <c r="BF558" s="20"/>
      <c r="BG558" s="54">
        <f t="shared" si="155"/>
        <v>118600.18720439225</v>
      </c>
      <c r="BH558" s="54">
        <f t="shared" si="156"/>
        <v>157080.07452283759</v>
      </c>
      <c r="BI558" s="54">
        <f t="shared" si="157"/>
        <v>149390.78990477824</v>
      </c>
      <c r="BJ558" s="20"/>
    </row>
    <row r="559" spans="37:62" x14ac:dyDescent="0.3">
      <c r="AK559">
        <v>555</v>
      </c>
      <c r="AL559">
        <v>277.5</v>
      </c>
      <c r="AN559" s="48">
        <f t="shared" si="158"/>
        <v>133980.88757181738</v>
      </c>
      <c r="AO559" s="48">
        <f t="shared" si="159"/>
        <v>38963.011280068073</v>
      </c>
      <c r="AP559" s="20"/>
      <c r="AQ559" s="50">
        <f t="shared" si="160"/>
        <v>-982.67832035945628</v>
      </c>
      <c r="AR559" s="50">
        <f t="shared" si="161"/>
        <v>825.85594647809887</v>
      </c>
      <c r="AS559" s="20"/>
      <c r="AT559" s="52">
        <f t="shared" si="162"/>
        <v>-64.695130102227438</v>
      </c>
      <c r="AU559" s="52">
        <f t="shared" si="163"/>
        <v>-19.676008516971422</v>
      </c>
      <c r="AV559" s="20"/>
      <c r="AW559" s="20"/>
      <c r="AX559" s="20">
        <f t="shared" si="149"/>
        <v>-35.715301900007582</v>
      </c>
      <c r="AY559" s="20">
        <f t="shared" si="150"/>
        <v>-9.8587664168077698</v>
      </c>
      <c r="AZ559" s="20"/>
      <c r="BA559" s="20">
        <f t="shared" si="151"/>
        <v>-7.1682091114824162</v>
      </c>
      <c r="BB559" s="20">
        <f t="shared" si="152"/>
        <v>-1.3483031863738306</v>
      </c>
      <c r="BC559" s="20"/>
      <c r="BD559" s="20">
        <f t="shared" si="153"/>
        <v>-21.811619090737434</v>
      </c>
      <c r="BE559" s="20">
        <f t="shared" si="154"/>
        <v>-8.4689389137898221</v>
      </c>
      <c r="BF559" s="20"/>
      <c r="BG559" s="54">
        <f t="shared" si="155"/>
        <v>118243.66287657434</v>
      </c>
      <c r="BH559" s="54">
        <f t="shared" si="156"/>
        <v>156681.10849688936</v>
      </c>
      <c r="BI559" s="54">
        <f t="shared" si="157"/>
        <v>149089.54925367134</v>
      </c>
      <c r="BJ559" s="20"/>
    </row>
    <row r="560" spans="37:62" x14ac:dyDescent="0.3">
      <c r="AK560">
        <v>556</v>
      </c>
      <c r="AL560">
        <v>278</v>
      </c>
      <c r="AN560" s="48">
        <f t="shared" si="158"/>
        <v>133481.46152037487</v>
      </c>
      <c r="AO560" s="48">
        <f t="shared" si="159"/>
        <v>39373.4797522425</v>
      </c>
      <c r="AP560" s="20"/>
      <c r="AQ560" s="50">
        <f t="shared" si="160"/>
        <v>-1015.02588541057</v>
      </c>
      <c r="AR560" s="50">
        <f t="shared" si="161"/>
        <v>816.01794221961313</v>
      </c>
      <c r="AS560" s="20"/>
      <c r="AT560" s="52">
        <f t="shared" si="162"/>
        <v>-64.966400268922442</v>
      </c>
      <c r="AU560" s="52">
        <f t="shared" si="163"/>
        <v>-20.047195159710071</v>
      </c>
      <c r="AV560" s="20"/>
      <c r="AW560" s="20"/>
      <c r="AX560" s="20">
        <f t="shared" si="149"/>
        <v>-35.893231683058652</v>
      </c>
      <c r="AY560" s="20">
        <f t="shared" si="150"/>
        <v>-10.081313528792659</v>
      </c>
      <c r="AZ560" s="20"/>
      <c r="BA560" s="20">
        <f t="shared" si="151"/>
        <v>-7.201805147919532</v>
      </c>
      <c r="BB560" s="20">
        <f t="shared" si="152"/>
        <v>-1.3782907433672549</v>
      </c>
      <c r="BC560" s="20"/>
      <c r="BD560" s="20">
        <f t="shared" si="153"/>
        <v>-21.871363437944257</v>
      </c>
      <c r="BE560" s="20">
        <f t="shared" si="154"/>
        <v>-8.5875908875501565</v>
      </c>
      <c r="BF560" s="20"/>
      <c r="BG560" s="54">
        <f t="shared" si="155"/>
        <v>117872.64661623974</v>
      </c>
      <c r="BH560" s="54">
        <f t="shared" si="156"/>
        <v>156266.95217858994</v>
      </c>
      <c r="BI560" s="54">
        <f t="shared" si="157"/>
        <v>148773.62160405517</v>
      </c>
      <c r="BJ560" s="20"/>
    </row>
    <row r="561" spans="37:62" x14ac:dyDescent="0.3">
      <c r="AK561">
        <v>557</v>
      </c>
      <c r="AL561">
        <v>278.5</v>
      </c>
      <c r="AN561" s="48">
        <f t="shared" si="158"/>
        <v>132965.82777763598</v>
      </c>
      <c r="AO561" s="48">
        <f t="shared" si="159"/>
        <v>39778.98282395734</v>
      </c>
      <c r="AP561" s="20"/>
      <c r="AQ561" s="50">
        <f t="shared" si="160"/>
        <v>-1047.5090855450312</v>
      </c>
      <c r="AR561" s="50">
        <f t="shared" si="161"/>
        <v>805.99434463975808</v>
      </c>
      <c r="AS561" s="20"/>
      <c r="AT561" s="52">
        <f t="shared" si="162"/>
        <v>-65.252743968038232</v>
      </c>
      <c r="AU561" s="52">
        <f t="shared" si="163"/>
        <v>-20.427893148661994</v>
      </c>
      <c r="AV561" s="20"/>
      <c r="AW561" s="20"/>
      <c r="AX561" s="20">
        <f t="shared" si="149"/>
        <v>-36.080541069897521</v>
      </c>
      <c r="AY561" s="20">
        <f t="shared" si="150"/>
        <v>-10.309694430485781</v>
      </c>
      <c r="AZ561" s="20"/>
      <c r="BA561" s="20">
        <f t="shared" si="151"/>
        <v>-7.2369906663503585</v>
      </c>
      <c r="BB561" s="20">
        <f t="shared" si="152"/>
        <v>-1.4088782042461847</v>
      </c>
      <c r="BC561" s="20"/>
      <c r="BD561" s="20">
        <f t="shared" si="153"/>
        <v>-21.935212231790345</v>
      </c>
      <c r="BE561" s="20">
        <f t="shared" si="154"/>
        <v>-8.7093205139300274</v>
      </c>
      <c r="BF561" s="20"/>
      <c r="BG561" s="54">
        <f t="shared" si="155"/>
        <v>117487.06727821512</v>
      </c>
      <c r="BH561" s="54">
        <f t="shared" si="156"/>
        <v>155837.51886412635</v>
      </c>
      <c r="BI561" s="54">
        <f t="shared" si="157"/>
        <v>148442.94053135609</v>
      </c>
      <c r="BJ561" s="20"/>
    </row>
    <row r="562" spans="37:62" x14ac:dyDescent="0.3">
      <c r="AK562">
        <v>558</v>
      </c>
      <c r="AL562">
        <v>279</v>
      </c>
      <c r="AN562" s="48">
        <f t="shared" si="158"/>
        <v>132433.91664186746</v>
      </c>
      <c r="AO562" s="48">
        <f t="shared" si="159"/>
        <v>40179.426509633631</v>
      </c>
      <c r="AP562" s="20"/>
      <c r="AQ562" s="50">
        <f t="shared" si="160"/>
        <v>-1080.1354575290504</v>
      </c>
      <c r="AR562" s="50">
        <f t="shared" si="161"/>
        <v>795.78039806542711</v>
      </c>
      <c r="AS562" s="20"/>
      <c r="AT562" s="52">
        <f t="shared" si="162"/>
        <v>-65.554513441777573</v>
      </c>
      <c r="AU562" s="52">
        <f t="shared" si="163"/>
        <v>-20.818558337801978</v>
      </c>
      <c r="AV562" s="20"/>
      <c r="AW562" s="20"/>
      <c r="AX562" s="20">
        <f t="shared" si="149"/>
        <v>-36.277472782510408</v>
      </c>
      <c r="AY562" s="20">
        <f t="shared" si="150"/>
        <v>-10.544211579211535</v>
      </c>
      <c r="AZ562" s="20"/>
      <c r="BA562" s="20">
        <f t="shared" si="151"/>
        <v>-7.2738069016961413</v>
      </c>
      <c r="BB562" s="20">
        <f t="shared" si="152"/>
        <v>-1.4400949976949649</v>
      </c>
      <c r="BC562" s="20"/>
      <c r="BD562" s="20">
        <f t="shared" si="153"/>
        <v>-22.003233757571021</v>
      </c>
      <c r="BE562" s="20">
        <f t="shared" si="154"/>
        <v>-8.8342517608954783</v>
      </c>
      <c r="BF562" s="20"/>
      <c r="BG562" s="54">
        <f t="shared" si="155"/>
        <v>117086.85036514112</v>
      </c>
      <c r="BH562" s="54">
        <f t="shared" si="156"/>
        <v>155392.71774195269</v>
      </c>
      <c r="BI562" s="54">
        <f t="shared" si="157"/>
        <v>148097.43601243012</v>
      </c>
      <c r="BJ562" s="20"/>
    </row>
    <row r="563" spans="37:62" x14ac:dyDescent="0.3">
      <c r="AK563">
        <v>559</v>
      </c>
      <c r="AL563">
        <v>279.5</v>
      </c>
      <c r="AN563" s="48">
        <f t="shared" si="158"/>
        <v>131885.6545989227</v>
      </c>
      <c r="AO563" s="48">
        <f t="shared" si="159"/>
        <v>40574.714388874119</v>
      </c>
      <c r="AP563" s="20"/>
      <c r="AQ563" s="50">
        <f t="shared" si="160"/>
        <v>-1112.9127142499392</v>
      </c>
      <c r="AR563" s="50">
        <f t="shared" si="161"/>
        <v>785.37111889652613</v>
      </c>
      <c r="AS563" s="20"/>
      <c r="AT563" s="52">
        <f t="shared" si="162"/>
        <v>-65.872083697143665</v>
      </c>
      <c r="AU563" s="52">
        <f t="shared" si="163"/>
        <v>-21.219669824544063</v>
      </c>
      <c r="AV563" s="20"/>
      <c r="AW563" s="20"/>
      <c r="AX563" s="20">
        <f t="shared" si="149"/>
        <v>-36.484284949829771</v>
      </c>
      <c r="AY563" s="20">
        <f t="shared" si="150"/>
        <v>-10.78518339749283</v>
      </c>
      <c r="AZ563" s="20"/>
      <c r="BA563" s="20">
        <f t="shared" si="151"/>
        <v>-7.3122975613376076</v>
      </c>
      <c r="BB563" s="20">
        <f t="shared" si="152"/>
        <v>-1.4719718597173155</v>
      </c>
      <c r="BC563" s="20"/>
      <c r="BD563" s="20">
        <f t="shared" si="153"/>
        <v>-22.075501185976286</v>
      </c>
      <c r="BE563" s="20">
        <f t="shared" si="154"/>
        <v>-8.962514567333919</v>
      </c>
      <c r="BF563" s="20"/>
      <c r="BG563" s="54">
        <f t="shared" si="155"/>
        <v>116671.91794487236</v>
      </c>
      <c r="BH563" s="54">
        <f t="shared" si="156"/>
        <v>154932.45377552271</v>
      </c>
      <c r="BI563" s="54">
        <f t="shared" si="157"/>
        <v>147737.03433594605</v>
      </c>
      <c r="BJ563" s="20"/>
    </row>
    <row r="564" spans="37:62" x14ac:dyDescent="0.3">
      <c r="AK564">
        <v>560</v>
      </c>
      <c r="AL564">
        <v>280</v>
      </c>
      <c r="AN564" s="48">
        <f t="shared" si="158"/>
        <v>131320.96423133559</v>
      </c>
      <c r="AO564" s="48">
        <f t="shared" si="159"/>
        <v>40964.747489594316</v>
      </c>
      <c r="AP564" s="20"/>
      <c r="AQ564" s="50">
        <f t="shared" si="160"/>
        <v>-1145.8487560985111</v>
      </c>
      <c r="AR564" s="50">
        <f t="shared" si="161"/>
        <v>774.76128398425408</v>
      </c>
      <c r="AS564" s="20"/>
      <c r="AT564" s="52">
        <f t="shared" si="162"/>
        <v>-66.205853661181862</v>
      </c>
      <c r="AU564" s="52">
        <f t="shared" si="163"/>
        <v>-21.63173162377554</v>
      </c>
      <c r="AV564" s="20"/>
      <c r="AW564" s="20"/>
      <c r="AX564" s="20">
        <f t="shared" si="149"/>
        <v>-36.701251932919206</v>
      </c>
      <c r="AY564" s="20">
        <f t="shared" si="150"/>
        <v>-11.032945474087105</v>
      </c>
      <c r="AZ564" s="20"/>
      <c r="BA564" s="20">
        <f t="shared" si="151"/>
        <v>-7.3525089612258796</v>
      </c>
      <c r="BB564" s="20">
        <f t="shared" si="152"/>
        <v>-1.5045409243578762</v>
      </c>
      <c r="BC564" s="20"/>
      <c r="BD564" s="20">
        <f t="shared" si="153"/>
        <v>-22.15209276703677</v>
      </c>
      <c r="BE564" s="20">
        <f t="shared" si="154"/>
        <v>-9.0942452253305586</v>
      </c>
      <c r="BF564" s="20"/>
      <c r="BG564" s="54">
        <f t="shared" si="155"/>
        <v>116242.18856308842</v>
      </c>
      <c r="BH564" s="54">
        <f t="shared" si="156"/>
        <v>154456.6275787332</v>
      </c>
      <c r="BI564" s="54">
        <f t="shared" si="157"/>
        <v>147361.65800687482</v>
      </c>
      <c r="BJ564" s="20"/>
    </row>
    <row r="565" spans="37:62" x14ac:dyDescent="0.3">
      <c r="AK565">
        <v>561</v>
      </c>
      <c r="AL565">
        <v>280.5</v>
      </c>
      <c r="AN565" s="48">
        <f t="shared" si="158"/>
        <v>130739.76412157869</v>
      </c>
      <c r="AO565" s="48">
        <f t="shared" si="159"/>
        <v>41349.424165133467</v>
      </c>
      <c r="AP565" s="20"/>
      <c r="AQ565" s="50">
        <f t="shared" si="160"/>
        <v>-1178.9516829291019</v>
      </c>
      <c r="AR565" s="50">
        <f t="shared" si="161"/>
        <v>763.94541817236632</v>
      </c>
      <c r="AS565" s="20"/>
      <c r="AT565" s="52">
        <f t="shared" si="162"/>
        <v>-66.556247428731723</v>
      </c>
      <c r="AU565" s="52">
        <f t="shared" si="163"/>
        <v>-22.055274474325721</v>
      </c>
      <c r="AV565" s="20"/>
      <c r="AW565" s="20"/>
      <c r="AX565" s="20">
        <f t="shared" si="149"/>
        <v>-36.928665216009058</v>
      </c>
      <c r="AY565" s="20">
        <f t="shared" si="150"/>
        <v>-11.287851863008653</v>
      </c>
      <c r="AZ565" s="20"/>
      <c r="BA565" s="20">
        <f t="shared" si="151"/>
        <v>-7.3944901727951278</v>
      </c>
      <c r="BB565" s="20">
        <f t="shared" si="152"/>
        <v>-1.5378358209775189</v>
      </c>
      <c r="BC565" s="20"/>
      <c r="BD565" s="20">
        <f t="shared" si="153"/>
        <v>-22.233092039927534</v>
      </c>
      <c r="BE565" s="20">
        <f t="shared" si="154"/>
        <v>-9.2295867903395514</v>
      </c>
      <c r="BF565" s="20"/>
      <c r="BG565" s="54">
        <f t="shared" si="155"/>
        <v>115797.57715088001</v>
      </c>
      <c r="BH565" s="54">
        <f t="shared" si="156"/>
        <v>153965.13528365645</v>
      </c>
      <c r="BI565" s="54">
        <f t="shared" si="157"/>
        <v>146971.22564476336</v>
      </c>
      <c r="BJ565" s="20"/>
    </row>
    <row r="566" spans="37:62" x14ac:dyDescent="0.3">
      <c r="AK566">
        <v>562</v>
      </c>
      <c r="AL566">
        <v>281</v>
      </c>
      <c r="AN566" s="48">
        <f t="shared" si="158"/>
        <v>130141.96874918554</v>
      </c>
      <c r="AO566" s="48">
        <f t="shared" si="159"/>
        <v>41728.639964910362</v>
      </c>
      <c r="AP566" s="20"/>
      <c r="AQ566" s="50">
        <f t="shared" si="160"/>
        <v>-1212.2298066434678</v>
      </c>
      <c r="AR566" s="50">
        <f t="shared" si="161"/>
        <v>752.9177809352035</v>
      </c>
      <c r="AS566" s="20"/>
      <c r="AT566" s="52">
        <f t="shared" si="162"/>
        <v>-66.923715610000613</v>
      </c>
      <c r="AU566" s="52">
        <f t="shared" si="163"/>
        <v>-22.490857790719708</v>
      </c>
      <c r="AV566" s="20"/>
      <c r="AW566" s="20"/>
      <c r="AX566" s="20">
        <f t="shared" si="149"/>
        <v>-37.166834368710965</v>
      </c>
      <c r="AY566" s="20">
        <f t="shared" si="150"/>
        <v>-11.550276490327137</v>
      </c>
      <c r="AZ566" s="20"/>
      <c r="BA566" s="20">
        <f t="shared" si="151"/>
        <v>-7.4382931815951485</v>
      </c>
      <c r="BB566" s="20">
        <f t="shared" si="152"/>
        <v>-1.5718917786840347</v>
      </c>
      <c r="BC566" s="20"/>
      <c r="BD566" s="20">
        <f t="shared" si="153"/>
        <v>-22.318588059694505</v>
      </c>
      <c r="BE566" s="20">
        <f t="shared" si="154"/>
        <v>-9.3686895217085358</v>
      </c>
      <c r="BF566" s="20"/>
      <c r="BG566" s="54">
        <f t="shared" si="155"/>
        <v>115337.99492705787</v>
      </c>
      <c r="BH566" s="54">
        <f t="shared" si="156"/>
        <v>153457.86840010624</v>
      </c>
      <c r="BI566" s="54">
        <f t="shared" si="157"/>
        <v>146565.65187544547</v>
      </c>
      <c r="BJ566" s="20"/>
    </row>
    <row r="567" spans="37:62" x14ac:dyDescent="0.3">
      <c r="AK567">
        <v>563</v>
      </c>
      <c r="AL567">
        <v>281.5</v>
      </c>
      <c r="AN567" s="48">
        <f t="shared" si="158"/>
        <v>129527.48838141255</v>
      </c>
      <c r="AO567" s="48">
        <f t="shared" si="159"/>
        <v>42102.287498154117</v>
      </c>
      <c r="AP567" s="20"/>
      <c r="AQ567" s="50">
        <f t="shared" si="160"/>
        <v>-1245.6916644484681</v>
      </c>
      <c r="AR567" s="50">
        <f t="shared" si="161"/>
        <v>741.67235203984364</v>
      </c>
      <c r="AS567" s="20"/>
      <c r="AT567" s="52">
        <f t="shared" si="162"/>
        <v>-67.308736785996274</v>
      </c>
      <c r="AU567" s="52">
        <f t="shared" si="163"/>
        <v>-22.939071774454234</v>
      </c>
      <c r="AV567" s="20"/>
      <c r="AW567" s="20"/>
      <c r="AX567" s="20">
        <f t="shared" si="149"/>
        <v>-37.416088085264256</v>
      </c>
      <c r="AY567" s="20">
        <f t="shared" si="150"/>
        <v>-11.820614679613959</v>
      </c>
      <c r="AZ567" s="20"/>
      <c r="BA567" s="20">
        <f t="shared" si="151"/>
        <v>-7.4839730586582371</v>
      </c>
      <c r="BB567" s="20">
        <f t="shared" si="152"/>
        <v>-1.6067457385805448</v>
      </c>
      <c r="BC567" s="20"/>
      <c r="BD567" s="20">
        <f t="shared" si="153"/>
        <v>-22.408675642073788</v>
      </c>
      <c r="BE567" s="20">
        <f t="shared" si="154"/>
        <v>-9.5117113562597311</v>
      </c>
      <c r="BF567" s="20"/>
      <c r="BG567" s="54">
        <f t="shared" si="155"/>
        <v>114863.34929491379</v>
      </c>
      <c r="BH567" s="54">
        <f t="shared" si="156"/>
        <v>152934.71366654336</v>
      </c>
      <c r="BI567" s="54">
        <f t="shared" si="157"/>
        <v>146144.84721581166</v>
      </c>
      <c r="BJ567" s="20"/>
    </row>
    <row r="568" spans="37:62" x14ac:dyDescent="0.3">
      <c r="AK568">
        <v>564</v>
      </c>
      <c r="AL568">
        <v>282</v>
      </c>
      <c r="AN568" s="48">
        <f t="shared" si="158"/>
        <v>128896.22895709006</v>
      </c>
      <c r="AO568" s="48">
        <f t="shared" si="159"/>
        <v>42470.256290202226</v>
      </c>
      <c r="AP568" s="20"/>
      <c r="AQ568" s="50">
        <f t="shared" si="160"/>
        <v>-1279.3460328414662</v>
      </c>
      <c r="AR568" s="50">
        <f t="shared" si="161"/>
        <v>730.20281615261649</v>
      </c>
      <c r="AS568" s="20"/>
      <c r="AT568" s="52">
        <f t="shared" si="162"/>
        <v>-67.71181908066292</v>
      </c>
      <c r="AU568" s="52">
        <f t="shared" si="163"/>
        <v>-23.400539700593015</v>
      </c>
      <c r="AV568" s="20"/>
      <c r="AW568" s="20"/>
      <c r="AX568" s="20">
        <f t="shared" si="149"/>
        <v>-37.676775307257273</v>
      </c>
      <c r="AY568" s="20">
        <f t="shared" si="150"/>
        <v>-12.09928480812985</v>
      </c>
      <c r="AZ568" s="20"/>
      <c r="BA568" s="20">
        <f t="shared" si="151"/>
        <v>-7.5315881457186284</v>
      </c>
      <c r="BB568" s="20">
        <f t="shared" si="152"/>
        <v>-1.6424364745611499</v>
      </c>
      <c r="BC568" s="20"/>
      <c r="BD568" s="20">
        <f t="shared" si="153"/>
        <v>-22.503455627687018</v>
      </c>
      <c r="BE568" s="20">
        <f t="shared" si="154"/>
        <v>-9.6588184179020136</v>
      </c>
      <c r="BF568" s="20"/>
      <c r="BG568" s="54">
        <f t="shared" si="155"/>
        <v>114373.54373314402</v>
      </c>
      <c r="BH568" s="54">
        <f t="shared" si="156"/>
        <v>152395.55289178752</v>
      </c>
      <c r="BI568" s="54">
        <f t="shared" si="157"/>
        <v>145708.71795122972</v>
      </c>
      <c r="BJ568" s="20"/>
    </row>
    <row r="569" spans="37:62" x14ac:dyDescent="0.3">
      <c r="AK569">
        <v>565</v>
      </c>
      <c r="AL569">
        <v>282.5</v>
      </c>
      <c r="AN569" s="48">
        <f t="shared" si="158"/>
        <v>128248.09196328424</v>
      </c>
      <c r="AO569" s="48">
        <f t="shared" si="159"/>
        <v>42832.432630815958</v>
      </c>
      <c r="AP569" s="20"/>
      <c r="AQ569" s="50">
        <f t="shared" si="160"/>
        <v>-1313.2019423817976</v>
      </c>
      <c r="AR569" s="50">
        <f t="shared" si="161"/>
        <v>718.50254630231996</v>
      </c>
      <c r="AS569" s="20"/>
      <c r="AT569" s="52">
        <f t="shared" si="162"/>
        <v>-68.133501859447648</v>
      </c>
      <c r="AU569" s="52">
        <f t="shared" si="163"/>
        <v>-23.875920397230693</v>
      </c>
      <c r="AV569" s="20"/>
      <c r="AW569" s="20"/>
      <c r="AX569" s="20">
        <f t="shared" si="149"/>
        <v>-37.949266436905717</v>
      </c>
      <c r="AY569" s="20">
        <f t="shared" si="150"/>
        <v>-12.386730107221148</v>
      </c>
      <c r="AZ569" s="20"/>
      <c r="BA569" s="20">
        <f t="shared" si="151"/>
        <v>-7.5812002555235614</v>
      </c>
      <c r="BB569" s="20">
        <f t="shared" si="152"/>
        <v>-1.6790047234594292</v>
      </c>
      <c r="BC569" s="20"/>
      <c r="BD569" s="20">
        <f t="shared" si="153"/>
        <v>-22.603035167018373</v>
      </c>
      <c r="BE569" s="20">
        <f t="shared" si="154"/>
        <v>-9.8101855665501194</v>
      </c>
      <c r="BF569" s="20"/>
      <c r="BG569" s="54">
        <f t="shared" si="155"/>
        <v>113868.47768062411</v>
      </c>
      <c r="BH569" s="54">
        <f t="shared" si="156"/>
        <v>151840.26278695467</v>
      </c>
      <c r="BI569" s="54">
        <f t="shared" si="157"/>
        <v>145257.1660051707</v>
      </c>
      <c r="BJ569" s="20"/>
    </row>
    <row r="570" spans="37:62" x14ac:dyDescent="0.3">
      <c r="AK570">
        <v>566</v>
      </c>
      <c r="AL570">
        <v>283</v>
      </c>
      <c r="AN570" s="48">
        <f t="shared" si="158"/>
        <v>127582.97430436091</v>
      </c>
      <c r="AO570" s="48">
        <f t="shared" si="159"/>
        <v>43188.699413917464</v>
      </c>
      <c r="AP570" s="20"/>
      <c r="AQ570" s="50">
        <f t="shared" si="160"/>
        <v>-1347.2686933115215</v>
      </c>
      <c r="AR570" s="50">
        <f t="shared" si="161"/>
        <v>706.56458610370464</v>
      </c>
      <c r="AS570" s="20"/>
      <c r="AT570" s="52">
        <f t="shared" si="162"/>
        <v>-68.574357565012747</v>
      </c>
      <c r="AU570" s="52">
        <f t="shared" si="163"/>
        <v>-24.365910937354016</v>
      </c>
      <c r="AV570" s="20"/>
      <c r="AW570" s="20"/>
      <c r="AX570" s="20">
        <f t="shared" si="149"/>
        <v>-38.233954648686044</v>
      </c>
      <c r="AY570" s="20">
        <f t="shared" si="150"/>
        <v>-12.683420621946844</v>
      </c>
      <c r="AZ570" s="20"/>
      <c r="BA570" s="20">
        <f t="shared" si="151"/>
        <v>-7.6328748886045217</v>
      </c>
      <c r="BB570" s="20">
        <f t="shared" si="152"/>
        <v>-1.7164933254394283</v>
      </c>
      <c r="BC570" s="20"/>
      <c r="BD570" s="20">
        <f t="shared" si="153"/>
        <v>-22.70752802772218</v>
      </c>
      <c r="BE570" s="20">
        <f t="shared" si="154"/>
        <v>-9.9659969899677456</v>
      </c>
      <c r="BF570" s="20"/>
      <c r="BG570" s="54">
        <f t="shared" si="155"/>
        <v>113348.04641470329</v>
      </c>
      <c r="BH570" s="54">
        <f t="shared" si="156"/>
        <v>151268.71478699427</v>
      </c>
      <c r="BI570" s="54">
        <f t="shared" si="157"/>
        <v>144790.08880056004</v>
      </c>
      <c r="BJ570" s="20"/>
    </row>
    <row r="571" spans="37:62" x14ac:dyDescent="0.3">
      <c r="AK571">
        <v>567</v>
      </c>
      <c r="AL571">
        <v>283.5</v>
      </c>
      <c r="AN571" s="48">
        <f t="shared" si="158"/>
        <v>126900.76816300952</v>
      </c>
      <c r="AO571" s="48">
        <f t="shared" si="159"/>
        <v>43538.935968102145</v>
      </c>
      <c r="AP571" s="20"/>
      <c r="AQ571" s="50">
        <f t="shared" si="160"/>
        <v>-1381.5558720940278</v>
      </c>
      <c r="AR571" s="50">
        <f t="shared" si="161"/>
        <v>694.38163063502759</v>
      </c>
      <c r="AS571" s="20"/>
      <c r="AT571" s="52">
        <f t="shared" si="162"/>
        <v>-69.034993701893967</v>
      </c>
      <c r="AU571" s="52">
        <f t="shared" si="163"/>
        <v>-24.871249564856232</v>
      </c>
      <c r="AV571" s="20"/>
      <c r="AW571" s="20"/>
      <c r="AX571" s="20">
        <f t="shared" si="149"/>
        <v>-38.531257307915617</v>
      </c>
      <c r="AY571" s="20">
        <f t="shared" si="150"/>
        <v>-12.989855346717141</v>
      </c>
      <c r="AZ571" s="20"/>
      <c r="BA571" s="20">
        <f t="shared" si="151"/>
        <v>-7.6866814680268227</v>
      </c>
      <c r="BB571" s="20">
        <f t="shared" si="152"/>
        <v>-1.7549473756139649</v>
      </c>
      <c r="BC571" s="20"/>
      <c r="BD571" s="20">
        <f t="shared" si="153"/>
        <v>-22.817054925951531</v>
      </c>
      <c r="BE571" s="20">
        <f t="shared" si="154"/>
        <v>-10.126446842525127</v>
      </c>
      <c r="BF571" s="20"/>
      <c r="BG571" s="54">
        <f t="shared" si="155"/>
        <v>112812.14092266167</v>
      </c>
      <c r="BH571" s="54">
        <f t="shared" si="156"/>
        <v>150680.77486114387</v>
      </c>
      <c r="BI571" s="54">
        <f t="shared" si="157"/>
        <v>144307.37911232933</v>
      </c>
      <c r="BJ571" s="20"/>
    </row>
    <row r="572" spans="37:62" x14ac:dyDescent="0.3">
      <c r="AK572">
        <v>568</v>
      </c>
      <c r="AL572">
        <v>284</v>
      </c>
      <c r="AN572" s="48">
        <f t="shared" si="158"/>
        <v>126201.36085274977</v>
      </c>
      <c r="AO572" s="48">
        <f t="shared" si="159"/>
        <v>43883.017877224054</v>
      </c>
      <c r="AP572" s="20"/>
      <c r="AQ572" s="50">
        <f t="shared" si="160"/>
        <v>-1416.0733689449748</v>
      </c>
      <c r="AR572" s="50">
        <f t="shared" si="161"/>
        <v>681.94600585259946</v>
      </c>
      <c r="AS572" s="20"/>
      <c r="AT572" s="52">
        <f t="shared" si="162"/>
        <v>-69.51605498312729</v>
      </c>
      <c r="AU572" s="52">
        <f t="shared" si="163"/>
        <v>-25.392718878986223</v>
      </c>
      <c r="AV572" s="20"/>
      <c r="AW572" s="20"/>
      <c r="AX572" s="20">
        <f t="shared" si="149"/>
        <v>-38.841617505751302</v>
      </c>
      <c r="AY572" s="20">
        <f t="shared" si="150"/>
        <v>-13.306564555716408</v>
      </c>
      <c r="AZ572" s="20"/>
      <c r="BA572" s="20">
        <f t="shared" si="151"/>
        <v>-7.7426935938021151</v>
      </c>
      <c r="BB572" s="20">
        <f t="shared" si="152"/>
        <v>-1.7944143879816081</v>
      </c>
      <c r="BC572" s="20"/>
      <c r="BD572" s="20">
        <f t="shared" si="153"/>
        <v>-22.931743883573876</v>
      </c>
      <c r="BE572" s="20">
        <f t="shared" si="154"/>
        <v>-10.291739935288209</v>
      </c>
      <c r="BF572" s="20"/>
      <c r="BG572" s="54">
        <f t="shared" si="155"/>
        <v>112260.64776594858</v>
      </c>
      <c r="BH572" s="54">
        <f t="shared" si="156"/>
        <v>150076.30331156295</v>
      </c>
      <c r="BI572" s="54">
        <f t="shared" si="157"/>
        <v>143808.92491060126</v>
      </c>
      <c r="BJ572" s="20"/>
    </row>
    <row r="573" spans="37:62" x14ac:dyDescent="0.3">
      <c r="AK573">
        <v>569</v>
      </c>
      <c r="AL573">
        <v>284.5</v>
      </c>
      <c r="AN573" s="48">
        <f t="shared" si="158"/>
        <v>125484.63466140439</v>
      </c>
      <c r="AO573" s="48">
        <f t="shared" si="159"/>
        <v>44220.816790290482</v>
      </c>
      <c r="AP573" s="20"/>
      <c r="AQ573" s="50">
        <f t="shared" si="160"/>
        <v>-1450.8313964365384</v>
      </c>
      <c r="AR573" s="50">
        <f t="shared" si="161"/>
        <v>669.24964641310635</v>
      </c>
      <c r="AS573" s="20"/>
      <c r="AT573" s="52">
        <f t="shared" si="162"/>
        <v>-70.018225653203771</v>
      </c>
      <c r="AU573" s="52">
        <f t="shared" si="163"/>
        <v>-25.931149304364048</v>
      </c>
      <c r="AV573" s="20"/>
      <c r="AW573" s="20"/>
      <c r="AX573" s="20">
        <f t="shared" si="149"/>
        <v>-39.165505721052739</v>
      </c>
      <c r="AY573" s="20">
        <f t="shared" si="150"/>
        <v>-13.634112349142624</v>
      </c>
      <c r="AZ573" s="20"/>
      <c r="BA573" s="20">
        <f t="shared" si="151"/>
        <v>-7.8009893188324364</v>
      </c>
      <c r="BB573" s="20">
        <f t="shared" si="152"/>
        <v>-1.8349444728928377</v>
      </c>
      <c r="BC573" s="20"/>
      <c r="BD573" s="20">
        <f t="shared" si="153"/>
        <v>-23.051730613318593</v>
      </c>
      <c r="BE573" s="20">
        <f t="shared" si="154"/>
        <v>-10.462092482328586</v>
      </c>
      <c r="BF573" s="20"/>
      <c r="BG573" s="54">
        <f t="shared" si="155"/>
        <v>111693.44893679323</v>
      </c>
      <c r="BH573" s="54">
        <f t="shared" si="156"/>
        <v>149455.15455934242</v>
      </c>
      <c r="BI573" s="54">
        <f t="shared" si="157"/>
        <v>143294.60919388881</v>
      </c>
      <c r="BJ573" s="20"/>
    </row>
    <row r="574" spans="37:62" x14ac:dyDescent="0.3">
      <c r="AK574">
        <v>570</v>
      </c>
      <c r="AL574">
        <v>285</v>
      </c>
      <c r="AN574" s="48">
        <f t="shared" si="158"/>
        <v>124750.46668497946</v>
      </c>
      <c r="AO574" s="48">
        <f t="shared" si="159"/>
        <v>44552.200219833991</v>
      </c>
      <c r="AP574" s="20"/>
      <c r="AQ574" s="50">
        <f t="shared" si="160"/>
        <v>-1485.8405092631403</v>
      </c>
      <c r="AR574" s="50">
        <f t="shared" si="161"/>
        <v>656.28407176092435</v>
      </c>
      <c r="AS574" s="20"/>
      <c r="AT574" s="52">
        <f t="shared" si="162"/>
        <v>-70.542232003214565</v>
      </c>
      <c r="AU574" s="52">
        <f t="shared" si="163"/>
        <v>-26.487422876929507</v>
      </c>
      <c r="AV574" s="20"/>
      <c r="AW574" s="20"/>
      <c r="AX574" s="20">
        <f t="shared" si="149"/>
        <v>-39.503421620643635</v>
      </c>
      <c r="AY574" s="20">
        <f t="shared" si="150"/>
        <v>-13.973099438863793</v>
      </c>
      <c r="AZ574" s="20"/>
      <c r="BA574" s="20">
        <f t="shared" si="151"/>
        <v>-7.8616514484663309</v>
      </c>
      <c r="BB574" s="20">
        <f t="shared" si="152"/>
        <v>-1.8765905293909775</v>
      </c>
      <c r="BC574" s="20"/>
      <c r="BD574" s="20">
        <f t="shared" si="153"/>
        <v>-23.17715893410459</v>
      </c>
      <c r="BE574" s="20">
        <f t="shared" si="154"/>
        <v>-10.637732908674735</v>
      </c>
      <c r="BF574" s="20"/>
      <c r="BG574" s="54">
        <f t="shared" si="155"/>
        <v>111110.42170674926</v>
      </c>
      <c r="BH574" s="54">
        <f t="shared" si="156"/>
        <v>148817.17691701735</v>
      </c>
      <c r="BI574" s="54">
        <f t="shared" si="157"/>
        <v>142764.3098116373</v>
      </c>
      <c r="BJ574" s="20"/>
    </row>
    <row r="575" spans="37:62" x14ac:dyDescent="0.3">
      <c r="AK575">
        <v>571</v>
      </c>
      <c r="AL575">
        <v>285.5</v>
      </c>
      <c r="AN575" s="48">
        <f t="shared" si="158"/>
        <v>123998.7286513475</v>
      </c>
      <c r="AO575" s="48">
        <f t="shared" si="159"/>
        <v>44877.031327854835</v>
      </c>
      <c r="AP575" s="20"/>
      <c r="AQ575" s="50">
        <f t="shared" si="160"/>
        <v>-1521.1116252647475</v>
      </c>
      <c r="AR575" s="50">
        <f t="shared" si="161"/>
        <v>643.04036032245961</v>
      </c>
      <c r="AS575" s="20"/>
      <c r="AT575" s="52">
        <f t="shared" si="162"/>
        <v>-71.088845095725461</v>
      </c>
      <c r="AU575" s="52">
        <f t="shared" si="163"/>
        <v>-27.062477379865939</v>
      </c>
      <c r="AV575" s="20"/>
      <c r="AW575" s="20"/>
      <c r="AX575" s="20">
        <f t="shared" si="149"/>
        <v>-39.855896010719484</v>
      </c>
      <c r="AY575" s="20">
        <f t="shared" si="150"/>
        <v>-14.324166200017146</v>
      </c>
      <c r="AZ575" s="20"/>
      <c r="BA575" s="20">
        <f t="shared" si="151"/>
        <v>-7.9247678659831742</v>
      </c>
      <c r="BB575" s="20">
        <f t="shared" si="152"/>
        <v>-1.9194084539251663</v>
      </c>
      <c r="BC575" s="20"/>
      <c r="BD575" s="20">
        <f t="shared" si="153"/>
        <v>-23.308181219022803</v>
      </c>
      <c r="BE575" s="20">
        <f t="shared" si="154"/>
        <v>-10.81890272592363</v>
      </c>
      <c r="BF575" s="20"/>
      <c r="BG575" s="54">
        <f t="shared" si="155"/>
        <v>110511.43846670375</v>
      </c>
      <c r="BH575" s="54">
        <f t="shared" si="156"/>
        <v>148162.21234663235</v>
      </c>
      <c r="BI575" s="54">
        <f t="shared" si="157"/>
        <v>142217.89927537565</v>
      </c>
      <c r="BJ575" s="20"/>
    </row>
    <row r="576" spans="37:62" x14ac:dyDescent="0.3">
      <c r="AK576">
        <v>572</v>
      </c>
      <c r="AL576">
        <v>286</v>
      </c>
      <c r="AN576" s="48">
        <f t="shared" si="158"/>
        <v>123229.28673307816</v>
      </c>
      <c r="AO576" s="48">
        <f t="shared" si="159"/>
        <v>45195.168698343579</v>
      </c>
      <c r="AP576" s="20"/>
      <c r="AQ576" s="50">
        <f t="shared" si="160"/>
        <v>-1556.6560478126103</v>
      </c>
      <c r="AR576" s="50">
        <f t="shared" si="161"/>
        <v>629.50912163252667</v>
      </c>
      <c r="AS576" s="20"/>
      <c r="AT576" s="52">
        <f t="shared" si="162"/>
        <v>-71.658883718768138</v>
      </c>
      <c r="AU576" s="52">
        <f t="shared" si="163"/>
        <v>-27.65731086771212</v>
      </c>
      <c r="AV576" s="20"/>
      <c r="AW576" s="20"/>
      <c r="AX576" s="20">
        <f t="shared" si="149"/>
        <v>-40.223492953484005</v>
      </c>
      <c r="AY576" s="20">
        <f t="shared" si="150"/>
        <v>-14.687996018404743</v>
      </c>
      <c r="AZ576" s="20"/>
      <c r="BA576" s="20">
        <f t="shared" si="151"/>
        <v>-7.9904318865869035</v>
      </c>
      <c r="BB576" s="20">
        <f t="shared" si="152"/>
        <v>-1.9634573671035553</v>
      </c>
      <c r="BC576" s="20"/>
      <c r="BD576" s="20">
        <f t="shared" si="153"/>
        <v>-23.444958878697228</v>
      </c>
      <c r="BE576" s="20">
        <f t="shared" si="154"/>
        <v>-11.005857482203822</v>
      </c>
      <c r="BF576" s="20"/>
      <c r="BG576" s="54">
        <f t="shared" si="155"/>
        <v>109896.36655784689</v>
      </c>
      <c r="BH576" s="54">
        <f t="shared" si="156"/>
        <v>147490.09620232534</v>
      </c>
      <c r="BI576" s="54">
        <f t="shared" si="157"/>
        <v>141655.2445576796</v>
      </c>
      <c r="BJ576" s="20"/>
    </row>
    <row r="577" spans="37:62" x14ac:dyDescent="0.3">
      <c r="AK577">
        <v>573</v>
      </c>
      <c r="AL577">
        <v>286.5</v>
      </c>
      <c r="AN577" s="48">
        <f t="shared" si="158"/>
        <v>122442.00134870701</v>
      </c>
      <c r="AO577" s="48">
        <f t="shared" si="159"/>
        <v>45506.466095301374</v>
      </c>
      <c r="AP577" s="20"/>
      <c r="AQ577" s="50">
        <f t="shared" si="160"/>
        <v>-1592.4854896719944</v>
      </c>
      <c r="AR577" s="50">
        <f t="shared" si="161"/>
        <v>615.68046619867062</v>
      </c>
      <c r="AS577" s="20"/>
      <c r="AT577" s="52">
        <f t="shared" si="162"/>
        <v>-72.253217590435298</v>
      </c>
      <c r="AU577" s="52">
        <f t="shared" si="163"/>
        <v>-28.27298662163939</v>
      </c>
      <c r="AV577" s="20"/>
      <c r="AW577" s="20"/>
      <c r="AX577" s="20">
        <f t="shared" si="149"/>
        <v>-40.606812064615539</v>
      </c>
      <c r="AY577" s="20">
        <f t="shared" si="150"/>
        <v>-15.065318967351127</v>
      </c>
      <c r="AZ577" s="20"/>
      <c r="BA577" s="20">
        <f t="shared" si="151"/>
        <v>-8.0587426427942148</v>
      </c>
      <c r="BB577" s="20">
        <f t="shared" si="152"/>
        <v>-2.0087998603491224</v>
      </c>
      <c r="BC577" s="20"/>
      <c r="BD577" s="20">
        <f t="shared" si="153"/>
        <v>-23.587662883025541</v>
      </c>
      <c r="BE577" s="20">
        <f t="shared" si="154"/>
        <v>-11.198867793939142</v>
      </c>
      <c r="BF577" s="20"/>
      <c r="BG577" s="54">
        <f t="shared" si="155"/>
        <v>109265.06809306341</v>
      </c>
      <c r="BH577" s="54">
        <f t="shared" si="156"/>
        <v>146800.65695630191</v>
      </c>
      <c r="BI577" s="54">
        <f t="shared" si="157"/>
        <v>141076.20687807599</v>
      </c>
      <c r="BJ577" s="20"/>
    </row>
    <row r="578" spans="37:62" x14ac:dyDescent="0.3">
      <c r="AK578">
        <v>574</v>
      </c>
      <c r="AL578">
        <v>287</v>
      </c>
      <c r="AN578" s="48">
        <f t="shared" si="158"/>
        <v>121636.72695167222</v>
      </c>
      <c r="AO578" s="48">
        <f t="shared" si="159"/>
        <v>45810.772205073001</v>
      </c>
      <c r="AP578" s="20"/>
      <c r="AQ578" s="50">
        <f t="shared" si="160"/>
        <v>-1628.612098467212</v>
      </c>
      <c r="AR578" s="50">
        <f t="shared" si="161"/>
        <v>601.54397288785094</v>
      </c>
      <c r="AS578" s="20"/>
      <c r="AT578" s="52">
        <f t="shared" si="162"/>
        <v>-72.872770837873148</v>
      </c>
      <c r="AU578" s="52">
        <f t="shared" si="163"/>
        <v>-28.910638584293487</v>
      </c>
      <c r="AV578" s="20"/>
      <c r="AW578" s="20"/>
      <c r="AX578" s="20">
        <f t="shared" si="149"/>
        <v>-41.00649100882476</v>
      </c>
      <c r="AY578" s="20">
        <f t="shared" si="150"/>
        <v>-15.456915852037012</v>
      </c>
      <c r="AZ578" s="20"/>
      <c r="BA578" s="20">
        <f t="shared" si="151"/>
        <v>-8.1298055044407196</v>
      </c>
      <c r="BB578" s="20">
        <f t="shared" si="152"/>
        <v>-2.0555022645391476</v>
      </c>
      <c r="BC578" s="20"/>
      <c r="BD578" s="20">
        <f t="shared" si="153"/>
        <v>-23.736474324607666</v>
      </c>
      <c r="BE578" s="20">
        <f t="shared" si="154"/>
        <v>-11.398220467717326</v>
      </c>
      <c r="BF578" s="20"/>
      <c r="BG578" s="54">
        <f t="shared" si="155"/>
        <v>108617.39976816683</v>
      </c>
      <c r="BH578" s="54">
        <f t="shared" si="156"/>
        <v>146093.71590696907</v>
      </c>
      <c r="BI578" s="54">
        <f t="shared" si="157"/>
        <v>140480.64147493656</v>
      </c>
      <c r="BJ578" s="20"/>
    </row>
    <row r="579" spans="37:62" x14ac:dyDescent="0.3">
      <c r="AK579">
        <v>575</v>
      </c>
      <c r="AL579">
        <v>287.5</v>
      </c>
      <c r="AN579" s="48">
        <f t="shared" si="158"/>
        <v>120813.31180608388</v>
      </c>
      <c r="AO579" s="48">
        <f t="shared" si="159"/>
        <v>46107.930361693892</v>
      </c>
      <c r="AP579" s="20"/>
      <c r="AQ579" s="50">
        <f t="shared" si="160"/>
        <v>-1665.0484838861487</v>
      </c>
      <c r="AR579" s="50">
        <f t="shared" si="161"/>
        <v>587.08865359570416</v>
      </c>
      <c r="AS579" s="20"/>
      <c r="AT579" s="52">
        <f t="shared" si="162"/>
        <v>-73.518525777080654</v>
      </c>
      <c r="AU579" s="52">
        <f t="shared" si="163"/>
        <v>-29.571477328811326</v>
      </c>
      <c r="AV579" s="20"/>
      <c r="AW579" s="20"/>
      <c r="AX579" s="20">
        <f t="shared" si="149"/>
        <v>-41.423208212648341</v>
      </c>
      <c r="AY579" s="20">
        <f t="shared" si="150"/>
        <v>-15.863622664317246</v>
      </c>
      <c r="AZ579" s="20"/>
      <c r="BA579" s="20">
        <f t="shared" si="151"/>
        <v>-8.2037325369172116</v>
      </c>
      <c r="BB579" s="20">
        <f t="shared" si="152"/>
        <v>-2.1036349429583598</v>
      </c>
      <c r="BC579" s="20"/>
      <c r="BD579" s="20">
        <f t="shared" si="153"/>
        <v>-23.891585027515109</v>
      </c>
      <c r="BE579" s="20">
        <f t="shared" si="154"/>
        <v>-11.604219721535722</v>
      </c>
      <c r="BF579" s="20"/>
      <c r="BG579" s="54">
        <f t="shared" si="155"/>
        <v>107953.21266235709</v>
      </c>
      <c r="BH579" s="54">
        <f t="shared" si="156"/>
        <v>145369.08686788377</v>
      </c>
      <c r="BI579" s="54">
        <f t="shared" si="157"/>
        <v>139868.3973623224</v>
      </c>
      <c r="BJ579" s="20"/>
    </row>
    <row r="580" spans="37:62" x14ac:dyDescent="0.3">
      <c r="AK580">
        <v>576</v>
      </c>
      <c r="AL580">
        <v>288</v>
      </c>
      <c r="AN580" s="48">
        <f t="shared" si="158"/>
        <v>119971.59774841867</v>
      </c>
      <c r="AO580" s="48">
        <f t="shared" si="159"/>
        <v>46397.778253825643</v>
      </c>
      <c r="AP580" s="20"/>
      <c r="AQ580" s="50">
        <f t="shared" si="160"/>
        <v>-1701.8077467746891</v>
      </c>
      <c r="AR580" s="50">
        <f t="shared" si="161"/>
        <v>572.30291493129846</v>
      </c>
      <c r="AS580" s="20"/>
      <c r="AT580" s="52">
        <f t="shared" si="162"/>
        <v>-74.191527022829987</v>
      </c>
      <c r="AU580" s="52">
        <f t="shared" si="163"/>
        <v>-30.256796623726935</v>
      </c>
      <c r="AV580" s="20"/>
      <c r="AW580" s="20"/>
      <c r="AX580" s="20">
        <f t="shared" ref="AX580:AX643" si="164">Masse_1*(q_1x-AN580)/($BG580^2+Aarseth_1^2)^(3/2)</f>
        <v>-41.857685815704947</v>
      </c>
      <c r="AY580" s="20">
        <f t="shared" ref="AY580:AY643" si="165">Masse_1*(q_1y-AO580)/($BG580^2+Aarseth_1^2)^(3/2)</f>
        <v>-16.286335496757108</v>
      </c>
      <c r="AZ580" s="20"/>
      <c r="BA580" s="20">
        <f t="shared" ref="BA580:BA643" si="166">Masse_2*(q_2x-AN580)/($BH580^2+Aarseth_2^2)^(3/2)</f>
        <v>-8.2806430016881976</v>
      </c>
      <c r="BB580" s="20">
        <f t="shared" ref="BB580:BB643" si="167">Masse_2*(q_2y-AO580)/($BH580^2+Aarseth_2^2)^(3/2)</f>
        <v>-2.1532726111783287</v>
      </c>
      <c r="BC580" s="20"/>
      <c r="BD580" s="20">
        <f t="shared" ref="BD580:BD643" si="168">Masse_3*(q_3x-AN580)/($BI580^2+Aarseth_3^2)^(3/2)</f>
        <v>-24.053198205436843</v>
      </c>
      <c r="BE580" s="20">
        <f t="shared" ref="BE580:BE643" si="169">Masse_3*(q_3y-AO580)/($BI580^2+Aarseth_3^2)^(3/2)</f>
        <v>-11.8171885157915</v>
      </c>
      <c r="BF580" s="20"/>
      <c r="BG580" s="54">
        <f t="shared" ref="BG580:BG643" si="170">SQRT((q_1x-AN580)^2+(q_1y-AO580)^2)</f>
        <v>107272.35202723683</v>
      </c>
      <c r="BH580" s="54">
        <f t="shared" ref="BH580:BH643" si="171">SQRT((q_2x-AN580)^2+(q_2y-AO580)^2)</f>
        <v>144626.57583604677</v>
      </c>
      <c r="BI580" s="54">
        <f t="shared" ref="BI580:BI643" si="172">SQRT((q_3x-AN580)^2+(q_3y-AO580)^2)</f>
        <v>139239.31707064103</v>
      </c>
      <c r="BJ580" s="20"/>
    </row>
    <row r="581" spans="37:62" x14ac:dyDescent="0.3">
      <c r="AK581">
        <v>577</v>
      </c>
      <c r="AL581">
        <v>288.5</v>
      </c>
      <c r="AN581" s="48">
        <f t="shared" ref="AN581:AN644" si="173">AN580+(AQ580*bt)+(0.5*AT580)*bt^2</f>
        <v>119111.41993415347</v>
      </c>
      <c r="AO581" s="48">
        <f t="shared" ref="AO581:AO644" si="174">AO580+(AR580*bt)+(0.5*AU580)*bt^2</f>
        <v>46680.147611713321</v>
      </c>
      <c r="AP581" s="20"/>
      <c r="AQ581" s="50">
        <f t="shared" ref="AQ581:AQ644" si="175">AQ580+(AT580*bt)</f>
        <v>-1738.9035102861042</v>
      </c>
      <c r="AR581" s="50">
        <f t="shared" ref="AR581:AR644" si="176">AR580+(AU580*bt)</f>
        <v>557.17451661943494</v>
      </c>
      <c r="AS581" s="20"/>
      <c r="AT581" s="52">
        <f t="shared" si="162"/>
        <v>-74.892885961294397</v>
      </c>
      <c r="AU581" s="52">
        <f t="shared" si="163"/>
        <v>-30.967980663637796</v>
      </c>
      <c r="AV581" s="20"/>
      <c r="AW581" s="20"/>
      <c r="AX581" s="20">
        <f t="shared" si="164"/>
        <v>-42.310692883986988</v>
      </c>
      <c r="AY581" s="20">
        <f t="shared" si="165"/>
        <v>-16.726015971215311</v>
      </c>
      <c r="AZ581" s="20"/>
      <c r="BA581" s="20">
        <f t="shared" si="166"/>
        <v>-8.3606639036433155</v>
      </c>
      <c r="BB581" s="20">
        <f t="shared" si="167"/>
        <v>-2.2044946867965147</v>
      </c>
      <c r="BC581" s="20"/>
      <c r="BD581" s="20">
        <f t="shared" si="168"/>
        <v>-24.221529173664091</v>
      </c>
      <c r="BE581" s="20">
        <f t="shared" si="169"/>
        <v>-12.037470005625972</v>
      </c>
      <c r="BF581" s="20"/>
      <c r="BG581" s="54">
        <f t="shared" si="170"/>
        <v>106574.65706367418</v>
      </c>
      <c r="BH581" s="54">
        <f t="shared" si="171"/>
        <v>143865.98063793077</v>
      </c>
      <c r="BI581" s="54">
        <f t="shared" si="172"/>
        <v>138593.23636986956</v>
      </c>
      <c r="BJ581" s="20"/>
    </row>
    <row r="582" spans="37:62" x14ac:dyDescent="0.3">
      <c r="AK582">
        <v>578</v>
      </c>
      <c r="AL582">
        <v>289</v>
      </c>
      <c r="AN582" s="48">
        <f t="shared" si="173"/>
        <v>118232.60656826526</v>
      </c>
      <c r="AO582" s="48">
        <f t="shared" si="174"/>
        <v>46954.863872440081</v>
      </c>
      <c r="AP582" s="20"/>
      <c r="AQ582" s="50">
        <f t="shared" si="175"/>
        <v>-1776.3499532667513</v>
      </c>
      <c r="AR582" s="50">
        <f t="shared" si="176"/>
        <v>541.69052628761608</v>
      </c>
      <c r="AS582" s="20"/>
      <c r="AT582" s="52">
        <f t="shared" si="162"/>
        <v>-75.6237856216284</v>
      </c>
      <c r="AU582" s="52">
        <f t="shared" si="163"/>
        <v>-31.706512044874771</v>
      </c>
      <c r="AV582" s="20"/>
      <c r="AW582" s="20"/>
      <c r="AX582" s="20">
        <f t="shared" si="164"/>
        <v>-42.783048911365562</v>
      </c>
      <c r="AY582" s="20">
        <f t="shared" si="165"/>
        <v>-17.183697244894184</v>
      </c>
      <c r="AZ582" s="20"/>
      <c r="BA582" s="20">
        <f t="shared" si="166"/>
        <v>-8.4439305904063726</v>
      </c>
      <c r="BB582" s="20">
        <f t="shared" si="167"/>
        <v>-2.2573856723355581</v>
      </c>
      <c r="BC582" s="20"/>
      <c r="BD582" s="20">
        <f t="shared" si="168"/>
        <v>-24.396806119856468</v>
      </c>
      <c r="BE582" s="20">
        <f t="shared" si="169"/>
        <v>-12.265429127645026</v>
      </c>
      <c r="BF582" s="20"/>
      <c r="BG582" s="54">
        <f t="shared" si="170"/>
        <v>105859.96068574922</v>
      </c>
      <c r="BH582" s="54">
        <f t="shared" si="171"/>
        <v>143087.09055147981</v>
      </c>
      <c r="BI582" s="54">
        <f t="shared" si="172"/>
        <v>137929.98397397657</v>
      </c>
      <c r="BJ582" s="20"/>
    </row>
    <row r="583" spans="37:62" x14ac:dyDescent="0.3">
      <c r="AK583">
        <v>579</v>
      </c>
      <c r="AL583">
        <v>289.5</v>
      </c>
      <c r="AN583" s="48">
        <f t="shared" si="173"/>
        <v>117334.97861842917</v>
      </c>
      <c r="AO583" s="48">
        <f t="shared" si="174"/>
        <v>47221.745821578275</v>
      </c>
      <c r="AP583" s="20"/>
      <c r="AQ583" s="50">
        <f t="shared" si="175"/>
        <v>-1814.1618460775655</v>
      </c>
      <c r="AR583" s="50">
        <f t="shared" si="176"/>
        <v>525.83727026517874</v>
      </c>
      <c r="AS583" s="20"/>
      <c r="AT583" s="52">
        <f t="shared" si="162"/>
        <v>-76.385485986866584</v>
      </c>
      <c r="AU583" s="52">
        <f t="shared" si="163"/>
        <v>-32.473980576219844</v>
      </c>
      <c r="AV583" s="20"/>
      <c r="AW583" s="20"/>
      <c r="AX583" s="20">
        <f t="shared" si="164"/>
        <v>-43.275627638424119</v>
      </c>
      <c r="AY583" s="20">
        <f t="shared" si="165"/>
        <v>-17.66049066555486</v>
      </c>
      <c r="AZ583" s="20"/>
      <c r="BA583" s="20">
        <f t="shared" si="166"/>
        <v>-8.5305874093766043</v>
      </c>
      <c r="BB583" s="20">
        <f t="shared" si="167"/>
        <v>-2.312035575021111</v>
      </c>
      <c r="BC583" s="20"/>
      <c r="BD583" s="20">
        <f t="shared" si="168"/>
        <v>-24.579270939065868</v>
      </c>
      <c r="BE583" s="20">
        <f t="shared" si="169"/>
        <v>-12.501454335643874</v>
      </c>
      <c r="BF583" s="20"/>
      <c r="BG583" s="54">
        <f t="shared" si="170"/>
        <v>105128.08927096571</v>
      </c>
      <c r="BH583" s="54">
        <f t="shared" si="171"/>
        <v>142289.68590214322</v>
      </c>
      <c r="BI583" s="54">
        <f t="shared" si="172"/>
        <v>137249.38122504091</v>
      </c>
      <c r="BJ583" s="20"/>
    </row>
    <row r="584" spans="37:62" x14ac:dyDescent="0.3">
      <c r="AK584">
        <v>580</v>
      </c>
      <c r="AL584">
        <v>290</v>
      </c>
      <c r="AN584" s="48">
        <f t="shared" si="173"/>
        <v>116418.34950964204</v>
      </c>
      <c r="AO584" s="48">
        <f t="shared" si="174"/>
        <v>47480.605209138841</v>
      </c>
      <c r="AP584" s="20"/>
      <c r="AQ584" s="50">
        <f t="shared" si="175"/>
        <v>-1852.3545890709988</v>
      </c>
      <c r="AR584" s="50">
        <f t="shared" si="176"/>
        <v>509.60027997706879</v>
      </c>
      <c r="AS584" s="20"/>
      <c r="AT584" s="52">
        <f t="shared" si="162"/>
        <v>-77.179329789134997</v>
      </c>
      <c r="AU584" s="52">
        <f t="shared" si="163"/>
        <v>-33.27209302718142</v>
      </c>
      <c r="AV584" s="20"/>
      <c r="AW584" s="20"/>
      <c r="AX584" s="20">
        <f t="shared" si="164"/>
        <v>-43.789361221009649</v>
      </c>
      <c r="AY584" s="20">
        <f t="shared" si="165"/>
        <v>-18.157593157747264</v>
      </c>
      <c r="AZ584" s="20"/>
      <c r="BA584" s="20">
        <f t="shared" si="166"/>
        <v>-8.6207884290264118</v>
      </c>
      <c r="BB584" s="20">
        <f t="shared" si="167"/>
        <v>-2.3685403676359065</v>
      </c>
      <c r="BC584" s="20"/>
      <c r="BD584" s="20">
        <f t="shared" si="168"/>
        <v>-24.769180139098932</v>
      </c>
      <c r="BE584" s="20">
        <f t="shared" si="169"/>
        <v>-12.74595950179825</v>
      </c>
      <c r="BF584" s="20"/>
      <c r="BG584" s="54">
        <f t="shared" si="170"/>
        <v>104378.86239585344</v>
      </c>
      <c r="BH584" s="54">
        <f t="shared" si="171"/>
        <v>141473.53763081695</v>
      </c>
      <c r="BI584" s="54">
        <f t="shared" si="172"/>
        <v>136551.24175541525</v>
      </c>
      <c r="BJ584" s="20"/>
    </row>
    <row r="585" spans="37:62" x14ac:dyDescent="0.3">
      <c r="AK585">
        <v>581</v>
      </c>
      <c r="AL585">
        <v>290.5</v>
      </c>
      <c r="AN585" s="48">
        <f t="shared" si="173"/>
        <v>115482.52479888289</v>
      </c>
      <c r="AO585" s="48">
        <f t="shared" si="174"/>
        <v>47731.246337498975</v>
      </c>
      <c r="AP585" s="20"/>
      <c r="AQ585" s="50">
        <f t="shared" si="175"/>
        <v>-1890.9442539655663</v>
      </c>
      <c r="AR585" s="50">
        <f t="shared" si="176"/>
        <v>492.96423346347808</v>
      </c>
      <c r="AS585" s="20"/>
      <c r="AT585" s="52">
        <f t="shared" si="162"/>
        <v>-78.006748839360625</v>
      </c>
      <c r="AU585" s="52">
        <f t="shared" si="163"/>
        <v>-34.102683930749336</v>
      </c>
      <c r="AV585" s="20"/>
      <c r="AW585" s="20"/>
      <c r="AX585" s="20">
        <f t="shared" si="164"/>
        <v>-44.325244784554584</v>
      </c>
      <c r="AY585" s="20">
        <f t="shared" si="165"/>
        <v>-18.676295433677311</v>
      </c>
      <c r="AZ585" s="20"/>
      <c r="BA585" s="20">
        <f t="shared" si="166"/>
        <v>-8.7146982318354436</v>
      </c>
      <c r="BB585" s="20">
        <f t="shared" si="167"/>
        <v>-2.4270024951960525</v>
      </c>
      <c r="BC585" s="20"/>
      <c r="BD585" s="20">
        <f t="shared" si="168"/>
        <v>-24.966805822970603</v>
      </c>
      <c r="BE585" s="20">
        <f t="shared" si="169"/>
        <v>-12.999386001875971</v>
      </c>
      <c r="BF585" s="20"/>
      <c r="BG585" s="54">
        <f t="shared" si="170"/>
        <v>103612.09255602268</v>
      </c>
      <c r="BH585" s="54">
        <f t="shared" si="171"/>
        <v>140638.40683135224</v>
      </c>
      <c r="BI585" s="54">
        <f t="shared" si="172"/>
        <v>135835.37112611506</v>
      </c>
      <c r="BJ585" s="20"/>
    </row>
    <row r="586" spans="37:62" x14ac:dyDescent="0.3">
      <c r="AK586">
        <v>582</v>
      </c>
      <c r="AL586">
        <v>291</v>
      </c>
      <c r="AN586" s="48">
        <f t="shared" si="173"/>
        <v>114527.30182829518</v>
      </c>
      <c r="AO586" s="48">
        <f t="shared" si="174"/>
        <v>47973.46561873937</v>
      </c>
      <c r="AP586" s="20"/>
      <c r="AQ586" s="50">
        <f t="shared" si="175"/>
        <v>-1929.9476283852466</v>
      </c>
      <c r="AR586" s="50">
        <f t="shared" si="176"/>
        <v>475.91289149810342</v>
      </c>
      <c r="AS586" s="20"/>
      <c r="AT586" s="52">
        <f t="shared" si="162"/>
        <v>-78.869270947540997</v>
      </c>
      <c r="AU586" s="52">
        <f t="shared" si="163"/>
        <v>-34.96772757427302</v>
      </c>
      <c r="AV586" s="20"/>
      <c r="AW586" s="20"/>
      <c r="AX586" s="20">
        <f t="shared" si="164"/>
        <v>-44.884341404344973</v>
      </c>
      <c r="AY586" s="20">
        <f t="shared" si="165"/>
        <v>-19.217991136024786</v>
      </c>
      <c r="AZ586" s="20"/>
      <c r="BA586" s="20">
        <f t="shared" si="166"/>
        <v>-8.8124927872295498</v>
      </c>
      <c r="BB586" s="20">
        <f t="shared" si="167"/>
        <v>-2.4875314328267071</v>
      </c>
      <c r="BC586" s="20"/>
      <c r="BD586" s="20">
        <f t="shared" si="168"/>
        <v>-25.172436755966473</v>
      </c>
      <c r="BE586" s="20">
        <f t="shared" si="169"/>
        <v>-13.262205005421526</v>
      </c>
      <c r="BF586" s="20"/>
      <c r="BG586" s="54">
        <f t="shared" si="170"/>
        <v>102827.58486966859</v>
      </c>
      <c r="BH586" s="54">
        <f t="shared" si="171"/>
        <v>139784.04425505368</v>
      </c>
      <c r="BI586" s="54">
        <f t="shared" si="172"/>
        <v>135101.56643942706</v>
      </c>
      <c r="BJ586" s="20"/>
    </row>
    <row r="587" spans="37:62" x14ac:dyDescent="0.3">
      <c r="AK587">
        <v>583</v>
      </c>
      <c r="AL587">
        <v>291.5</v>
      </c>
      <c r="AN587" s="48">
        <f t="shared" si="173"/>
        <v>113552.46935523412</v>
      </c>
      <c r="AO587" s="48">
        <f t="shared" si="174"/>
        <v>48207.051098541633</v>
      </c>
      <c r="AP587" s="20"/>
      <c r="AQ587" s="50">
        <f t="shared" si="175"/>
        <v>-1969.382263859017</v>
      </c>
      <c r="AR587" s="50">
        <f t="shared" si="176"/>
        <v>458.42902771096692</v>
      </c>
      <c r="AS587" s="20"/>
      <c r="AT587" s="52">
        <f t="shared" si="162"/>
        <v>-79.768527496219178</v>
      </c>
      <c r="AU587" s="52">
        <f t="shared" si="163"/>
        <v>-35.869351331517741</v>
      </c>
      <c r="AV587" s="20"/>
      <c r="AW587" s="20"/>
      <c r="AX587" s="20">
        <f t="shared" si="164"/>
        <v>-45.467787556508</v>
      </c>
      <c r="AY587" s="20">
        <f t="shared" si="165"/>
        <v>-19.784187035965754</v>
      </c>
      <c r="AZ587" s="20"/>
      <c r="BA587" s="20">
        <f t="shared" si="166"/>
        <v>-8.9143604140275396</v>
      </c>
      <c r="BB587" s="20">
        <f t="shared" si="167"/>
        <v>-2.5502443009393794</v>
      </c>
      <c r="BC587" s="20"/>
      <c r="BD587" s="20">
        <f t="shared" si="168"/>
        <v>-25.386379525683637</v>
      </c>
      <c r="BE587" s="20">
        <f t="shared" si="169"/>
        <v>-13.534919994612608</v>
      </c>
      <c r="BF587" s="20"/>
      <c r="BG587" s="54">
        <f t="shared" si="170"/>
        <v>102025.13676345305</v>
      </c>
      <c r="BH587" s="54">
        <f t="shared" si="171"/>
        <v>138910.18977932225</v>
      </c>
      <c r="BI587" s="54">
        <f t="shared" si="172"/>
        <v>134349.61592352015</v>
      </c>
      <c r="BJ587" s="20"/>
    </row>
    <row r="588" spans="37:62" x14ac:dyDescent="0.3">
      <c r="AK588">
        <v>584</v>
      </c>
      <c r="AL588">
        <v>292</v>
      </c>
      <c r="AN588" s="48">
        <f t="shared" si="173"/>
        <v>112557.80715736758</v>
      </c>
      <c r="AO588" s="48">
        <f t="shared" si="174"/>
        <v>48431.781943480681</v>
      </c>
      <c r="AP588" s="20"/>
      <c r="AQ588" s="50">
        <f t="shared" si="175"/>
        <v>-2009.2665276071266</v>
      </c>
      <c r="AR588" s="50">
        <f t="shared" si="176"/>
        <v>440.49435204520807</v>
      </c>
      <c r="AS588" s="20"/>
      <c r="AT588" s="52">
        <f t="shared" si="162"/>
        <v>-80.706261737239515</v>
      </c>
      <c r="AU588" s="52">
        <f t="shared" si="163"/>
        <v>-36.809850511562217</v>
      </c>
      <c r="AV588" s="20"/>
      <c r="AW588" s="20"/>
      <c r="AX588" s="20">
        <f t="shared" si="164"/>
        <v>-46.076799089634186</v>
      </c>
      <c r="AY588" s="20">
        <f t="shared" si="165"/>
        <v>-20.376514428262901</v>
      </c>
      <c r="AZ588" s="20"/>
      <c r="BA588" s="20">
        <f t="shared" si="166"/>
        <v>-9.0205028432134764</v>
      </c>
      <c r="BB588" s="20">
        <f t="shared" si="167"/>
        <v>-2.6152665446507402</v>
      </c>
      <c r="BC588" s="20"/>
      <c r="BD588" s="20">
        <f t="shared" si="168"/>
        <v>-25.608959804391844</v>
      </c>
      <c r="BE588" s="20">
        <f t="shared" si="169"/>
        <v>-13.818069538648579</v>
      </c>
      <c r="BF588" s="20"/>
      <c r="BG588" s="54">
        <f t="shared" si="170"/>
        <v>101204.5376396192</v>
      </c>
      <c r="BH588" s="54">
        <f t="shared" si="171"/>
        <v>138016.57183730183</v>
      </c>
      <c r="BI588" s="54">
        <f t="shared" si="172"/>
        <v>133579.29848660724</v>
      </c>
      <c r="BJ588" s="20"/>
    </row>
    <row r="589" spans="37:62" x14ac:dyDescent="0.3">
      <c r="AK589">
        <v>585</v>
      </c>
      <c r="AL589">
        <v>292.5</v>
      </c>
      <c r="AN589" s="48">
        <f t="shared" si="173"/>
        <v>111543.08561084686</v>
      </c>
      <c r="AO589" s="48">
        <f t="shared" si="174"/>
        <v>48647.427888189341</v>
      </c>
      <c r="AP589" s="20"/>
      <c r="AQ589" s="50">
        <f t="shared" si="175"/>
        <v>-2049.6196584757463</v>
      </c>
      <c r="AR589" s="50">
        <f t="shared" si="176"/>
        <v>422.08942678942697</v>
      </c>
      <c r="AS589" s="20"/>
      <c r="AT589" s="52">
        <f t="shared" si="162"/>
        <v>-81.684337890266931</v>
      </c>
      <c r="AU589" s="52">
        <f t="shared" si="163"/>
        <v>-37.791704926603728</v>
      </c>
      <c r="AV589" s="20"/>
      <c r="AW589" s="20"/>
      <c r="AX589" s="20">
        <f t="shared" si="164"/>
        <v>-46.712677772744804</v>
      </c>
      <c r="AY589" s="20">
        <f t="shared" si="165"/>
        <v>-20.996741887084621</v>
      </c>
      <c r="AZ589" s="20"/>
      <c r="BA589" s="20">
        <f t="shared" si="166"/>
        <v>-9.1311363933725378</v>
      </c>
      <c r="BB589" s="20">
        <f t="shared" si="167"/>
        <v>-2.6827326853505649</v>
      </c>
      <c r="BC589" s="20"/>
      <c r="BD589" s="20">
        <f t="shared" si="168"/>
        <v>-25.840523724149584</v>
      </c>
      <c r="BE589" s="20">
        <f t="shared" si="169"/>
        <v>-14.112230354168545</v>
      </c>
      <c r="BF589" s="20"/>
      <c r="BG589" s="54">
        <f t="shared" si="170"/>
        <v>100365.56852311741</v>
      </c>
      <c r="BH589" s="54">
        <f t="shared" si="171"/>
        <v>137102.90680505423</v>
      </c>
      <c r="BI589" s="54">
        <f t="shared" si="172"/>
        <v>132790.38323794174</v>
      </c>
      <c r="BJ589" s="20"/>
    </row>
    <row r="590" spans="37:62" x14ac:dyDescent="0.3">
      <c r="AK590">
        <v>586</v>
      </c>
      <c r="AL590">
        <v>293</v>
      </c>
      <c r="AN590" s="48">
        <f t="shared" si="173"/>
        <v>110508.06523937271</v>
      </c>
      <c r="AO590" s="48">
        <f t="shared" si="174"/>
        <v>48853.748638468234</v>
      </c>
      <c r="AP590" s="20"/>
      <c r="AQ590" s="50">
        <f t="shared" si="175"/>
        <v>-2090.4618274208797</v>
      </c>
      <c r="AR590" s="50">
        <f t="shared" si="176"/>
        <v>403.19357432612509</v>
      </c>
      <c r="AS590" s="20"/>
      <c r="AT590" s="52">
        <f t="shared" si="162"/>
        <v>-82.704751130960716</v>
      </c>
      <c r="AU590" s="52">
        <f t="shared" si="163"/>
        <v>-38.817597411598157</v>
      </c>
      <c r="AV590" s="20"/>
      <c r="AW590" s="20"/>
      <c r="AX590" s="20">
        <f t="shared" si="164"/>
        <v>-47.376818481724563</v>
      </c>
      <c r="AY590" s="20">
        <f t="shared" si="165"/>
        <v>-21.6467895717572</v>
      </c>
      <c r="AZ590" s="20"/>
      <c r="BA590" s="20">
        <f t="shared" si="166"/>
        <v>-9.2464932728908575</v>
      </c>
      <c r="BB590" s="20">
        <f t="shared" si="167"/>
        <v>-2.7527871534471586</v>
      </c>
      <c r="BC590" s="20"/>
      <c r="BD590" s="20">
        <f t="shared" si="168"/>
        <v>-26.081439376345291</v>
      </c>
      <c r="BE590" s="20">
        <f t="shared" si="169"/>
        <v>-14.418020686393797</v>
      </c>
      <c r="BF590" s="20"/>
      <c r="BG590" s="54">
        <f t="shared" si="170"/>
        <v>99508.001687443</v>
      </c>
      <c r="BH590" s="54">
        <f t="shared" si="171"/>
        <v>136168.89834241016</v>
      </c>
      <c r="BI590" s="54">
        <f t="shared" si="172"/>
        <v>131982.62897263363</v>
      </c>
      <c r="BJ590" s="20"/>
    </row>
    <row r="591" spans="37:62" x14ac:dyDescent="0.3">
      <c r="AK591">
        <v>587</v>
      </c>
      <c r="AL591">
        <v>293.5</v>
      </c>
      <c r="AN591" s="48">
        <f t="shared" si="173"/>
        <v>109452.49623177089</v>
      </c>
      <c r="AO591" s="48">
        <f t="shared" si="174"/>
        <v>49050.493225954851</v>
      </c>
      <c r="AP591" s="20"/>
      <c r="AQ591" s="50">
        <f t="shared" si="175"/>
        <v>-2131.8142029863602</v>
      </c>
      <c r="AR591" s="50">
        <f t="shared" si="176"/>
        <v>383.784775620326</v>
      </c>
      <c r="AS591" s="20"/>
      <c r="AT591" s="52">
        <f t="shared" si="162"/>
        <v>-83.769638567392747</v>
      </c>
      <c r="AU591" s="52">
        <f t="shared" si="163"/>
        <v>-39.890434564902677</v>
      </c>
      <c r="AV591" s="20"/>
      <c r="AW591" s="20"/>
      <c r="AX591" s="20">
        <f t="shared" si="164"/>
        <v>-48.07071709356503</v>
      </c>
      <c r="AY591" s="20">
        <f t="shared" si="165"/>
        <v>-22.328745301727665</v>
      </c>
      <c r="AZ591" s="20"/>
      <c r="BA591" s="20">
        <f t="shared" si="166"/>
        <v>-9.3668230250760569</v>
      </c>
      <c r="BB591" s="20">
        <f t="shared" si="167"/>
        <v>-2.8255852126216405</v>
      </c>
      <c r="BC591" s="20"/>
      <c r="BD591" s="20">
        <f t="shared" si="168"/>
        <v>-26.332098448751655</v>
      </c>
      <c r="BE591" s="20">
        <f t="shared" si="169"/>
        <v>-14.736104050553376</v>
      </c>
      <c r="BF591" s="20"/>
      <c r="BG591" s="54">
        <f t="shared" si="170"/>
        <v>98631.600257803293</v>
      </c>
      <c r="BH591" s="54">
        <f t="shared" si="171"/>
        <v>135214.2366832243</v>
      </c>
      <c r="BI591" s="54">
        <f t="shared" si="172"/>
        <v>131155.78361693249</v>
      </c>
      <c r="BJ591" s="20"/>
    </row>
    <row r="592" spans="37:62" x14ac:dyDescent="0.3">
      <c r="AK592">
        <v>588</v>
      </c>
      <c r="AL592">
        <v>294</v>
      </c>
      <c r="AN592" s="48">
        <f t="shared" si="173"/>
        <v>108376.11792545678</v>
      </c>
      <c r="AO592" s="48">
        <f t="shared" si="174"/>
        <v>49237.399309444401</v>
      </c>
      <c r="AP592" s="20"/>
      <c r="AQ592" s="50">
        <f t="shared" si="175"/>
        <v>-2173.6990222700565</v>
      </c>
      <c r="AR592" s="50">
        <f t="shared" si="176"/>
        <v>363.83955833787468</v>
      </c>
      <c r="AS592" s="20"/>
      <c r="AT592" s="52">
        <f t="shared" si="162"/>
        <v>-84.881291315267802</v>
      </c>
      <c r="AU592" s="52">
        <f t="shared" si="163"/>
        <v>-41.013370021664599</v>
      </c>
      <c r="AV592" s="20"/>
      <c r="AW592" s="20"/>
      <c r="AX592" s="20">
        <f t="shared" si="164"/>
        <v>-48.795979165758816</v>
      </c>
      <c r="AY592" s="20">
        <f t="shared" si="165"/>
        <v>-23.044882655452742</v>
      </c>
      <c r="AZ592" s="20"/>
      <c r="BA592" s="20">
        <f t="shared" si="166"/>
        <v>-9.4923941347470144</v>
      </c>
      <c r="BB592" s="20">
        <f t="shared" si="167"/>
        <v>-2.9012939874375108</v>
      </c>
      <c r="BC592" s="20"/>
      <c r="BD592" s="20">
        <f t="shared" si="168"/>
        <v>-26.59291801476197</v>
      </c>
      <c r="BE592" s="20">
        <f t="shared" si="169"/>
        <v>-15.067193378774348</v>
      </c>
      <c r="BF592" s="20"/>
      <c r="BG592" s="54">
        <f t="shared" si="170"/>
        <v>97736.117790150922</v>
      </c>
      <c r="BH592" s="54">
        <f t="shared" si="171"/>
        <v>134238.59787028309</v>
      </c>
      <c r="BI592" s="54">
        <f t="shared" si="172"/>
        <v>130309.58363024605</v>
      </c>
      <c r="BJ592" s="20"/>
    </row>
    <row r="593" spans="37:62" x14ac:dyDescent="0.3">
      <c r="AK593">
        <v>589</v>
      </c>
      <c r="AL593">
        <v>294.5</v>
      </c>
      <c r="AN593" s="48">
        <f t="shared" si="173"/>
        <v>107278.65825290733</v>
      </c>
      <c r="AO593" s="48">
        <f t="shared" si="174"/>
        <v>49414.192417360631</v>
      </c>
      <c r="AP593" s="20"/>
      <c r="AQ593" s="50">
        <f t="shared" si="175"/>
        <v>-2216.1396679276904</v>
      </c>
      <c r="AR593" s="50">
        <f t="shared" si="176"/>
        <v>343.33287332704236</v>
      </c>
      <c r="AS593" s="20"/>
      <c r="AT593" s="52">
        <f t="shared" si="162"/>
        <v>-86.042167796070288</v>
      </c>
      <c r="AU593" s="52">
        <f t="shared" si="163"/>
        <v>-42.189830621943258</v>
      </c>
      <c r="AV593" s="20"/>
      <c r="AW593" s="20"/>
      <c r="AX593" s="20">
        <f t="shared" si="164"/>
        <v>-49.554329487108717</v>
      </c>
      <c r="AY593" s="20">
        <f t="shared" si="165"/>
        <v>-23.79768138984624</v>
      </c>
      <c r="AZ593" s="20"/>
      <c r="BA593" s="20">
        <f t="shared" si="166"/>
        <v>-9.6234958176433381</v>
      </c>
      <c r="BB593" s="20">
        <f t="shared" si="167"/>
        <v>-2.9800936079210723</v>
      </c>
      <c r="BC593" s="20"/>
      <c r="BD593" s="20">
        <f t="shared" si="168"/>
        <v>-26.864342491318229</v>
      </c>
      <c r="BE593" s="20">
        <f t="shared" si="169"/>
        <v>-15.412055624175949</v>
      </c>
      <c r="BF593" s="20"/>
      <c r="BG593" s="54">
        <f t="shared" si="170"/>
        <v>96821.297824535082</v>
      </c>
      <c r="BH593" s="54">
        <f t="shared" si="171"/>
        <v>133241.64292957779</v>
      </c>
      <c r="BI593" s="54">
        <f t="shared" si="172"/>
        <v>129443.75335972731</v>
      </c>
      <c r="BJ593" s="20"/>
    </row>
    <row r="594" spans="37:62" x14ac:dyDescent="0.3">
      <c r="AK594">
        <v>590</v>
      </c>
      <c r="AL594">
        <v>295</v>
      </c>
      <c r="AN594" s="48">
        <f t="shared" si="173"/>
        <v>106159.83314796898</v>
      </c>
      <c r="AO594" s="48">
        <f t="shared" si="174"/>
        <v>49580.585125196412</v>
      </c>
      <c r="AP594" s="20"/>
      <c r="AQ594" s="50">
        <f t="shared" si="175"/>
        <v>-2259.1607518257256</v>
      </c>
      <c r="AR594" s="50">
        <f t="shared" si="176"/>
        <v>322.23795801607071</v>
      </c>
      <c r="AS594" s="20"/>
      <c r="AT594" s="52">
        <f t="shared" ref="AT594:AT657" si="177">AX594+BA594+BD594</f>
        <v>-87.254908397465698</v>
      </c>
      <c r="AU594" s="52">
        <f t="shared" ref="AU594:AU657" si="178">AY594+BB594+BE594</f>
        <v>-43.423545894923294</v>
      </c>
      <c r="AV594" s="20"/>
      <c r="AW594" s="20"/>
      <c r="AX594" s="20">
        <f t="shared" si="164"/>
        <v>-50.347622596077329</v>
      </c>
      <c r="AY594" s="20">
        <f t="shared" si="165"/>
        <v>-24.589850526601641</v>
      </c>
      <c r="AZ594" s="20"/>
      <c r="BA594" s="20">
        <f t="shared" si="166"/>
        <v>-9.7604400172894827</v>
      </c>
      <c r="BB594" s="20">
        <f t="shared" si="167"/>
        <v>-3.0621784867977153</v>
      </c>
      <c r="BC594" s="20"/>
      <c r="BD594" s="20">
        <f t="shared" si="168"/>
        <v>-27.146845784098883</v>
      </c>
      <c r="BE594" s="20">
        <f t="shared" si="169"/>
        <v>-15.77151688152394</v>
      </c>
      <c r="BF594" s="20"/>
      <c r="BG594" s="54">
        <f t="shared" si="170"/>
        <v>95886.873411144014</v>
      </c>
      <c r="BH594" s="54">
        <f t="shared" si="171"/>
        <v>132223.01697804467</v>
      </c>
      <c r="BI594" s="54">
        <f t="shared" si="172"/>
        <v>128558.00434277534</v>
      </c>
      <c r="BJ594" s="20"/>
    </row>
    <row r="595" spans="37:62" x14ac:dyDescent="0.3">
      <c r="AK595">
        <v>591</v>
      </c>
      <c r="AL595">
        <v>295.5</v>
      </c>
      <c r="AN595" s="48">
        <f t="shared" si="173"/>
        <v>105019.34590850644</v>
      </c>
      <c r="AO595" s="48">
        <f t="shared" si="174"/>
        <v>49736.276160967587</v>
      </c>
      <c r="AP595" s="20"/>
      <c r="AQ595" s="50">
        <f t="shared" si="175"/>
        <v>-2302.7882060244583</v>
      </c>
      <c r="AR595" s="50">
        <f t="shared" si="176"/>
        <v>300.52618506860904</v>
      </c>
      <c r="AS595" s="20"/>
      <c r="AT595" s="52">
        <f t="shared" si="177"/>
        <v>-88.522351652421975</v>
      </c>
      <c r="AU595" s="52">
        <f t="shared" si="178"/>
        <v>-44.718581351000246</v>
      </c>
      <c r="AV595" s="20"/>
      <c r="AW595" s="20"/>
      <c r="AX595" s="20">
        <f t="shared" si="164"/>
        <v>-51.17785437368601</v>
      </c>
      <c r="AY595" s="20">
        <f t="shared" si="165"/>
        <v>-25.424354510783346</v>
      </c>
      <c r="AZ595" s="20"/>
      <c r="BA595" s="20">
        <f t="shared" si="166"/>
        <v>-9.9035636378116898</v>
      </c>
      <c r="BB595" s="20">
        <f t="shared" si="167"/>
        <v>-3.1477587474965816</v>
      </c>
      <c r="BC595" s="20"/>
      <c r="BD595" s="20">
        <f t="shared" si="168"/>
        <v>-27.440933640924268</v>
      </c>
      <c r="BE595" s="20">
        <f t="shared" si="169"/>
        <v>-16.146468092720319</v>
      </c>
      <c r="BF595" s="20"/>
      <c r="BG595" s="54">
        <f t="shared" si="170"/>
        <v>94932.566607333385</v>
      </c>
      <c r="BH595" s="54">
        <f t="shared" si="171"/>
        <v>131182.34825818398</v>
      </c>
      <c r="BI595" s="54">
        <f t="shared" si="172"/>
        <v>127652.03455223364</v>
      </c>
      <c r="BJ595" s="20"/>
    </row>
    <row r="596" spans="37:62" x14ac:dyDescent="0.3">
      <c r="AK596">
        <v>592</v>
      </c>
      <c r="AL596">
        <v>296</v>
      </c>
      <c r="AN596" s="48">
        <f t="shared" si="173"/>
        <v>103856.88651153767</v>
      </c>
      <c r="AO596" s="48">
        <f t="shared" si="174"/>
        <v>49880.949430833018</v>
      </c>
      <c r="AP596" s="20"/>
      <c r="AQ596" s="50">
        <f t="shared" si="175"/>
        <v>-2347.0493818506693</v>
      </c>
      <c r="AR596" s="50">
        <f t="shared" si="176"/>
        <v>278.16689439310892</v>
      </c>
      <c r="AS596" s="20"/>
      <c r="AT596" s="52">
        <f t="shared" si="177"/>
        <v>-89.847552112714695</v>
      </c>
      <c r="AU596" s="52">
        <f t="shared" si="178"/>
        <v>-46.079376157247268</v>
      </c>
      <c r="AV596" s="20"/>
      <c r="AW596" s="20"/>
      <c r="AX596" s="20">
        <f t="shared" si="164"/>
        <v>-52.047174829909601</v>
      </c>
      <c r="AY596" s="20">
        <f t="shared" si="165"/>
        <v>-26.304442917525112</v>
      </c>
      <c r="AZ596" s="20"/>
      <c r="BA596" s="20">
        <f t="shared" si="166"/>
        <v>-10.053231045762026</v>
      </c>
      <c r="BB596" s="20">
        <f t="shared" si="167"/>
        <v>-3.2370618238911386</v>
      </c>
      <c r="BC596" s="20"/>
      <c r="BD596" s="20">
        <f t="shared" si="168"/>
        <v>-27.747146237043065</v>
      </c>
      <c r="BE596" s="20">
        <f t="shared" si="169"/>
        <v>-16.537871415831017</v>
      </c>
      <c r="BF596" s="20"/>
      <c r="BG596" s="54">
        <f t="shared" si="170"/>
        <v>93958.087943868537</v>
      </c>
      <c r="BH596" s="54">
        <f t="shared" si="171"/>
        <v>130119.24709218302</v>
      </c>
      <c r="BI596" s="54">
        <f t="shared" si="172"/>
        <v>126725.5275784327</v>
      </c>
      <c r="BJ596" s="20"/>
    </row>
    <row r="597" spans="37:62" x14ac:dyDescent="0.3">
      <c r="AK597">
        <v>593</v>
      </c>
      <c r="AL597">
        <v>296.5</v>
      </c>
      <c r="AN597" s="48">
        <f t="shared" si="173"/>
        <v>102672.13087659824</v>
      </c>
      <c r="AO597" s="48">
        <f t="shared" si="174"/>
        <v>50014.272956009918</v>
      </c>
      <c r="AP597" s="20"/>
      <c r="AQ597" s="50">
        <f t="shared" si="175"/>
        <v>-2391.9731579070267</v>
      </c>
      <c r="AR597" s="50">
        <f t="shared" si="176"/>
        <v>255.12720631448528</v>
      </c>
      <c r="AS597" s="20"/>
      <c r="AT597" s="52">
        <f t="shared" si="177"/>
        <v>-91.233800113963127</v>
      </c>
      <c r="AU597" s="52">
        <f t="shared" si="178"/>
        <v>-47.510785871641403</v>
      </c>
      <c r="AV597" s="20"/>
      <c r="AW597" s="20"/>
      <c r="AX597" s="20">
        <f t="shared" si="164"/>
        <v>-52.957902215474725</v>
      </c>
      <c r="AY597" s="20">
        <f t="shared" si="165"/>
        <v>-27.233684266915283</v>
      </c>
      <c r="AZ597" s="20"/>
      <c r="BA597" s="20">
        <f t="shared" si="166"/>
        <v>-10.209836879395109</v>
      </c>
      <c r="BB597" s="20">
        <f t="shared" si="167"/>
        <v>-3.3303342561108802</v>
      </c>
      <c r="BC597" s="20"/>
      <c r="BD597" s="20">
        <f t="shared" si="168"/>
        <v>-28.066061019093297</v>
      </c>
      <c r="BE597" s="20">
        <f t="shared" si="169"/>
        <v>-16.946767348615236</v>
      </c>
      <c r="BF597" s="20"/>
      <c r="BG597" s="54">
        <f t="shared" si="170"/>
        <v>92963.135858551497</v>
      </c>
      <c r="BH597" s="54">
        <f t="shared" si="171"/>
        <v>129033.30474727567</v>
      </c>
      <c r="BI597" s="54">
        <f t="shared" si="172"/>
        <v>125778.1517414923</v>
      </c>
      <c r="BJ597" s="20"/>
    </row>
    <row r="598" spans="37:62" x14ac:dyDescent="0.3">
      <c r="AK598">
        <v>594</v>
      </c>
      <c r="AL598">
        <v>297</v>
      </c>
      <c r="AN598" s="48">
        <f t="shared" si="173"/>
        <v>101464.74007263048</v>
      </c>
      <c r="AO598" s="48">
        <f t="shared" si="174"/>
        <v>50135.897710933205</v>
      </c>
      <c r="AP598" s="20"/>
      <c r="AQ598" s="50">
        <f t="shared" si="175"/>
        <v>-2437.5900579640083</v>
      </c>
      <c r="AR598" s="50">
        <f t="shared" si="176"/>
        <v>231.37181337866457</v>
      </c>
      <c r="AS598" s="20"/>
      <c r="AT598" s="52">
        <f t="shared" si="177"/>
        <v>-92.684643653299531</v>
      </c>
      <c r="AU598" s="52">
        <f t="shared" si="178"/>
        <v>-49.018131030917374</v>
      </c>
      <c r="AV598" s="20"/>
      <c r="AW598" s="20"/>
      <c r="AX598" s="20">
        <f t="shared" si="164"/>
        <v>-53.912538604942576</v>
      </c>
      <c r="AY598" s="20">
        <f t="shared" si="165"/>
        <v>-28.216004608223475</v>
      </c>
      <c r="AZ598" s="20"/>
      <c r="BA598" s="20">
        <f t="shared" si="166"/>
        <v>-10.373809210243177</v>
      </c>
      <c r="BB598" s="20">
        <f t="shared" si="167"/>
        <v>-3.4278437107434718</v>
      </c>
      <c r="BC598" s="20"/>
      <c r="BD598" s="20">
        <f t="shared" si="168"/>
        <v>-28.398295838113782</v>
      </c>
      <c r="BE598" s="20">
        <f t="shared" si="169"/>
        <v>-17.374282711950425</v>
      </c>
      <c r="BF598" s="20"/>
      <c r="BG598" s="54">
        <f t="shared" si="170"/>
        <v>91947.396095367512</v>
      </c>
      <c r="BH598" s="54">
        <f t="shared" si="171"/>
        <v>127924.09220304899</v>
      </c>
      <c r="BI598" s="54">
        <f t="shared" si="172"/>
        <v>124809.55912646244</v>
      </c>
      <c r="BJ598" s="20"/>
    </row>
    <row r="599" spans="37:62" x14ac:dyDescent="0.3">
      <c r="AK599">
        <v>595</v>
      </c>
      <c r="AL599">
        <v>297.5</v>
      </c>
      <c r="AN599" s="48">
        <f t="shared" si="173"/>
        <v>100234.35946319181</v>
      </c>
      <c r="AO599" s="48">
        <f t="shared" si="174"/>
        <v>50245.456351243673</v>
      </c>
      <c r="AP599" s="20"/>
      <c r="AQ599" s="50">
        <f t="shared" si="175"/>
        <v>-2483.9323797906582</v>
      </c>
      <c r="AR599" s="50">
        <f t="shared" si="176"/>
        <v>206.86274786320587</v>
      </c>
      <c r="AS599" s="20"/>
      <c r="AT599" s="52">
        <f t="shared" si="177"/>
        <v>-94.203912627319255</v>
      </c>
      <c r="AU599" s="52">
        <f t="shared" si="178"/>
        <v>-50.607252530325269</v>
      </c>
      <c r="AV599" s="20"/>
      <c r="AW599" s="20"/>
      <c r="AX599" s="20">
        <f t="shared" si="164"/>
        <v>-54.913787111751979</v>
      </c>
      <c r="AY599" s="20">
        <f t="shared" si="165"/>
        <v>-29.255731656257961</v>
      </c>
      <c r="AZ599" s="20"/>
      <c r="BA599" s="20">
        <f t="shared" si="166"/>
        <v>-10.545613109452045</v>
      </c>
      <c r="BB599" s="20">
        <f t="shared" si="167"/>
        <v>-3.5298812584724071</v>
      </c>
      <c r="BC599" s="20"/>
      <c r="BD599" s="20">
        <f t="shared" si="168"/>
        <v>-28.744512406115231</v>
      </c>
      <c r="BE599" s="20">
        <f t="shared" si="169"/>
        <v>-17.821639615594904</v>
      </c>
      <c r="BF599" s="20"/>
      <c r="BG599" s="54">
        <f t="shared" si="170"/>
        <v>90910.541067275335</v>
      </c>
      <c r="BH599" s="54">
        <f t="shared" si="171"/>
        <v>126791.1588102415</v>
      </c>
      <c r="BI599" s="54">
        <f t="shared" si="172"/>
        <v>123819.38453291677</v>
      </c>
      <c r="BJ599" s="20"/>
    </row>
    <row r="600" spans="37:62" x14ac:dyDescent="0.3">
      <c r="AK600">
        <v>596</v>
      </c>
      <c r="AL600">
        <v>298</v>
      </c>
      <c r="AN600" s="48">
        <f t="shared" si="173"/>
        <v>98980.617784218062</v>
      </c>
      <c r="AO600" s="48">
        <f t="shared" si="174"/>
        <v>50342.561818608985</v>
      </c>
      <c r="AP600" s="20"/>
      <c r="AQ600" s="50">
        <f t="shared" si="175"/>
        <v>-2531.0343361043178</v>
      </c>
      <c r="AR600" s="50">
        <f t="shared" si="176"/>
        <v>181.55912159804325</v>
      </c>
      <c r="AS600" s="20"/>
      <c r="AT600" s="52">
        <f t="shared" si="177"/>
        <v>-95.795745707214508</v>
      </c>
      <c r="AU600" s="52">
        <f t="shared" si="178"/>
        <v>-52.284574906271004</v>
      </c>
      <c r="AV600" s="20"/>
      <c r="AW600" s="20"/>
      <c r="AX600" s="20">
        <f t="shared" si="164"/>
        <v>-55.964570911263642</v>
      </c>
      <c r="AY600" s="20">
        <f t="shared" si="165"/>
        <v>-30.357645409515161</v>
      </c>
      <c r="AZ600" s="20"/>
      <c r="BA600" s="20">
        <f t="shared" si="166"/>
        <v>-10.725754680449546</v>
      </c>
      <c r="BB600" s="20">
        <f t="shared" si="167"/>
        <v>-3.6367639478223128</v>
      </c>
      <c r="BC600" s="20"/>
      <c r="BD600" s="20">
        <f t="shared" si="168"/>
        <v>-29.105420115501317</v>
      </c>
      <c r="BE600" s="20">
        <f t="shared" si="169"/>
        <v>-18.29016554893353</v>
      </c>
      <c r="BF600" s="20"/>
      <c r="BG600" s="54">
        <f t="shared" si="170"/>
        <v>89852.229180794806</v>
      </c>
      <c r="BH600" s="54">
        <f t="shared" si="171"/>
        <v>125634.03082924019</v>
      </c>
      <c r="BI600" s="54">
        <f t="shared" si="172"/>
        <v>122807.24432950355</v>
      </c>
      <c r="BJ600" s="20"/>
    </row>
    <row r="601" spans="37:62" x14ac:dyDescent="0.3">
      <c r="AK601">
        <v>597</v>
      </c>
      <c r="AL601">
        <v>298.5</v>
      </c>
      <c r="AN601" s="48">
        <f t="shared" si="173"/>
        <v>97703.126147952498</v>
      </c>
      <c r="AO601" s="48">
        <f t="shared" si="174"/>
        <v>50426.805807544719</v>
      </c>
      <c r="AP601" s="20"/>
      <c r="AQ601" s="50">
        <f t="shared" si="175"/>
        <v>-2578.932208957925</v>
      </c>
      <c r="AR601" s="50">
        <f t="shared" si="176"/>
        <v>155.41683414490774</v>
      </c>
      <c r="AS601" s="20"/>
      <c r="AT601" s="52">
        <f t="shared" si="177"/>
        <v>-97.464620159883992</v>
      </c>
      <c r="AU601" s="52">
        <f t="shared" si="178"/>
        <v>-54.057178841478823</v>
      </c>
      <c r="AV601" s="20"/>
      <c r="AW601" s="20"/>
      <c r="AX601" s="20">
        <f t="shared" si="164"/>
        <v>-57.06805426330758</v>
      </c>
      <c r="AY601" s="20">
        <f t="shared" si="165"/>
        <v>-31.527036357725493</v>
      </c>
      <c r="AZ601" s="20"/>
      <c r="BA601" s="20">
        <f t="shared" si="166"/>
        <v>-10.914785630429526</v>
      </c>
      <c r="BB601" s="20">
        <f t="shared" si="167"/>
        <v>-3.7488377203992362</v>
      </c>
      <c r="BC601" s="20"/>
      <c r="BD601" s="20">
        <f t="shared" si="168"/>
        <v>-29.481780266146892</v>
      </c>
      <c r="BE601" s="20">
        <f t="shared" si="169"/>
        <v>-18.781304763354093</v>
      </c>
      <c r="BF601" s="20"/>
      <c r="BG601" s="54">
        <f t="shared" si="170"/>
        <v>88772.104120626071</v>
      </c>
      <c r="BH601" s="54">
        <f t="shared" si="171"/>
        <v>124452.20983494728</v>
      </c>
      <c r="BI601" s="54">
        <f t="shared" si="172"/>
        <v>121772.73520267339</v>
      </c>
      <c r="BJ601" s="20"/>
    </row>
    <row r="602" spans="37:62" x14ac:dyDescent="0.3">
      <c r="AK602">
        <v>598</v>
      </c>
      <c r="AL602">
        <v>299</v>
      </c>
      <c r="AN602" s="48">
        <f t="shared" si="173"/>
        <v>96401.476965953538</v>
      </c>
      <c r="AO602" s="48">
        <f t="shared" si="174"/>
        <v>50497.757077261987</v>
      </c>
      <c r="AP602" s="20"/>
      <c r="AQ602" s="50">
        <f t="shared" si="175"/>
        <v>-2627.6645190378672</v>
      </c>
      <c r="AR602" s="50">
        <f t="shared" si="176"/>
        <v>128.38824472416832</v>
      </c>
      <c r="AS602" s="20"/>
      <c r="AT602" s="52">
        <f t="shared" si="177"/>
        <v>-99.215384958176799</v>
      </c>
      <c r="AU602" s="52">
        <f t="shared" si="178"/>
        <v>-55.932884465336713</v>
      </c>
      <c r="AV602" s="20"/>
      <c r="AW602" s="20"/>
      <c r="AX602" s="20">
        <f t="shared" si="164"/>
        <v>-58.227665740541489</v>
      </c>
      <c r="AY602" s="20">
        <f t="shared" si="165"/>
        <v>-32.769772602740488</v>
      </c>
      <c r="AZ602" s="20"/>
      <c r="BA602" s="20">
        <f t="shared" si="166"/>
        <v>-11.113308466276784</v>
      </c>
      <c r="BB602" s="20">
        <f t="shared" si="167"/>
        <v>-3.8664807210616083</v>
      </c>
      <c r="BC602" s="20"/>
      <c r="BD602" s="20">
        <f t="shared" si="168"/>
        <v>-29.874410751358532</v>
      </c>
      <c r="BE602" s="20">
        <f t="shared" si="169"/>
        <v>-19.296631141534622</v>
      </c>
      <c r="BF602" s="20"/>
      <c r="BG602" s="54">
        <f t="shared" si="170"/>
        <v>87669.794092688287</v>
      </c>
      <c r="BH602" s="54">
        <f t="shared" si="171"/>
        <v>123245.17097292021</v>
      </c>
      <c r="BI602" s="54">
        <f t="shared" si="172"/>
        <v>120715.43278731527</v>
      </c>
      <c r="BJ602" s="20"/>
    </row>
    <row r="603" spans="37:62" x14ac:dyDescent="0.3">
      <c r="AK603">
        <v>599</v>
      </c>
      <c r="AL603">
        <v>299.5</v>
      </c>
      <c r="AN603" s="48">
        <f t="shared" si="173"/>
        <v>95075.242783314825</v>
      </c>
      <c r="AO603" s="48">
        <f t="shared" si="174"/>
        <v>50554.959589065904</v>
      </c>
      <c r="AP603" s="20"/>
      <c r="AQ603" s="50">
        <f t="shared" si="175"/>
        <v>-2677.2722115169554</v>
      </c>
      <c r="AR603" s="50">
        <f t="shared" si="176"/>
        <v>100.42180249149996</v>
      </c>
      <c r="AS603" s="20"/>
      <c r="AT603" s="52">
        <f t="shared" si="177"/>
        <v>-101.05329755974358</v>
      </c>
      <c r="AU603" s="52">
        <f t="shared" si="178"/>
        <v>-57.920347329981716</v>
      </c>
      <c r="AV603" s="20"/>
      <c r="AW603" s="20"/>
      <c r="AX603" s="20">
        <f t="shared" si="164"/>
        <v>-59.44712388191887</v>
      </c>
      <c r="AY603" s="20">
        <f t="shared" si="165"/>
        <v>-34.09237748067661</v>
      </c>
      <c r="AZ603" s="20"/>
      <c r="BA603" s="20">
        <f t="shared" si="166"/>
        <v>-11.321982416430924</v>
      </c>
      <c r="BB603" s="20">
        <f t="shared" si="167"/>
        <v>-3.9901070661312255</v>
      </c>
      <c r="BC603" s="20"/>
      <c r="BD603" s="20">
        <f t="shared" si="168"/>
        <v>-30.284191261393783</v>
      </c>
      <c r="BE603" s="20">
        <f t="shared" si="169"/>
        <v>-19.837862783173883</v>
      </c>
      <c r="BF603" s="20"/>
      <c r="BG603" s="54">
        <f t="shared" si="170"/>
        <v>86544.911024217727</v>
      </c>
      <c r="BH603" s="54">
        <f t="shared" si="171"/>
        <v>122012.36104964784</v>
      </c>
      <c r="BI603" s="54">
        <f t="shared" si="172"/>
        <v>119634.89016530031</v>
      </c>
      <c r="BJ603" s="20"/>
    </row>
    <row r="604" spans="37:62" x14ac:dyDescent="0.3">
      <c r="AK604">
        <v>600</v>
      </c>
      <c r="AL604">
        <v>300</v>
      </c>
      <c r="AN604" s="48">
        <f t="shared" si="173"/>
        <v>93723.975015361386</v>
      </c>
      <c r="AO604" s="48">
        <f t="shared" si="174"/>
        <v>50597.930446895407</v>
      </c>
      <c r="AP604" s="20"/>
      <c r="AQ604" s="50">
        <f t="shared" si="175"/>
        <v>-2727.7988602968271</v>
      </c>
      <c r="AR604" s="50">
        <f t="shared" si="176"/>
        <v>71.461628826509099</v>
      </c>
      <c r="AS604" s="20"/>
      <c r="AT604" s="52">
        <f t="shared" si="177"/>
        <v>-102.98406477130783</v>
      </c>
      <c r="AU604" s="52">
        <f t="shared" si="178"/>
        <v>-60.029169318758179</v>
      </c>
      <c r="AV604" s="20"/>
      <c r="AW604" s="20"/>
      <c r="AX604" s="20">
        <f t="shared" si="164"/>
        <v>-60.730465499968112</v>
      </c>
      <c r="AY604" s="20">
        <f t="shared" si="165"/>
        <v>-35.502119596506368</v>
      </c>
      <c r="AZ604" s="20"/>
      <c r="BA604" s="20">
        <f t="shared" si="166"/>
        <v>-11.54153019943486</v>
      </c>
      <c r="BB604" s="20">
        <f t="shared" si="167"/>
        <v>-4.120171144423221</v>
      </c>
      <c r="BC604" s="20"/>
      <c r="BD604" s="20">
        <f t="shared" si="168"/>
        <v>-30.712069071904867</v>
      </c>
      <c r="BE604" s="20">
        <f t="shared" si="169"/>
        <v>-20.406878577828589</v>
      </c>
      <c r="BF604" s="20"/>
      <c r="BG604" s="54">
        <f t="shared" si="170"/>
        <v>85397.049719946794</v>
      </c>
      <c r="BH604" s="54">
        <f t="shared" si="171"/>
        <v>120753.19643746702</v>
      </c>
      <c r="BI604" s="54">
        <f t="shared" si="172"/>
        <v>118530.63621591435</v>
      </c>
      <c r="BJ604" s="20"/>
    </row>
    <row r="605" spans="37:62" x14ac:dyDescent="0.3">
      <c r="AK605">
        <v>601</v>
      </c>
      <c r="AL605">
        <v>300.5</v>
      </c>
      <c r="AN605" s="48">
        <f t="shared" si="173"/>
        <v>92347.20257711655</v>
      </c>
      <c r="AO605" s="48">
        <f t="shared" si="174"/>
        <v>50626.15761514382</v>
      </c>
      <c r="AP605" s="20"/>
      <c r="AQ605" s="50">
        <f t="shared" si="175"/>
        <v>-2779.2908926824812</v>
      </c>
      <c r="AR605" s="50">
        <f t="shared" si="176"/>
        <v>41.447044167130009</v>
      </c>
      <c r="AS605" s="20"/>
      <c r="AT605" s="52">
        <f t="shared" si="177"/>
        <v>-105.01388815200873</v>
      </c>
      <c r="AU605" s="52">
        <f t="shared" si="178"/>
        <v>-62.270027204826469</v>
      </c>
      <c r="AV605" s="20"/>
      <c r="AW605" s="20"/>
      <c r="AX605" s="20">
        <f t="shared" si="164"/>
        <v>-62.082076873811218</v>
      </c>
      <c r="AY605" s="20">
        <f t="shared" si="165"/>
        <v>-37.007117579723925</v>
      </c>
      <c r="AZ605" s="20"/>
      <c r="BA605" s="20">
        <f t="shared" si="166"/>
        <v>-11.772745783368638</v>
      </c>
      <c r="BB605" s="20">
        <f t="shared" si="167"/>
        <v>-4.2571725400092237</v>
      </c>
      <c r="BC605" s="20"/>
      <c r="BD605" s="20">
        <f t="shared" si="168"/>
        <v>-31.159065494828877</v>
      </c>
      <c r="BE605" s="20">
        <f t="shared" si="169"/>
        <v>-21.005737085093322</v>
      </c>
      <c r="BF605" s="20"/>
      <c r="BG605" s="54">
        <f t="shared" si="170"/>
        <v>84225.786973946218</v>
      </c>
      <c r="BH605" s="54">
        <f t="shared" si="171"/>
        <v>119467.06077188881</v>
      </c>
      <c r="BI605" s="54">
        <f t="shared" si="172"/>
        <v>117402.17379979754</v>
      </c>
      <c r="BJ605" s="20"/>
    </row>
    <row r="606" spans="37:62" x14ac:dyDescent="0.3">
      <c r="AK606">
        <v>602</v>
      </c>
      <c r="AL606">
        <v>301</v>
      </c>
      <c r="AN606" s="48">
        <f t="shared" si="173"/>
        <v>90944.430394756317</v>
      </c>
      <c r="AO606" s="48">
        <f t="shared" si="174"/>
        <v>50639.097383826782</v>
      </c>
      <c r="AP606" s="20"/>
      <c r="AQ606" s="50">
        <f t="shared" si="175"/>
        <v>-2831.7978367584856</v>
      </c>
      <c r="AR606" s="50">
        <f t="shared" si="176"/>
        <v>10.312030564716775</v>
      </c>
      <c r="AS606" s="20"/>
      <c r="AT606" s="52">
        <f t="shared" si="177"/>
        <v>-107.14951444315362</v>
      </c>
      <c r="AU606" s="52">
        <f t="shared" si="178"/>
        <v>-64.65482214534083</v>
      </c>
      <c r="AV606" s="20"/>
      <c r="AW606" s="20"/>
      <c r="AX606" s="20">
        <f t="shared" si="164"/>
        <v>-63.5067280529668</v>
      </c>
      <c r="AY606" s="20">
        <f t="shared" si="165"/>
        <v>-38.61646236020286</v>
      </c>
      <c r="AZ606" s="20"/>
      <c r="BA606" s="20">
        <f t="shared" si="166"/>
        <v>-12.016503309045417</v>
      </c>
      <c r="BB606" s="20">
        <f t="shared" si="167"/>
        <v>-4.4016616828063357</v>
      </c>
      <c r="BC606" s="20"/>
      <c r="BD606" s="20">
        <f t="shared" si="168"/>
        <v>-31.626283081141413</v>
      </c>
      <c r="BE606" s="20">
        <f t="shared" si="169"/>
        <v>-21.636698102331643</v>
      </c>
      <c r="BF606" s="20"/>
      <c r="BG606" s="54">
        <f t="shared" si="170"/>
        <v>83030.680637507205</v>
      </c>
      <c r="BH606" s="54">
        <f t="shared" si="171"/>
        <v>118153.30241592525</v>
      </c>
      <c r="BI606" s="54">
        <f t="shared" si="172"/>
        <v>116248.97775523765</v>
      </c>
      <c r="BJ606" s="20"/>
    </row>
    <row r="607" spans="37:62" x14ac:dyDescent="0.3">
      <c r="AK607">
        <v>603</v>
      </c>
      <c r="AL607">
        <v>301.5</v>
      </c>
      <c r="AN607" s="48">
        <f t="shared" si="173"/>
        <v>89515.137787071682</v>
      </c>
      <c r="AO607" s="48">
        <f t="shared" si="174"/>
        <v>50636.171546340971</v>
      </c>
      <c r="AP607" s="20"/>
      <c r="AQ607" s="50">
        <f t="shared" si="175"/>
        <v>-2885.3725939800624</v>
      </c>
      <c r="AR607" s="50">
        <f t="shared" si="176"/>
        <v>-22.01538050795364</v>
      </c>
      <c r="AS607" s="20"/>
      <c r="AT607" s="52">
        <f t="shared" si="177"/>
        <v>-109.39829153835657</v>
      </c>
      <c r="AU607" s="52">
        <f t="shared" si="178"/>
        <v>-67.196854098274684</v>
      </c>
      <c r="AV607" s="20"/>
      <c r="AW607" s="20"/>
      <c r="AX607" s="20">
        <f t="shared" si="164"/>
        <v>-65.009610474395117</v>
      </c>
      <c r="AY607" s="20">
        <f t="shared" si="165"/>
        <v>-40.340360371203147</v>
      </c>
      <c r="AZ607" s="20"/>
      <c r="BA607" s="20">
        <f t="shared" si="166"/>
        <v>-12.273767385094928</v>
      </c>
      <c r="BB607" s="20">
        <f t="shared" si="167"/>
        <v>-4.5542463540550004</v>
      </c>
      <c r="BC607" s="20"/>
      <c r="BD607" s="20">
        <f t="shared" si="168"/>
        <v>-32.114913678866529</v>
      </c>
      <c r="BE607" s="20">
        <f t="shared" si="169"/>
        <v>-22.302247373016542</v>
      </c>
      <c r="BF607" s="20"/>
      <c r="BG607" s="54">
        <f t="shared" si="170"/>
        <v>81811.26864455115</v>
      </c>
      <c r="BH607" s="54">
        <f t="shared" si="171"/>
        <v>116811.23166230612</v>
      </c>
      <c r="BI607" s="54">
        <f t="shared" si="172"/>
        <v>115070.49268239815</v>
      </c>
      <c r="BJ607" s="20"/>
    </row>
    <row r="608" spans="37:62" x14ac:dyDescent="0.3">
      <c r="AK608">
        <v>604</v>
      </c>
      <c r="AL608">
        <v>302</v>
      </c>
      <c r="AN608" s="48">
        <f t="shared" si="173"/>
        <v>88058.776703639363</v>
      </c>
      <c r="AO608" s="48">
        <f t="shared" si="174"/>
        <v>50616.764249324704</v>
      </c>
      <c r="AP608" s="20"/>
      <c r="AQ608" s="50">
        <f t="shared" si="175"/>
        <v>-2940.0717397492408</v>
      </c>
      <c r="AR608" s="50">
        <f t="shared" si="176"/>
        <v>-55.613807557090979</v>
      </c>
      <c r="AS608" s="20"/>
      <c r="AT608" s="52">
        <f t="shared" si="177"/>
        <v>-111.76823052134472</v>
      </c>
      <c r="AU608" s="52">
        <f t="shared" si="178"/>
        <v>-69.911026019862604</v>
      </c>
      <c r="AV608" s="20"/>
      <c r="AW608" s="20"/>
      <c r="AX608" s="20">
        <f t="shared" si="164"/>
        <v>-66.596378048578515</v>
      </c>
      <c r="AY608" s="20">
        <f t="shared" si="165"/>
        <v>-42.190301842817533</v>
      </c>
      <c r="AZ608" s="20"/>
      <c r="BA608" s="20">
        <f t="shared" si="166"/>
        <v>-12.545605006569794</v>
      </c>
      <c r="BB608" s="20">
        <f t="shared" si="167"/>
        <v>-4.7155991994478246</v>
      </c>
      <c r="BC608" s="20"/>
      <c r="BD608" s="20">
        <f t="shared" si="168"/>
        <v>-32.626247466196418</v>
      </c>
      <c r="BE608" s="20">
        <f t="shared" si="169"/>
        <v>-23.005124977597244</v>
      </c>
      <c r="BF608" s="20"/>
      <c r="BG608" s="54">
        <f t="shared" si="170"/>
        <v>80567.067997586273</v>
      </c>
      <c r="BH608" s="54">
        <f t="shared" si="171"/>
        <v>115440.11764015234</v>
      </c>
      <c r="BI608" s="54">
        <f t="shared" si="172"/>
        <v>113866.13048720532</v>
      </c>
      <c r="BJ608" s="20"/>
    </row>
    <row r="609" spans="37:62" x14ac:dyDescent="0.3">
      <c r="AK609">
        <v>605</v>
      </c>
      <c r="AL609">
        <v>302.5</v>
      </c>
      <c r="AN609" s="48">
        <f t="shared" si="173"/>
        <v>86574.769804949581</v>
      </c>
      <c r="AO609" s="48">
        <f t="shared" si="174"/>
        <v>50580.218467293678</v>
      </c>
      <c r="AP609" s="20"/>
      <c r="AQ609" s="50">
        <f t="shared" si="175"/>
        <v>-2995.9558550099132</v>
      </c>
      <c r="AR609" s="50">
        <f t="shared" si="176"/>
        <v>-90.569320567022288</v>
      </c>
      <c r="AS609" s="20"/>
      <c r="AT609" s="52">
        <f t="shared" si="177"/>
        <v>-114.26807428937252</v>
      </c>
      <c r="AU609" s="52">
        <f t="shared" si="178"/>
        <v>-72.814083786286432</v>
      </c>
      <c r="AV609" s="20"/>
      <c r="AW609" s="20"/>
      <c r="AX609" s="20">
        <f t="shared" si="164"/>
        <v>-68.273191787658021</v>
      </c>
      <c r="AY609" s="20">
        <f t="shared" si="165"/>
        <v>-44.17925929430821</v>
      </c>
      <c r="AZ609" s="20"/>
      <c r="BA609" s="20">
        <f t="shared" si="166"/>
        <v>-12.833199402693246</v>
      </c>
      <c r="BB609" s="20">
        <f t="shared" si="167"/>
        <v>-4.886466434304686</v>
      </c>
      <c r="BC609" s="20"/>
      <c r="BD609" s="20">
        <f t="shared" si="168"/>
        <v>-33.161683099021239</v>
      </c>
      <c r="BE609" s="20">
        <f t="shared" si="169"/>
        <v>-23.748358057673538</v>
      </c>
      <c r="BF609" s="20"/>
      <c r="BG609" s="54">
        <f t="shared" si="170"/>
        <v>79297.573719324966</v>
      </c>
      <c r="BH609" s="54">
        <f t="shared" si="171"/>
        <v>114039.18488761342</v>
      </c>
      <c r="BI609" s="54">
        <f t="shared" si="172"/>
        <v>112635.26765204349</v>
      </c>
      <c r="BJ609" s="20"/>
    </row>
    <row r="610" spans="37:62" x14ac:dyDescent="0.3">
      <c r="AK610">
        <v>606</v>
      </c>
      <c r="AL610">
        <v>303</v>
      </c>
      <c r="AN610" s="48">
        <f t="shared" si="173"/>
        <v>85062.508368158451</v>
      </c>
      <c r="AO610" s="48">
        <f t="shared" si="174"/>
        <v>50525.832046536882</v>
      </c>
      <c r="AP610" s="20"/>
      <c r="AQ610" s="50">
        <f t="shared" si="175"/>
        <v>-3053.0898921545995</v>
      </c>
      <c r="AR610" s="50">
        <f t="shared" si="176"/>
        <v>-126.9763624601655</v>
      </c>
      <c r="AS610" s="20"/>
      <c r="AT610" s="52">
        <f t="shared" si="177"/>
        <v>-116.90737323401984</v>
      </c>
      <c r="AU610" s="52">
        <f t="shared" si="178"/>
        <v>-75.924899142586156</v>
      </c>
      <c r="AV610" s="20"/>
      <c r="AW610" s="20"/>
      <c r="AX610" s="20">
        <f t="shared" si="164"/>
        <v>-70.046767912131756</v>
      </c>
      <c r="AY610" s="20">
        <f t="shared" si="165"/>
        <v>-46.321922520052915</v>
      </c>
      <c r="AZ610" s="20"/>
      <c r="BA610" s="20">
        <f t="shared" si="166"/>
        <v>-13.137866186690088</v>
      </c>
      <c r="BB610" s="20">
        <f t="shared" si="167"/>
        <v>-5.0676779643026419</v>
      </c>
      <c r="BC610" s="20"/>
      <c r="BD610" s="20">
        <f t="shared" si="168"/>
        <v>-33.72273913519799</v>
      </c>
      <c r="BE610" s="20">
        <f t="shared" si="169"/>
        <v>-24.535298658230598</v>
      </c>
      <c r="BF610" s="20"/>
      <c r="BG610" s="54">
        <f t="shared" si="170"/>
        <v>78002.257777922612</v>
      </c>
      <c r="BH610" s="54">
        <f t="shared" si="171"/>
        <v>112607.60954604036</v>
      </c>
      <c r="BI610" s="54">
        <f t="shared" si="172"/>
        <v>111377.24219496356</v>
      </c>
      <c r="BJ610" s="20"/>
    </row>
    <row r="611" spans="37:62" x14ac:dyDescent="0.3">
      <c r="AK611">
        <v>607</v>
      </c>
      <c r="AL611">
        <v>303.5</v>
      </c>
      <c r="AN611" s="48">
        <f t="shared" si="173"/>
        <v>83521.350000426901</v>
      </c>
      <c r="AO611" s="48">
        <f t="shared" si="174"/>
        <v>50452.853252913977</v>
      </c>
      <c r="AP611" s="20"/>
      <c r="AQ611" s="50">
        <f t="shared" si="175"/>
        <v>-3111.5435787716096</v>
      </c>
      <c r="AR611" s="50">
        <f t="shared" si="176"/>
        <v>-164.93881203145858</v>
      </c>
      <c r="AS611" s="20"/>
      <c r="AT611" s="52">
        <f t="shared" si="177"/>
        <v>-119.69656834702545</v>
      </c>
      <c r="AU611" s="52">
        <f t="shared" si="178"/>
        <v>-79.264804691584885</v>
      </c>
      <c r="AV611" s="20"/>
      <c r="AW611" s="20"/>
      <c r="AX611" s="20">
        <f t="shared" si="164"/>
        <v>-71.92442915671235</v>
      </c>
      <c r="AY611" s="20">
        <f t="shared" si="165"/>
        <v>-48.634977859367133</v>
      </c>
      <c r="AZ611" s="20"/>
      <c r="BA611" s="20">
        <f t="shared" si="166"/>
        <v>-13.461072265052154</v>
      </c>
      <c r="BB611" s="20">
        <f t="shared" si="167"/>
        <v>-5.2601591938549834</v>
      </c>
      <c r="BC611" s="20"/>
      <c r="BD611" s="20">
        <f t="shared" si="168"/>
        <v>-34.311066925260945</v>
      </c>
      <c r="BE611" s="20">
        <f t="shared" si="169"/>
        <v>-25.369667638362777</v>
      </c>
      <c r="BF611" s="20"/>
      <c r="BG611" s="54">
        <f t="shared" si="170"/>
        <v>76680.567997655686</v>
      </c>
      <c r="BH611" s="54">
        <f t="shared" si="171"/>
        <v>111144.51512428618</v>
      </c>
      <c r="BI611" s="54">
        <f t="shared" si="172"/>
        <v>110091.35027260576</v>
      </c>
      <c r="BJ611" s="20"/>
    </row>
    <row r="612" spans="37:62" x14ac:dyDescent="0.3">
      <c r="AK612">
        <v>608</v>
      </c>
      <c r="AL612">
        <v>304</v>
      </c>
      <c r="AN612" s="48">
        <f t="shared" si="173"/>
        <v>81950.616139997714</v>
      </c>
      <c r="AO612" s="48">
        <f t="shared" si="174"/>
        <v>50360.4757463118</v>
      </c>
      <c r="AP612" s="20"/>
      <c r="AQ612" s="50">
        <f t="shared" si="175"/>
        <v>-3171.3918629451223</v>
      </c>
      <c r="AR612" s="50">
        <f t="shared" si="176"/>
        <v>-204.57121437725101</v>
      </c>
      <c r="AS612" s="20"/>
      <c r="AT612" s="52">
        <f t="shared" si="177"/>
        <v>-122.64708192503367</v>
      </c>
      <c r="AU612" s="52">
        <f t="shared" si="178"/>
        <v>-82.857992096171202</v>
      </c>
      <c r="AV612" s="20"/>
      <c r="AW612" s="20"/>
      <c r="AX612" s="20">
        <f t="shared" si="164"/>
        <v>-73.914158663119338</v>
      </c>
      <c r="AY612" s="20">
        <f t="shared" si="165"/>
        <v>-51.137441434489425</v>
      </c>
      <c r="AZ612" s="20"/>
      <c r="BA612" s="20">
        <f t="shared" si="166"/>
        <v>-13.804458070029666</v>
      </c>
      <c r="BB612" s="20">
        <f t="shared" si="167"/>
        <v>-5.4649448548827868</v>
      </c>
      <c r="BC612" s="20"/>
      <c r="BD612" s="20">
        <f t="shared" si="168"/>
        <v>-34.928465191884669</v>
      </c>
      <c r="BE612" s="20">
        <f t="shared" si="169"/>
        <v>-26.255605806798989</v>
      </c>
      <c r="BF612" s="20"/>
      <c r="BG612" s="54">
        <f t="shared" si="170"/>
        <v>75331.926972071597</v>
      </c>
      <c r="BH612" s="54">
        <f t="shared" si="171"/>
        <v>109648.96777349884</v>
      </c>
      <c r="BI612" s="54">
        <f t="shared" si="172"/>
        <v>108776.84237423626</v>
      </c>
      <c r="BJ612" s="20"/>
    </row>
    <row r="613" spans="37:62" x14ac:dyDescent="0.3">
      <c r="AK613">
        <v>609</v>
      </c>
      <c r="AL613">
        <v>304.5</v>
      </c>
      <c r="AN613" s="48">
        <f t="shared" si="173"/>
        <v>80349.589323284512</v>
      </c>
      <c r="AO613" s="48">
        <f t="shared" si="174"/>
        <v>50247.832890111153</v>
      </c>
      <c r="AP613" s="20"/>
      <c r="AQ613" s="50">
        <f t="shared" si="175"/>
        <v>-3232.715403907639</v>
      </c>
      <c r="AR613" s="50">
        <f t="shared" si="176"/>
        <v>-246.0002104253366</v>
      </c>
      <c r="AS613" s="20"/>
      <c r="AT613" s="52">
        <f t="shared" si="177"/>
        <v>-125.77141571652264</v>
      </c>
      <c r="AU613" s="52">
        <f t="shared" si="178"/>
        <v>-86.731987411355391</v>
      </c>
      <c r="AV613" s="20"/>
      <c r="AW613" s="20"/>
      <c r="AX613" s="20">
        <f t="shared" si="164"/>
        <v>-76.02465534296546</v>
      </c>
      <c r="AY613" s="20">
        <f t="shared" si="165"/>
        <v>-53.851058450790283</v>
      </c>
      <c r="AZ613" s="20"/>
      <c r="BA613" s="20">
        <f t="shared" si="166"/>
        <v>-14.16986381415208</v>
      </c>
      <c r="BB613" s="20">
        <f t="shared" si="167"/>
        <v>-5.6831952648090756</v>
      </c>
      <c r="BC613" s="20"/>
      <c r="BD613" s="20">
        <f t="shared" si="168"/>
        <v>-35.5768965594051</v>
      </c>
      <c r="BE613" s="20">
        <f t="shared" si="169"/>
        <v>-27.197733695756035</v>
      </c>
      <c r="BF613" s="20"/>
      <c r="BG613" s="54">
        <f t="shared" si="170"/>
        <v>73955.731003688721</v>
      </c>
      <c r="BH613" s="54">
        <f t="shared" si="171"/>
        <v>108119.97100305831</v>
      </c>
      <c r="BI613" s="54">
        <f t="shared" si="172"/>
        <v>107432.91904490537</v>
      </c>
      <c r="BJ613" s="20"/>
    </row>
    <row r="614" spans="37:62" x14ac:dyDescent="0.3">
      <c r="AK614">
        <v>610</v>
      </c>
      <c r="AL614">
        <v>305</v>
      </c>
      <c r="AN614" s="48">
        <f t="shared" si="173"/>
        <v>78717.510194366128</v>
      </c>
      <c r="AO614" s="48">
        <f t="shared" si="174"/>
        <v>50113.991286472068</v>
      </c>
      <c r="AP614" s="20"/>
      <c r="AQ614" s="50">
        <f t="shared" si="175"/>
        <v>-3295.6011117659004</v>
      </c>
      <c r="AR614" s="50">
        <f t="shared" si="176"/>
        <v>-289.36620413101429</v>
      </c>
      <c r="AS614" s="20"/>
      <c r="AT614" s="52">
        <f t="shared" si="177"/>
        <v>-129.08325581606124</v>
      </c>
      <c r="AU614" s="52">
        <f t="shared" si="178"/>
        <v>-90.918220961784641</v>
      </c>
      <c r="AV614" s="20"/>
      <c r="AW614" s="20"/>
      <c r="AX614" s="20">
        <f t="shared" si="164"/>
        <v>-78.265388836689553</v>
      </c>
      <c r="AY614" s="20">
        <f t="shared" si="165"/>
        <v>-56.800783733487485</v>
      </c>
      <c r="AZ614" s="20"/>
      <c r="BA614" s="20">
        <f t="shared" si="166"/>
        <v>-14.559360637913498</v>
      </c>
      <c r="BB614" s="20">
        <f t="shared" si="167"/>
        <v>-5.916215518563571</v>
      </c>
      <c r="BC614" s="20"/>
      <c r="BD614" s="20">
        <f t="shared" si="168"/>
        <v>-36.258506341458194</v>
      </c>
      <c r="BE614" s="20">
        <f t="shared" si="169"/>
        <v>-28.201221709733584</v>
      </c>
      <c r="BF614" s="20"/>
      <c r="BG614" s="54">
        <f t="shared" si="170"/>
        <v>72551.349103852001</v>
      </c>
      <c r="BH614" s="54">
        <f t="shared" si="171"/>
        <v>106556.45975681595</v>
      </c>
      <c r="BI614" s="54">
        <f t="shared" si="172"/>
        <v>106058.72606437698</v>
      </c>
      <c r="BJ614" s="20"/>
    </row>
    <row r="615" spans="37:62" x14ac:dyDescent="0.3">
      <c r="AK615">
        <v>611</v>
      </c>
      <c r="AL615">
        <v>305.5</v>
      </c>
      <c r="AN615" s="48">
        <f t="shared" si="173"/>
        <v>77053.57423150618</v>
      </c>
      <c r="AO615" s="48">
        <f t="shared" si="174"/>
        <v>49957.94340678634</v>
      </c>
      <c r="AP615" s="20"/>
      <c r="AQ615" s="50">
        <f t="shared" si="175"/>
        <v>-3360.1427396739309</v>
      </c>
      <c r="AR615" s="50">
        <f t="shared" si="176"/>
        <v>-334.82531461190661</v>
      </c>
      <c r="AS615" s="20"/>
      <c r="AT615" s="52">
        <f t="shared" si="177"/>
        <v>-132.59758275980266</v>
      </c>
      <c r="AU615" s="52">
        <f t="shared" si="178"/>
        <v>-95.45271366595334</v>
      </c>
      <c r="AV615" s="20"/>
      <c r="AW615" s="20"/>
      <c r="AX615" s="20">
        <f t="shared" si="164"/>
        <v>-80.646651065565408</v>
      </c>
      <c r="AY615" s="20">
        <f t="shared" si="165"/>
        <v>-60.015362630826495</v>
      </c>
      <c r="AZ615" s="20"/>
      <c r="BA615" s="20">
        <f t="shared" si="166"/>
        <v>-14.975287743174428</v>
      </c>
      <c r="BB615" s="20">
        <f t="shared" si="167"/>
        <v>-6.1654782410667179</v>
      </c>
      <c r="BC615" s="20"/>
      <c r="BD615" s="20">
        <f t="shared" si="168"/>
        <v>-36.975643951062807</v>
      </c>
      <c r="BE615" s="20">
        <f t="shared" si="169"/>
        <v>-29.271872794060133</v>
      </c>
      <c r="BF615" s="20"/>
      <c r="BG615" s="54">
        <f t="shared" si="170"/>
        <v>71118.122099250191</v>
      </c>
      <c r="BH615" s="54">
        <f t="shared" si="171"/>
        <v>104957.29375517655</v>
      </c>
      <c r="BI615" s="54">
        <f t="shared" si="172"/>
        <v>104653.34899469081</v>
      </c>
      <c r="BJ615" s="20"/>
    </row>
    <row r="616" spans="37:62" x14ac:dyDescent="0.3">
      <c r="AK616">
        <v>612</v>
      </c>
      <c r="AL616">
        <v>306</v>
      </c>
      <c r="AN616" s="48">
        <f t="shared" si="173"/>
        <v>75356.928163824239</v>
      </c>
      <c r="AO616" s="48">
        <f t="shared" si="174"/>
        <v>49778.599160272141</v>
      </c>
      <c r="AP616" s="20"/>
      <c r="AQ616" s="50">
        <f t="shared" si="175"/>
        <v>-3426.4415310538325</v>
      </c>
      <c r="AR616" s="50">
        <f t="shared" si="176"/>
        <v>-382.55167144488325</v>
      </c>
      <c r="AS616" s="20"/>
      <c r="AT616" s="52">
        <f t="shared" si="177"/>
        <v>-136.33078395287248</v>
      </c>
      <c r="AU616" s="52">
        <f t="shared" si="178"/>
        <v>-100.37690748579887</v>
      </c>
      <c r="AV616" s="20"/>
      <c r="AW616" s="20"/>
      <c r="AX616" s="20">
        <f t="shared" si="164"/>
        <v>-83.179599696210673</v>
      </c>
      <c r="AY616" s="20">
        <f t="shared" si="165"/>
        <v>-63.528036517137522</v>
      </c>
      <c r="AZ616" s="20"/>
      <c r="BA616" s="20">
        <f t="shared" si="166"/>
        <v>-15.420296891273754</v>
      </c>
      <c r="BB616" s="20">
        <f t="shared" si="167"/>
        <v>-6.4326506818313725</v>
      </c>
      <c r="BC616" s="20"/>
      <c r="BD616" s="20">
        <f t="shared" si="168"/>
        <v>-37.73088736538805</v>
      </c>
      <c r="BE616" s="20">
        <f t="shared" si="169"/>
        <v>-30.416220286829965</v>
      </c>
      <c r="BF616" s="20"/>
      <c r="BG616" s="54">
        <f t="shared" si="170"/>
        <v>69655.361909114814</v>
      </c>
      <c r="BH616" s="54">
        <f t="shared" si="171"/>
        <v>103321.24999241123</v>
      </c>
      <c r="BI616" s="54">
        <f t="shared" si="172"/>
        <v>103215.80699240412</v>
      </c>
      <c r="BJ616" s="20"/>
    </row>
    <row r="617" spans="37:62" x14ac:dyDescent="0.3">
      <c r="AK617">
        <v>613</v>
      </c>
      <c r="AL617">
        <v>306.5</v>
      </c>
      <c r="AN617" s="48">
        <f t="shared" si="173"/>
        <v>73626.666050303218</v>
      </c>
      <c r="AO617" s="48">
        <f t="shared" si="174"/>
        <v>49574.776211113975</v>
      </c>
      <c r="AP617" s="20"/>
      <c r="AQ617" s="50">
        <f t="shared" si="175"/>
        <v>-3494.6069230302687</v>
      </c>
      <c r="AR617" s="50">
        <f t="shared" si="176"/>
        <v>-432.74012518778267</v>
      </c>
      <c r="AS617" s="20"/>
      <c r="AT617" s="52">
        <f t="shared" si="177"/>
        <v>-140.30076352464192</v>
      </c>
      <c r="AU617" s="52">
        <f t="shared" si="178"/>
        <v>-105.73867515730996</v>
      </c>
      <c r="AV617" s="20"/>
      <c r="AW617" s="20"/>
      <c r="AX617" s="20">
        <f t="shared" si="164"/>
        <v>-85.876286346795936</v>
      </c>
      <c r="AY617" s="20">
        <f t="shared" si="165"/>
        <v>-67.377403743385457</v>
      </c>
      <c r="AZ617" s="20"/>
      <c r="BA617" s="20">
        <f t="shared" si="166"/>
        <v>-15.897406018124883</v>
      </c>
      <c r="BB617" s="20">
        <f t="shared" si="167"/>
        <v>-6.7196271323651526</v>
      </c>
      <c r="BC617" s="20"/>
      <c r="BD617" s="20">
        <f t="shared" si="168"/>
        <v>-38.527071159721103</v>
      </c>
      <c r="BE617" s="20">
        <f t="shared" si="169"/>
        <v>-31.641644281559351</v>
      </c>
      <c r="BF617" s="20"/>
      <c r="BG617" s="54">
        <f t="shared" si="170"/>
        <v>68162.351080974797</v>
      </c>
      <c r="BH617" s="54">
        <f t="shared" si="171"/>
        <v>101647.0142594201</v>
      </c>
      <c r="BI617" s="54">
        <f t="shared" si="172"/>
        <v>101745.04576096743</v>
      </c>
      <c r="BJ617" s="20"/>
    </row>
    <row r="618" spans="37:62" x14ac:dyDescent="0.3">
      <c r="AK618">
        <v>614</v>
      </c>
      <c r="AL618">
        <v>307</v>
      </c>
      <c r="AN618" s="48">
        <f t="shared" si="173"/>
        <v>71861.824993347502</v>
      </c>
      <c r="AO618" s="48">
        <f t="shared" si="174"/>
        <v>49345.188814125417</v>
      </c>
      <c r="AP618" s="20"/>
      <c r="AQ618" s="50">
        <f t="shared" si="175"/>
        <v>-3564.7573047925898</v>
      </c>
      <c r="AR618" s="50">
        <f t="shared" si="176"/>
        <v>-485.60946276643767</v>
      </c>
      <c r="AS618" s="20"/>
      <c r="AT618" s="52">
        <f t="shared" si="177"/>
        <v>-144.52704159879957</v>
      </c>
      <c r="AU618" s="52">
        <f t="shared" si="178"/>
        <v>-111.59355407880332</v>
      </c>
      <c r="AV618" s="20"/>
      <c r="AW618" s="20"/>
      <c r="AX618" s="20">
        <f t="shared" si="164"/>
        <v>-88.749658664884763</v>
      </c>
      <c r="AY618" s="20">
        <f t="shared" si="165"/>
        <v>-71.60847549228474</v>
      </c>
      <c r="AZ618" s="20"/>
      <c r="BA618" s="20">
        <f t="shared" si="166"/>
        <v>-16.410064208766062</v>
      </c>
      <c r="BB618" s="20">
        <f t="shared" si="167"/>
        <v>-7.0285679039424682</v>
      </c>
      <c r="BC618" s="20"/>
      <c r="BD618" s="20">
        <f t="shared" si="168"/>
        <v>-39.367318725148749</v>
      </c>
      <c r="BE618" s="20">
        <f t="shared" si="169"/>
        <v>-32.956510682576102</v>
      </c>
      <c r="BF618" s="20"/>
      <c r="BG618" s="54">
        <f t="shared" si="170"/>
        <v>66638.342705460571</v>
      </c>
      <c r="BH618" s="54">
        <f t="shared" si="171"/>
        <v>99933.171539422197</v>
      </c>
      <c r="BI618" s="54">
        <f t="shared" si="172"/>
        <v>100239.92949335823</v>
      </c>
      <c r="BJ618" s="20"/>
    </row>
    <row r="619" spans="37:62" x14ac:dyDescent="0.3">
      <c r="AK619">
        <v>615</v>
      </c>
      <c r="AL619">
        <v>307.5</v>
      </c>
      <c r="AN619" s="48">
        <f t="shared" si="173"/>
        <v>70061.380460751359</v>
      </c>
      <c r="AO619" s="48">
        <f t="shared" si="174"/>
        <v>49088.434888482348</v>
      </c>
      <c r="AP619" s="20"/>
      <c r="AQ619" s="50">
        <f t="shared" si="175"/>
        <v>-3637.0208255919897</v>
      </c>
      <c r="AR619" s="50">
        <f t="shared" si="176"/>
        <v>-541.40623980583928</v>
      </c>
      <c r="AS619" s="20"/>
      <c r="AT619" s="52">
        <f t="shared" si="177"/>
        <v>-149.03083022827349</v>
      </c>
      <c r="AU619" s="52">
        <f t="shared" si="178"/>
        <v>-118.00626192732065</v>
      </c>
      <c r="AV619" s="20"/>
      <c r="AW619" s="20"/>
      <c r="AX619" s="20">
        <f t="shared" si="164"/>
        <v>-91.813519899069959</v>
      </c>
      <c r="AY619" s="20">
        <f t="shared" si="165"/>
        <v>-76.273977246762101</v>
      </c>
      <c r="AZ619" s="20"/>
      <c r="BA619" s="20">
        <f t="shared" si="166"/>
        <v>-16.962230922777778</v>
      </c>
      <c r="BB619" s="20">
        <f t="shared" si="167"/>
        <v>-7.3619464369341685</v>
      </c>
      <c r="BC619" s="20"/>
      <c r="BD619" s="20">
        <f t="shared" si="168"/>
        <v>-40.25507940642575</v>
      </c>
      <c r="BE619" s="20">
        <f t="shared" si="169"/>
        <v>-34.370338243624396</v>
      </c>
      <c r="BF619" s="20"/>
      <c r="BG619" s="54">
        <f t="shared" si="170"/>
        <v>65082.560875472882</v>
      </c>
      <c r="BH619" s="54">
        <f t="shared" si="171"/>
        <v>98178.195097115793</v>
      </c>
      <c r="BI619" s="54">
        <f t="shared" si="172"/>
        <v>98699.231623801956</v>
      </c>
      <c r="BJ619" s="20"/>
    </row>
    <row r="620" spans="37:62" x14ac:dyDescent="0.3">
      <c r="AK620">
        <v>616</v>
      </c>
      <c r="AL620">
        <v>308</v>
      </c>
      <c r="AN620" s="48">
        <f t="shared" si="173"/>
        <v>68224.241194176837</v>
      </c>
      <c r="AO620" s="48">
        <f t="shared" si="174"/>
        <v>48802.980985838512</v>
      </c>
      <c r="AP620" s="20"/>
      <c r="AQ620" s="50">
        <f t="shared" si="175"/>
        <v>-3711.5362407061266</v>
      </c>
      <c r="AR620" s="50">
        <f t="shared" si="176"/>
        <v>-600.40937076949956</v>
      </c>
      <c r="AS620" s="20"/>
      <c r="AT620" s="52">
        <f t="shared" si="177"/>
        <v>-153.83506603179421</v>
      </c>
      <c r="AU620" s="52">
        <f t="shared" si="178"/>
        <v>-125.05256821500269</v>
      </c>
      <c r="AV620" s="20"/>
      <c r="AW620" s="20"/>
      <c r="AX620" s="20">
        <f t="shared" si="164"/>
        <v>-95.08242135752235</v>
      </c>
      <c r="AY620" s="20">
        <f t="shared" si="165"/>
        <v>-81.43596133745794</v>
      </c>
      <c r="AZ620" s="20"/>
      <c r="BA620" s="20">
        <f t="shared" si="166"/>
        <v>-17.558473228500358</v>
      </c>
      <c r="BB620" s="20">
        <f t="shared" si="167"/>
        <v>-7.7226065489903455</v>
      </c>
      <c r="BC620" s="20"/>
      <c r="BD620" s="20">
        <f t="shared" si="168"/>
        <v>-41.194171445771495</v>
      </c>
      <c r="BE620" s="20">
        <f t="shared" si="169"/>
        <v>-35.894000328554412</v>
      </c>
      <c r="BF620" s="20"/>
      <c r="BG620" s="54">
        <f t="shared" si="170"/>
        <v>63494.201916952064</v>
      </c>
      <c r="BH620" s="54">
        <f t="shared" si="171"/>
        <v>96380.434050047916</v>
      </c>
      <c r="BI620" s="54">
        <f t="shared" si="172"/>
        <v>97121.624168576658</v>
      </c>
      <c r="BJ620" s="20"/>
    </row>
    <row r="621" spans="37:62" x14ac:dyDescent="0.3">
      <c r="AK621">
        <v>617</v>
      </c>
      <c r="AL621">
        <v>308.5</v>
      </c>
      <c r="AN621" s="48">
        <f t="shared" si="173"/>
        <v>66349.243690569798</v>
      </c>
      <c r="AO621" s="48">
        <f t="shared" si="174"/>
        <v>48487.144729426887</v>
      </c>
      <c r="AP621" s="20"/>
      <c r="AQ621" s="50">
        <f t="shared" si="175"/>
        <v>-3788.4537737220235</v>
      </c>
      <c r="AR621" s="50">
        <f t="shared" si="176"/>
        <v>-662.93565487700096</v>
      </c>
      <c r="AS621" s="20"/>
      <c r="AT621" s="52">
        <f t="shared" si="177"/>
        <v>-158.96436856798692</v>
      </c>
      <c r="AU621" s="52">
        <f t="shared" si="178"/>
        <v>-132.82161788619894</v>
      </c>
      <c r="AV621" s="20"/>
      <c r="AW621" s="20"/>
      <c r="AX621" s="20">
        <f t="shared" si="164"/>
        <v>-98.571450794825381</v>
      </c>
      <c r="AY621" s="20">
        <f t="shared" si="165"/>
        <v>-87.167815442457766</v>
      </c>
      <c r="AZ621" s="20"/>
      <c r="BA621" s="20">
        <f t="shared" si="166"/>
        <v>-18.20408597154174</v>
      </c>
      <c r="BB621" s="20">
        <f t="shared" si="167"/>
        <v>-8.1138324032613589</v>
      </c>
      <c r="BC621" s="20"/>
      <c r="BD621" s="20">
        <f t="shared" si="168"/>
        <v>-42.188831801619806</v>
      </c>
      <c r="BE621" s="20">
        <f t="shared" si="169"/>
        <v>-37.539970040479822</v>
      </c>
      <c r="BF621" s="20"/>
      <c r="BG621" s="54">
        <f t="shared" si="170"/>
        <v>61872.436704552136</v>
      </c>
      <c r="BH621" s="54">
        <f t="shared" si="171"/>
        <v>94538.099173599112</v>
      </c>
      <c r="BI621" s="54">
        <f t="shared" si="172"/>
        <v>95505.665387512548</v>
      </c>
      <c r="BJ621" s="20"/>
    </row>
    <row r="622" spans="37:62" x14ac:dyDescent="0.3">
      <c r="AK622">
        <v>618</v>
      </c>
      <c r="AL622">
        <v>309</v>
      </c>
      <c r="AN622" s="48">
        <f t="shared" si="173"/>
        <v>64435.146257637789</v>
      </c>
      <c r="AO622" s="48">
        <f t="shared" si="174"/>
        <v>48139.074199752613</v>
      </c>
      <c r="AP622" s="20"/>
      <c r="AQ622" s="50">
        <f t="shared" si="175"/>
        <v>-3867.9359580060168</v>
      </c>
      <c r="AR622" s="50">
        <f t="shared" si="176"/>
        <v>-729.34646382010044</v>
      </c>
      <c r="AS622" s="20"/>
      <c r="AT622" s="52">
        <f t="shared" si="177"/>
        <v>-164.44487665423574</v>
      </c>
      <c r="AU622" s="52">
        <f t="shared" si="178"/>
        <v>-141.41883191491704</v>
      </c>
      <c r="AV622" s="20"/>
      <c r="AW622" s="20"/>
      <c r="AX622" s="20">
        <f t="shared" si="164"/>
        <v>-102.29586112567073</v>
      </c>
      <c r="AY622" s="20">
        <f t="shared" si="165"/>
        <v>-93.556777477674089</v>
      </c>
      <c r="AZ622" s="20"/>
      <c r="BA622" s="20">
        <f t="shared" si="166"/>
        <v>-18.905241391418457</v>
      </c>
      <c r="BB622" s="20">
        <f t="shared" si="167"/>
        <v>-8.5394345382130545</v>
      </c>
      <c r="BC622" s="20"/>
      <c r="BD622" s="20">
        <f t="shared" si="168"/>
        <v>-43.243774137146552</v>
      </c>
      <c r="BE622" s="20">
        <f t="shared" si="169"/>
        <v>-39.322619899029895</v>
      </c>
      <c r="BF622" s="20"/>
      <c r="BG622" s="54">
        <f t="shared" si="170"/>
        <v>60216.414495971614</v>
      </c>
      <c r="BH622" s="54">
        <f t="shared" si="171"/>
        <v>92649.246647573571</v>
      </c>
      <c r="BI622" s="54">
        <f t="shared" si="172"/>
        <v>93849.785437268947</v>
      </c>
      <c r="BJ622" s="20"/>
    </row>
    <row r="623" spans="37:62" x14ac:dyDescent="0.3">
      <c r="AK623">
        <v>619</v>
      </c>
      <c r="AL623">
        <v>309.5</v>
      </c>
      <c r="AN623" s="48">
        <f t="shared" si="173"/>
        <v>62480.622669053002</v>
      </c>
      <c r="AO623" s="48">
        <f t="shared" si="174"/>
        <v>47756.723613853203</v>
      </c>
      <c r="AP623" s="20"/>
      <c r="AQ623" s="50">
        <f t="shared" si="175"/>
        <v>-3950.1583963331345</v>
      </c>
      <c r="AR623" s="50">
        <f t="shared" si="176"/>
        <v>-800.05587977755897</v>
      </c>
      <c r="AS623" s="20"/>
      <c r="AT623" s="52">
        <f t="shared" si="177"/>
        <v>-170.30388898102018</v>
      </c>
      <c r="AU623" s="52">
        <f t="shared" si="178"/>
        <v>-150.96954794358038</v>
      </c>
      <c r="AV623" s="20"/>
      <c r="AW623" s="20"/>
      <c r="AX623" s="20">
        <f t="shared" si="164"/>
        <v>-106.27045554552205</v>
      </c>
      <c r="AY623" s="20">
        <f t="shared" si="165"/>
        <v>-100.7071009891514</v>
      </c>
      <c r="AZ623" s="20"/>
      <c r="BA623" s="20">
        <f t="shared" si="166"/>
        <v>-19.66917688308131</v>
      </c>
      <c r="BB623" s="20">
        <f t="shared" si="167"/>
        <v>-9.0038563150316016</v>
      </c>
      <c r="BC623" s="20"/>
      <c r="BD623" s="20">
        <f t="shared" si="168"/>
        <v>-44.364256552416819</v>
      </c>
      <c r="BE623" s="20">
        <f t="shared" si="169"/>
        <v>-41.258590639397397</v>
      </c>
      <c r="BF623" s="20"/>
      <c r="BG623" s="54">
        <f t="shared" si="170"/>
        <v>58525.268888511957</v>
      </c>
      <c r="BH623" s="54">
        <f t="shared" si="171"/>
        <v>90711.759402668409</v>
      </c>
      <c r="BI623" s="54">
        <f t="shared" si="172"/>
        <v>92152.269611489595</v>
      </c>
      <c r="BJ623" s="20"/>
    </row>
    <row r="624" spans="37:62" x14ac:dyDescent="0.3">
      <c r="AK624">
        <v>620</v>
      </c>
      <c r="AL624">
        <v>310</v>
      </c>
      <c r="AN624" s="48">
        <f t="shared" si="173"/>
        <v>60484.255484763809</v>
      </c>
      <c r="AO624" s="48">
        <f t="shared" si="174"/>
        <v>47337.824480471478</v>
      </c>
      <c r="AP624" s="20"/>
      <c r="AQ624" s="50">
        <f t="shared" si="175"/>
        <v>-4035.3103408236448</v>
      </c>
      <c r="AR624" s="50">
        <f t="shared" si="176"/>
        <v>-875.54065374934919</v>
      </c>
      <c r="AS624" s="20"/>
      <c r="AT624" s="52">
        <f t="shared" si="177"/>
        <v>-176.56919542777217</v>
      </c>
      <c r="AU624" s="52">
        <f t="shared" si="178"/>
        <v>-161.62361418625116</v>
      </c>
      <c r="AV624" s="20"/>
      <c r="AW624" s="20"/>
      <c r="AX624" s="20">
        <f t="shared" si="164"/>
        <v>-110.5086018154351</v>
      </c>
      <c r="AY624" s="20">
        <f t="shared" si="165"/>
        <v>-108.74405938778992</v>
      </c>
      <c r="AZ624" s="20"/>
      <c r="BA624" s="20">
        <f t="shared" si="166"/>
        <v>-20.504432632684221</v>
      </c>
      <c r="BB624" s="20">
        <f t="shared" si="167"/>
        <v>-9.5123065014342636</v>
      </c>
      <c r="BC624" s="20"/>
      <c r="BD624" s="20">
        <f t="shared" si="168"/>
        <v>-45.556160979652844</v>
      </c>
      <c r="BE624" s="20">
        <f t="shared" si="169"/>
        <v>-43.367248297026968</v>
      </c>
      <c r="BF624" s="20"/>
      <c r="BG624" s="54">
        <f t="shared" si="170"/>
        <v>56798.126742811517</v>
      </c>
      <c r="BH624" s="54">
        <f t="shared" si="171"/>
        <v>88723.325669584927</v>
      </c>
      <c r="BI624" s="54">
        <f t="shared" si="172"/>
        <v>90411.238667280122</v>
      </c>
      <c r="BJ624" s="20"/>
    </row>
    <row r="625" spans="37:62" x14ac:dyDescent="0.3">
      <c r="AK625">
        <v>621</v>
      </c>
      <c r="AL625">
        <v>310.5</v>
      </c>
      <c r="AN625" s="48">
        <f t="shared" si="173"/>
        <v>58444.529164923515</v>
      </c>
      <c r="AO625" s="48">
        <f t="shared" si="174"/>
        <v>46879.85120182352</v>
      </c>
      <c r="AP625" s="20"/>
      <c r="AQ625" s="50">
        <f t="shared" si="175"/>
        <v>-4123.5949385375307</v>
      </c>
      <c r="AR625" s="50">
        <f t="shared" si="176"/>
        <v>-956.35246084247478</v>
      </c>
      <c r="AS625" s="20"/>
      <c r="AT625" s="52">
        <f t="shared" si="177"/>
        <v>-183.26792338572838</v>
      </c>
      <c r="AU625" s="52">
        <f t="shared" si="178"/>
        <v>-173.56121562602141</v>
      </c>
      <c r="AV625" s="20"/>
      <c r="AW625" s="20"/>
      <c r="AX625" s="20">
        <f t="shared" si="164"/>
        <v>-115.02068167690545</v>
      </c>
      <c r="AY625" s="20">
        <f t="shared" si="165"/>
        <v>-117.81903506056001</v>
      </c>
      <c r="AZ625" s="20"/>
      <c r="BA625" s="20">
        <f t="shared" si="166"/>
        <v>-21.42115511856046</v>
      </c>
      <c r="BB625" s="20">
        <f t="shared" si="167"/>
        <v>-10.070925554065825</v>
      </c>
      <c r="BC625" s="20"/>
      <c r="BD625" s="20">
        <f t="shared" si="168"/>
        <v>-46.826086590262463</v>
      </c>
      <c r="BE625" s="20">
        <f t="shared" si="169"/>
        <v>-45.671255011395559</v>
      </c>
      <c r="BF625" s="20"/>
      <c r="BG625" s="54">
        <f t="shared" si="170"/>
        <v>55034.121264815483</v>
      </c>
      <c r="BH625" s="54">
        <f t="shared" si="171"/>
        <v>86681.41427419825</v>
      </c>
      <c r="BI625" s="54">
        <f t="shared" si="172"/>
        <v>88624.625616803882</v>
      </c>
      <c r="BJ625" s="20"/>
    </row>
    <row r="626" spans="37:62" x14ac:dyDescent="0.3">
      <c r="AK626">
        <v>622</v>
      </c>
      <c r="AL626">
        <v>311</v>
      </c>
      <c r="AN626" s="48">
        <f t="shared" si="173"/>
        <v>56359.823205231536</v>
      </c>
      <c r="AO626" s="48">
        <f t="shared" si="174"/>
        <v>46379.979819449029</v>
      </c>
      <c r="AP626" s="20"/>
      <c r="AQ626" s="50">
        <f t="shared" si="175"/>
        <v>-4215.2289002303951</v>
      </c>
      <c r="AR626" s="50">
        <f t="shared" si="176"/>
        <v>-1043.1330686554854</v>
      </c>
      <c r="AS626" s="20"/>
      <c r="AT626" s="52">
        <f t="shared" si="177"/>
        <v>-190.42462616817141</v>
      </c>
      <c r="AU626" s="52">
        <f t="shared" si="178"/>
        <v>-187.00029692738747</v>
      </c>
      <c r="AV626" s="20"/>
      <c r="AW626" s="20"/>
      <c r="AX626" s="20">
        <f t="shared" si="164"/>
        <v>-119.81167754205494</v>
      </c>
      <c r="AY626" s="20">
        <f t="shared" si="165"/>
        <v>-128.11601361964784</v>
      </c>
      <c r="AZ626" s="20"/>
      <c r="BA626" s="20">
        <f t="shared" si="166"/>
        <v>-22.431488530509831</v>
      </c>
      <c r="BB626" s="20">
        <f t="shared" si="167"/>
        <v>-10.686995671360336</v>
      </c>
      <c r="BC626" s="20"/>
      <c r="BD626" s="20">
        <f t="shared" si="168"/>
        <v>-48.181460095606653</v>
      </c>
      <c r="BE626" s="20">
        <f t="shared" si="169"/>
        <v>-48.197287636379293</v>
      </c>
      <c r="BF626" s="20"/>
      <c r="BG626" s="54">
        <f t="shared" si="170"/>
        <v>53232.410938040906</v>
      </c>
      <c r="BH626" s="54">
        <f t="shared" si="171"/>
        <v>84583.246163751232</v>
      </c>
      <c r="BI626" s="54">
        <f t="shared" si="172"/>
        <v>86790.148210573068</v>
      </c>
      <c r="BJ626" s="20"/>
    </row>
    <row r="627" spans="37:62" x14ac:dyDescent="0.3">
      <c r="AK627">
        <v>623</v>
      </c>
      <c r="AL627">
        <v>311.5</v>
      </c>
      <c r="AN627" s="48">
        <f t="shared" si="173"/>
        <v>54228.405676845323</v>
      </c>
      <c r="AO627" s="48">
        <f t="shared" si="174"/>
        <v>45835.038248005359</v>
      </c>
      <c r="AP627" s="20"/>
      <c r="AQ627" s="50">
        <f t="shared" si="175"/>
        <v>-4310.4412133144806</v>
      </c>
      <c r="AR627" s="50">
        <f t="shared" si="176"/>
        <v>-1136.6332171191791</v>
      </c>
      <c r="AS627" s="20"/>
      <c r="AT627" s="52">
        <f t="shared" si="177"/>
        <v>-198.05818723301081</v>
      </c>
      <c r="AU627" s="52">
        <f t="shared" si="178"/>
        <v>-202.20605507628835</v>
      </c>
      <c r="AV627" s="20"/>
      <c r="AW627" s="20"/>
      <c r="AX627" s="20">
        <f t="shared" si="164"/>
        <v>-124.87743585068456</v>
      </c>
      <c r="AY627" s="20">
        <f t="shared" si="165"/>
        <v>-139.85989662636374</v>
      </c>
      <c r="AZ627" s="20"/>
      <c r="BA627" s="20">
        <f t="shared" si="166"/>
        <v>-23.550084896262099</v>
      </c>
      <c r="BB627" s="20">
        <f t="shared" si="167"/>
        <v>-11.369208126001501</v>
      </c>
      <c r="BC627" s="20"/>
      <c r="BD627" s="20">
        <f t="shared" si="168"/>
        <v>-49.630666486064143</v>
      </c>
      <c r="BE627" s="20">
        <f t="shared" si="169"/>
        <v>-50.976950323923113</v>
      </c>
      <c r="BF627" s="20"/>
      <c r="BG627" s="54">
        <f t="shared" si="170"/>
        <v>51392.206730736238</v>
      </c>
      <c r="BH627" s="54">
        <f t="shared" si="171"/>
        <v>82425.761601348451</v>
      </c>
      <c r="BI627" s="54">
        <f t="shared" si="172"/>
        <v>84905.276147346915</v>
      </c>
      <c r="BJ627" s="20"/>
    </row>
    <row r="628" spans="37:62" x14ac:dyDescent="0.3">
      <c r="AK628">
        <v>624</v>
      </c>
      <c r="AL628">
        <v>312</v>
      </c>
      <c r="AN628" s="48">
        <f t="shared" si="173"/>
        <v>52048.427796783959</v>
      </c>
      <c r="AO628" s="48">
        <f t="shared" si="174"/>
        <v>45241.445882561238</v>
      </c>
      <c r="AP628" s="20"/>
      <c r="AQ628" s="50">
        <f t="shared" si="175"/>
        <v>-4409.4703069309862</v>
      </c>
      <c r="AR628" s="50">
        <f t="shared" si="176"/>
        <v>-1237.7362446573234</v>
      </c>
      <c r="AS628" s="20"/>
      <c r="AT628" s="52">
        <f t="shared" si="177"/>
        <v>-206.17687020558367</v>
      </c>
      <c r="AU628" s="52">
        <f t="shared" si="178"/>
        <v>-219.50310770531405</v>
      </c>
      <c r="AV628" s="20"/>
      <c r="AW628" s="20"/>
      <c r="AX628" s="20">
        <f t="shared" si="164"/>
        <v>-130.19888916479169</v>
      </c>
      <c r="AY628" s="20">
        <f t="shared" si="165"/>
        <v>-153.32715728026074</v>
      </c>
      <c r="AZ628" s="20"/>
      <c r="BA628" s="20">
        <f t="shared" si="166"/>
        <v>-24.794776466985049</v>
      </c>
      <c r="BB628" s="20">
        <f t="shared" si="167"/>
        <v>-12.128006116886574</v>
      </c>
      <c r="BC628" s="20"/>
      <c r="BD628" s="20">
        <f t="shared" si="168"/>
        <v>-51.183204573806925</v>
      </c>
      <c r="BE628" s="20">
        <f t="shared" si="169"/>
        <v>-54.047944308166741</v>
      </c>
      <c r="BF628" s="20"/>
      <c r="BG628" s="54">
        <f t="shared" si="170"/>
        <v>49512.811085132031</v>
      </c>
      <c r="BH628" s="54">
        <f t="shared" si="171"/>
        <v>80205.582448367553</v>
      </c>
      <c r="BI628" s="54">
        <f t="shared" si="172"/>
        <v>82967.191805595226</v>
      </c>
      <c r="BJ628" s="20"/>
    </row>
    <row r="629" spans="37:62" x14ac:dyDescent="0.3">
      <c r="AK629">
        <v>625</v>
      </c>
      <c r="AL629">
        <v>312.5</v>
      </c>
      <c r="AN629" s="48">
        <f t="shared" si="173"/>
        <v>49817.920534542769</v>
      </c>
      <c r="AO629" s="48">
        <f t="shared" si="174"/>
        <v>44595.13987176941</v>
      </c>
      <c r="AP629" s="20"/>
      <c r="AQ629" s="50">
        <f t="shared" si="175"/>
        <v>-4512.5587420337779</v>
      </c>
      <c r="AR629" s="50">
        <f t="shared" si="176"/>
        <v>-1347.4877985099804</v>
      </c>
      <c r="AS629" s="20"/>
      <c r="AT629" s="52">
        <f t="shared" si="177"/>
        <v>-214.77045445647295</v>
      </c>
      <c r="AU629" s="52">
        <f t="shared" si="178"/>
        <v>-239.29109391545524</v>
      </c>
      <c r="AV629" s="20"/>
      <c r="AW629" s="20"/>
      <c r="AX629" s="20">
        <f t="shared" si="164"/>
        <v>-135.73310890680759</v>
      </c>
      <c r="AY629" s="20">
        <f t="shared" si="165"/>
        <v>-168.85948348729633</v>
      </c>
      <c r="AZ629" s="20"/>
      <c r="BA629" s="20">
        <f t="shared" si="166"/>
        <v>-26.187472834993343</v>
      </c>
      <c r="BB629" s="20">
        <f t="shared" si="167"/>
        <v>-12.97602791201048</v>
      </c>
      <c r="BC629" s="20"/>
      <c r="BD629" s="20">
        <f t="shared" si="168"/>
        <v>-52.84987271467201</v>
      </c>
      <c r="BE629" s="20">
        <f t="shared" si="169"/>
        <v>-57.455582516148411</v>
      </c>
      <c r="BF629" s="20"/>
      <c r="BG629" s="54">
        <f t="shared" si="170"/>
        <v>47593.673813968635</v>
      </c>
      <c r="BH629" s="54">
        <f t="shared" si="171"/>
        <v>77918.969003157486</v>
      </c>
      <c r="BI629" s="54">
        <f t="shared" si="172"/>
        <v>80972.742994585569</v>
      </c>
      <c r="BJ629" s="20"/>
    </row>
    <row r="630" spans="37:62" x14ac:dyDescent="0.3">
      <c r="AK630">
        <v>626</v>
      </c>
      <c r="AL630">
        <v>313</v>
      </c>
      <c r="AN630" s="48">
        <f t="shared" si="173"/>
        <v>47534.794856718821</v>
      </c>
      <c r="AO630" s="48">
        <f t="shared" si="174"/>
        <v>43891.48458577499</v>
      </c>
      <c r="AP630" s="20"/>
      <c r="AQ630" s="50">
        <f t="shared" si="175"/>
        <v>-4619.9439692620144</v>
      </c>
      <c r="AR630" s="50">
        <f t="shared" si="176"/>
        <v>-1467.1333454677081</v>
      </c>
      <c r="AS630" s="20"/>
      <c r="AT630" s="52">
        <f t="shared" si="177"/>
        <v>-223.79776719310291</v>
      </c>
      <c r="AU630" s="52">
        <f t="shared" si="178"/>
        <v>-262.06460735076399</v>
      </c>
      <c r="AV630" s="20"/>
      <c r="AW630" s="20"/>
      <c r="AX630" s="20">
        <f t="shared" si="164"/>
        <v>-141.399402137545</v>
      </c>
      <c r="AY630" s="20">
        <f t="shared" si="165"/>
        <v>-186.8811512888627</v>
      </c>
      <c r="AZ630" s="20"/>
      <c r="BA630" s="20">
        <f t="shared" si="166"/>
        <v>-27.755373745642068</v>
      </c>
      <c r="BB630" s="20">
        <f t="shared" si="167"/>
        <v>-13.928684072685348</v>
      </c>
      <c r="BC630" s="20"/>
      <c r="BD630" s="20">
        <f t="shared" si="168"/>
        <v>-54.642991309915843</v>
      </c>
      <c r="BE630" s="20">
        <f t="shared" si="169"/>
        <v>-61.254771989215939</v>
      </c>
      <c r="BF630" s="20"/>
      <c r="BG630" s="54">
        <f t="shared" si="170"/>
        <v>45634.472475950548</v>
      </c>
      <c r="BH630" s="54">
        <f t="shared" si="171"/>
        <v>75561.771047050774</v>
      </c>
      <c r="BI630" s="54">
        <f t="shared" si="172"/>
        <v>78918.385863841031</v>
      </c>
      <c r="BJ630" s="20"/>
    </row>
    <row r="631" spans="37:62" x14ac:dyDescent="0.3">
      <c r="AK631">
        <v>627</v>
      </c>
      <c r="AL631">
        <v>313.5</v>
      </c>
      <c r="AN631" s="48">
        <f t="shared" si="173"/>
        <v>45196.848151188671</v>
      </c>
      <c r="AO631" s="48">
        <f t="shared" si="174"/>
        <v>43125.159837122294</v>
      </c>
      <c r="AP631" s="20"/>
      <c r="AQ631" s="50">
        <f t="shared" si="175"/>
        <v>-4731.8428528585655</v>
      </c>
      <c r="AR631" s="50">
        <f t="shared" si="176"/>
        <v>-1598.1656491430901</v>
      </c>
      <c r="AS631" s="20"/>
      <c r="AT631" s="52">
        <f t="shared" si="177"/>
        <v>-233.16690525453325</v>
      </c>
      <c r="AU631" s="52">
        <f t="shared" si="178"/>
        <v>-288.43842485322182</v>
      </c>
      <c r="AV631" s="20"/>
      <c r="AW631" s="20"/>
      <c r="AX631" s="20">
        <f t="shared" si="164"/>
        <v>-147.05760295189322</v>
      </c>
      <c r="AY631" s="20">
        <f t="shared" si="165"/>
        <v>-207.92087085614767</v>
      </c>
      <c r="AZ631" s="20"/>
      <c r="BA631" s="20">
        <f t="shared" si="166"/>
        <v>-29.532632167453492</v>
      </c>
      <c r="BB631" s="20">
        <f t="shared" si="167"/>
        <v>-15.00491494142881</v>
      </c>
      <c r="BC631" s="20"/>
      <c r="BD631" s="20">
        <f t="shared" si="168"/>
        <v>-56.576670135186539</v>
      </c>
      <c r="BE631" s="20">
        <f t="shared" si="169"/>
        <v>-65.512639055645323</v>
      </c>
      <c r="BF631" s="20"/>
      <c r="BG631" s="54">
        <f t="shared" si="170"/>
        <v>43635.228545002159</v>
      </c>
      <c r="BH631" s="54">
        <f t="shared" si="171"/>
        <v>73129.37318946507</v>
      </c>
      <c r="BI631" s="54">
        <f t="shared" si="172"/>
        <v>76800.11569265055</v>
      </c>
      <c r="BJ631" s="20"/>
    </row>
    <row r="632" spans="37:62" x14ac:dyDescent="0.3">
      <c r="AK632">
        <v>628</v>
      </c>
      <c r="AL632">
        <v>314</v>
      </c>
      <c r="AN632" s="48">
        <f t="shared" si="173"/>
        <v>42801.780861602572</v>
      </c>
      <c r="AO632" s="48">
        <f t="shared" si="174"/>
        <v>42290.022209444098</v>
      </c>
      <c r="AP632" s="20"/>
      <c r="AQ632" s="50">
        <f t="shared" si="175"/>
        <v>-4848.426305485832</v>
      </c>
      <c r="AR632" s="50">
        <f t="shared" si="176"/>
        <v>-1742.3848615697011</v>
      </c>
      <c r="AS632" s="20"/>
      <c r="AT632" s="52">
        <f t="shared" si="177"/>
        <v>-242.70379088560452</v>
      </c>
      <c r="AU632" s="52">
        <f t="shared" si="178"/>
        <v>-319.17880348001211</v>
      </c>
      <c r="AV632" s="20"/>
      <c r="AW632" s="20"/>
      <c r="AX632" s="20">
        <f t="shared" si="164"/>
        <v>-152.47399065150375</v>
      </c>
      <c r="AY632" s="20">
        <f t="shared" si="165"/>
        <v>-232.63856245812403</v>
      </c>
      <c r="AZ632" s="20"/>
      <c r="BA632" s="20">
        <f t="shared" si="166"/>
        <v>-31.562670075558767</v>
      </c>
      <c r="BB632" s="20">
        <f t="shared" si="167"/>
        <v>-16.22819136252026</v>
      </c>
      <c r="BC632" s="20"/>
      <c r="BD632" s="20">
        <f t="shared" si="168"/>
        <v>-58.667130158542008</v>
      </c>
      <c r="BE632" s="20">
        <f t="shared" si="169"/>
        <v>-70.312049659367844</v>
      </c>
      <c r="BF632" s="20"/>
      <c r="BG632" s="54">
        <f t="shared" si="170"/>
        <v>41596.476482920509</v>
      </c>
      <c r="BH632" s="54">
        <f t="shared" si="171"/>
        <v>70616.635530695916</v>
      </c>
      <c r="BI632" s="54">
        <f t="shared" si="172"/>
        <v>74613.382836454155</v>
      </c>
      <c r="BJ632" s="20"/>
    </row>
    <row r="633" spans="37:62" x14ac:dyDescent="0.3">
      <c r="AK633">
        <v>629</v>
      </c>
      <c r="AL633">
        <v>314.5</v>
      </c>
      <c r="AN633" s="48">
        <f t="shared" si="173"/>
        <v>40347.229734998953</v>
      </c>
      <c r="AO633" s="48">
        <f t="shared" si="174"/>
        <v>41378.932428224245</v>
      </c>
      <c r="AP633" s="20"/>
      <c r="AQ633" s="50">
        <f t="shared" si="175"/>
        <v>-4969.7782009286339</v>
      </c>
      <c r="AR633" s="50">
        <f t="shared" si="176"/>
        <v>-1901.9742633097071</v>
      </c>
      <c r="AS633" s="20"/>
      <c r="AT633" s="52">
        <f t="shared" si="177"/>
        <v>-252.10204898362483</v>
      </c>
      <c r="AU633" s="52">
        <f t="shared" si="178"/>
        <v>-355.24077114961062</v>
      </c>
      <c r="AV633" s="20"/>
      <c r="AW633" s="20"/>
      <c r="AX633" s="20">
        <f t="shared" si="164"/>
        <v>-157.26750086572355</v>
      </c>
      <c r="AY633" s="20">
        <f t="shared" si="165"/>
        <v>-261.85653302084859</v>
      </c>
      <c r="AZ633" s="20"/>
      <c r="BA633" s="20">
        <f t="shared" si="166"/>
        <v>-33.901457027714294</v>
      </c>
      <c r="BB633" s="20">
        <f t="shared" si="167"/>
        <v>-17.627843630310654</v>
      </c>
      <c r="BC633" s="20"/>
      <c r="BD633" s="20">
        <f t="shared" si="168"/>
        <v>-60.933091090186991</v>
      </c>
      <c r="BE633" s="20">
        <f t="shared" si="169"/>
        <v>-75.756394498451385</v>
      </c>
      <c r="BF633" s="20"/>
      <c r="BG633" s="54">
        <f t="shared" si="170"/>
        <v>39519.511894316332</v>
      </c>
      <c r="BH633" s="54">
        <f t="shared" si="171"/>
        <v>68017.832492838264</v>
      </c>
      <c r="BI633" s="54">
        <f t="shared" si="172"/>
        <v>72352.990721773545</v>
      </c>
      <c r="BJ633" s="20"/>
    </row>
    <row r="634" spans="37:62" x14ac:dyDescent="0.3">
      <c r="AK634">
        <v>630</v>
      </c>
      <c r="AL634">
        <v>315</v>
      </c>
      <c r="AN634" s="48">
        <f t="shared" si="173"/>
        <v>37830.827878411685</v>
      </c>
      <c r="AO634" s="48">
        <f t="shared" si="174"/>
        <v>40383.540200175688</v>
      </c>
      <c r="AP634" s="20"/>
      <c r="AQ634" s="50">
        <f t="shared" si="175"/>
        <v>-5095.8292254204462</v>
      </c>
      <c r="AR634" s="50">
        <f t="shared" si="176"/>
        <v>-2079.5946488845125</v>
      </c>
      <c r="AS634" s="20"/>
      <c r="AT634" s="52">
        <f t="shared" si="177"/>
        <v>-260.84298662123194</v>
      </c>
      <c r="AU634" s="52">
        <f t="shared" si="178"/>
        <v>-397.80893417614095</v>
      </c>
      <c r="AV634" s="20"/>
      <c r="AW634" s="20"/>
      <c r="AX634" s="20">
        <f t="shared" si="164"/>
        <v>-160.8245143272799</v>
      </c>
      <c r="AY634" s="20">
        <f t="shared" si="165"/>
        <v>-296.59191475106769</v>
      </c>
      <c r="AZ634" s="20"/>
      <c r="BA634" s="20">
        <f t="shared" si="166"/>
        <v>-36.622235399835155</v>
      </c>
      <c r="BB634" s="20">
        <f t="shared" si="167"/>
        <v>-19.240830579680594</v>
      </c>
      <c r="BC634" s="20"/>
      <c r="BD634" s="20">
        <f t="shared" si="168"/>
        <v>-63.39623689411691</v>
      </c>
      <c r="BE634" s="20">
        <f t="shared" si="169"/>
        <v>-81.97618884539267</v>
      </c>
      <c r="BF634" s="20"/>
      <c r="BG634" s="54">
        <f t="shared" si="170"/>
        <v>37406.759267893198</v>
      </c>
      <c r="BH634" s="54">
        <f t="shared" si="171"/>
        <v>65326.596177959327</v>
      </c>
      <c r="BI634" s="54">
        <f t="shared" si="172"/>
        <v>70012.972668317714</v>
      </c>
      <c r="BJ634" s="20"/>
    </row>
    <row r="635" spans="37:62" x14ac:dyDescent="0.3">
      <c r="AK635">
        <v>631</v>
      </c>
      <c r="AL635">
        <v>315.5</v>
      </c>
      <c r="AN635" s="48">
        <f t="shared" si="173"/>
        <v>35250.307892373807</v>
      </c>
      <c r="AO635" s="48">
        <f t="shared" si="174"/>
        <v>39294.016758961414</v>
      </c>
      <c r="AP635" s="20"/>
      <c r="AQ635" s="50">
        <f t="shared" si="175"/>
        <v>-5226.2507187310621</v>
      </c>
      <c r="AR635" s="50">
        <f t="shared" si="176"/>
        <v>-2278.4991159725828</v>
      </c>
      <c r="AS635" s="20"/>
      <c r="AT635" s="52">
        <f t="shared" si="177"/>
        <v>-268.06806343899098</v>
      </c>
      <c r="AU635" s="52">
        <f t="shared" si="178"/>
        <v>-448.33342052756234</v>
      </c>
      <c r="AV635" s="20"/>
      <c r="AW635" s="20"/>
      <c r="AX635" s="20">
        <f t="shared" si="164"/>
        <v>-162.16383094813335</v>
      </c>
      <c r="AY635" s="20">
        <f t="shared" si="165"/>
        <v>-338.08101418336668</v>
      </c>
      <c r="AZ635" s="20"/>
      <c r="BA635" s="20">
        <f t="shared" si="166"/>
        <v>-39.822462022824183</v>
      </c>
      <c r="BB635" s="20">
        <f t="shared" si="167"/>
        <v>-21.11408812693216</v>
      </c>
      <c r="BC635" s="20"/>
      <c r="BD635" s="20">
        <f t="shared" si="168"/>
        <v>-66.08177046803344</v>
      </c>
      <c r="BE635" s="20">
        <f t="shared" si="169"/>
        <v>-89.138318217263503</v>
      </c>
      <c r="BF635" s="20"/>
      <c r="BG635" s="54">
        <f t="shared" si="170"/>
        <v>35262.322562209629</v>
      </c>
      <c r="BH635" s="54">
        <f t="shared" si="171"/>
        <v>62535.877223210162</v>
      </c>
      <c r="BI635" s="54">
        <f t="shared" si="172"/>
        <v>67586.444952026228</v>
      </c>
      <c r="BJ635" s="20"/>
    </row>
    <row r="636" spans="37:62" x14ac:dyDescent="0.3">
      <c r="AK636">
        <v>632</v>
      </c>
      <c r="AL636">
        <v>316</v>
      </c>
      <c r="AN636" s="48">
        <f t="shared" si="173"/>
        <v>32603.674025078402</v>
      </c>
      <c r="AO636" s="48">
        <f t="shared" si="174"/>
        <v>38098.725523409179</v>
      </c>
      <c r="AP636" s="20"/>
      <c r="AQ636" s="50">
        <f t="shared" si="175"/>
        <v>-5360.2847504505571</v>
      </c>
      <c r="AR636" s="50">
        <f t="shared" si="176"/>
        <v>-2502.665826236364</v>
      </c>
      <c r="AS636" s="20"/>
      <c r="AT636" s="52">
        <f t="shared" si="177"/>
        <v>-272.37741506728867</v>
      </c>
      <c r="AU636" s="52">
        <f t="shared" si="178"/>
        <v>-508.53906718314465</v>
      </c>
      <c r="AV636" s="20"/>
      <c r="AW636" s="20"/>
      <c r="AX636" s="20">
        <f t="shared" si="164"/>
        <v>-159.72413821989238</v>
      </c>
      <c r="AY636" s="20">
        <f t="shared" si="165"/>
        <v>-387.77225237092358</v>
      </c>
      <c r="AZ636" s="20"/>
      <c r="BA636" s="20">
        <f t="shared" si="166"/>
        <v>-43.634214681585775</v>
      </c>
      <c r="BB636" s="20">
        <f t="shared" si="167"/>
        <v>-23.307608156473481</v>
      </c>
      <c r="BC636" s="20"/>
      <c r="BD636" s="20">
        <f t="shared" si="168"/>
        <v>-69.019062165810496</v>
      </c>
      <c r="BE636" s="20">
        <f t="shared" si="169"/>
        <v>-97.459206655747636</v>
      </c>
      <c r="BF636" s="20"/>
      <c r="BG636" s="54">
        <f t="shared" si="170"/>
        <v>33092.81799102894</v>
      </c>
      <c r="BH636" s="54">
        <f t="shared" si="171"/>
        <v>59637.948463848043</v>
      </c>
      <c r="BI636" s="54">
        <f t="shared" si="172"/>
        <v>65065.435927185659</v>
      </c>
      <c r="BJ636" s="20"/>
    </row>
    <row r="637" spans="37:62" x14ac:dyDescent="0.3">
      <c r="AK637">
        <v>633</v>
      </c>
      <c r="AL637">
        <v>316.5</v>
      </c>
      <c r="AN637" s="48">
        <f t="shared" si="173"/>
        <v>29889.484472969714</v>
      </c>
      <c r="AO637" s="48">
        <f t="shared" si="174"/>
        <v>36783.825226893103</v>
      </c>
      <c r="AP637" s="20"/>
      <c r="AQ637" s="50">
        <f t="shared" si="175"/>
        <v>-5496.4734579842016</v>
      </c>
      <c r="AR637" s="50">
        <f t="shared" si="176"/>
        <v>-2756.9353598279363</v>
      </c>
      <c r="AS637" s="20"/>
      <c r="AT637" s="52">
        <f t="shared" si="177"/>
        <v>-271.51868763375847</v>
      </c>
      <c r="AU637" s="52">
        <f t="shared" si="178"/>
        <v>-580.35660424843616</v>
      </c>
      <c r="AV637" s="20"/>
      <c r="AW637" s="20"/>
      <c r="AX637" s="20">
        <f t="shared" si="164"/>
        <v>-151.03618515953502</v>
      </c>
      <c r="AY637" s="20">
        <f t="shared" si="165"/>
        <v>-447.2343590039867</v>
      </c>
      <c r="AZ637" s="20"/>
      <c r="BA637" s="20">
        <f t="shared" si="166"/>
        <v>-48.240126322491875</v>
      </c>
      <c r="BB637" s="20">
        <f t="shared" si="167"/>
        <v>-25.898345633234744</v>
      </c>
      <c r="BC637" s="20"/>
      <c r="BD637" s="20">
        <f t="shared" si="168"/>
        <v>-72.242376151731591</v>
      </c>
      <c r="BE637" s="20">
        <f t="shared" si="169"/>
        <v>-107.22389961121472</v>
      </c>
      <c r="BF637" s="20"/>
      <c r="BG637" s="54">
        <f t="shared" si="170"/>
        <v>30908.644794949036</v>
      </c>
      <c r="BH637" s="54">
        <f t="shared" si="171"/>
        <v>56624.499598349139</v>
      </c>
      <c r="BI637" s="54">
        <f t="shared" si="172"/>
        <v>62440.697320890045</v>
      </c>
      <c r="BJ637" s="20"/>
    </row>
    <row r="638" spans="37:62" x14ac:dyDescent="0.3">
      <c r="AK638">
        <v>634</v>
      </c>
      <c r="AL638">
        <v>317</v>
      </c>
      <c r="AN638" s="48">
        <f t="shared" si="173"/>
        <v>27107.307908023391</v>
      </c>
      <c r="AO638" s="48">
        <f t="shared" si="174"/>
        <v>35332.812971448075</v>
      </c>
      <c r="AP638" s="20"/>
      <c r="AQ638" s="50">
        <f t="shared" si="175"/>
        <v>-5632.2328018010812</v>
      </c>
      <c r="AR638" s="50">
        <f t="shared" si="176"/>
        <v>-3047.1136619521544</v>
      </c>
      <c r="AS638" s="20"/>
      <c r="AT638" s="52">
        <f t="shared" si="177"/>
        <v>-261.93053662233575</v>
      </c>
      <c r="AU638" s="52">
        <f t="shared" si="178"/>
        <v>-665.66436938678544</v>
      </c>
      <c r="AV638" s="20"/>
      <c r="AW638" s="20"/>
      <c r="AX638" s="20">
        <f t="shared" si="164"/>
        <v>-132.24062389671045</v>
      </c>
      <c r="AY638" s="20">
        <f t="shared" si="165"/>
        <v>-517.86535771015531</v>
      </c>
      <c r="AZ638" s="20"/>
      <c r="BA638" s="20">
        <f t="shared" si="166"/>
        <v>-53.898310733347813</v>
      </c>
      <c r="BB638" s="20">
        <f t="shared" si="167"/>
        <v>-28.984798451034731</v>
      </c>
      <c r="BC638" s="20"/>
      <c r="BD638" s="20">
        <f t="shared" si="168"/>
        <v>-75.791601992277492</v>
      </c>
      <c r="BE638" s="20">
        <f t="shared" si="169"/>
        <v>-118.81421322559532</v>
      </c>
      <c r="BF638" s="20"/>
      <c r="BG638" s="54">
        <f t="shared" si="170"/>
        <v>28725.934338208393</v>
      </c>
      <c r="BH638" s="54">
        <f t="shared" si="171"/>
        <v>53486.913085236942</v>
      </c>
      <c r="BI638" s="54">
        <f t="shared" si="172"/>
        <v>59701.518261426092</v>
      </c>
      <c r="BJ638" s="20"/>
    </row>
    <row r="639" spans="37:62" x14ac:dyDescent="0.3">
      <c r="AK639">
        <v>635</v>
      </c>
      <c r="AL639">
        <v>317.5</v>
      </c>
      <c r="AN639" s="48">
        <f t="shared" si="173"/>
        <v>24258.45019004506</v>
      </c>
      <c r="AO639" s="48">
        <f t="shared" si="174"/>
        <v>33726.048094298647</v>
      </c>
      <c r="AP639" s="20"/>
      <c r="AQ639" s="50">
        <f t="shared" si="175"/>
        <v>-5763.1980701122493</v>
      </c>
      <c r="AR639" s="50">
        <f t="shared" si="176"/>
        <v>-3379.9458466455471</v>
      </c>
      <c r="AS639" s="20"/>
      <c r="AT639" s="52">
        <f t="shared" si="177"/>
        <v>-238.14813339345199</v>
      </c>
      <c r="AU639" s="52">
        <f t="shared" si="178"/>
        <v>-765.61660027621019</v>
      </c>
      <c r="AV639" s="20"/>
      <c r="AW639" s="20"/>
      <c r="AX639" s="20">
        <f t="shared" si="164"/>
        <v>-97.453205836134273</v>
      </c>
      <c r="AY639" s="20">
        <f t="shared" si="165"/>
        <v>-600.17432378961314</v>
      </c>
      <c r="AZ639" s="20"/>
      <c r="BA639" s="20">
        <f t="shared" si="166"/>
        <v>-60.982157220687263</v>
      </c>
      <c r="BB639" s="20">
        <f t="shared" si="167"/>
        <v>-32.691284690252154</v>
      </c>
      <c r="BC639" s="20"/>
      <c r="BD639" s="20">
        <f t="shared" si="168"/>
        <v>-79.712770336630456</v>
      </c>
      <c r="BE639" s="20">
        <f t="shared" si="169"/>
        <v>-132.75099179634492</v>
      </c>
      <c r="BF639" s="20"/>
      <c r="BG639" s="54">
        <f t="shared" si="170"/>
        <v>26569.531359539644</v>
      </c>
      <c r="BH639" s="54">
        <f t="shared" si="171"/>
        <v>50216.887312911698</v>
      </c>
      <c r="BI639" s="54">
        <f t="shared" si="172"/>
        <v>56835.593340892046</v>
      </c>
      <c r="BJ639" s="20"/>
    </row>
    <row r="640" spans="37:62" x14ac:dyDescent="0.3">
      <c r="AK640">
        <v>636</v>
      </c>
      <c r="AL640">
        <v>318</v>
      </c>
      <c r="AN640" s="48">
        <f t="shared" si="173"/>
        <v>21347.082638314751</v>
      </c>
      <c r="AO640" s="48">
        <f t="shared" si="174"/>
        <v>31940.373095941348</v>
      </c>
      <c r="AP640" s="20"/>
      <c r="AQ640" s="50">
        <f t="shared" si="175"/>
        <v>-5882.2721368089751</v>
      </c>
      <c r="AR640" s="50">
        <f t="shared" si="176"/>
        <v>-3762.7541467836522</v>
      </c>
      <c r="AS640" s="20"/>
      <c r="AT640" s="52">
        <f t="shared" si="177"/>
        <v>-192.25674543047086</v>
      </c>
      <c r="AU640" s="52">
        <f t="shared" si="178"/>
        <v>-879.16319891201761</v>
      </c>
      <c r="AV640" s="20"/>
      <c r="AW640" s="20"/>
      <c r="AX640" s="20">
        <f t="shared" si="164"/>
        <v>-38.15404683678473</v>
      </c>
      <c r="AY640" s="20">
        <f t="shared" si="165"/>
        <v>-692.23603161987899</v>
      </c>
      <c r="AZ640" s="20"/>
      <c r="BA640" s="20">
        <f t="shared" si="166"/>
        <v>-70.044955993924475</v>
      </c>
      <c r="BB640" s="20">
        <f t="shared" si="167"/>
        <v>-37.168582882589909</v>
      </c>
      <c r="BC640" s="20"/>
      <c r="BD640" s="20">
        <f t="shared" si="168"/>
        <v>-84.057742599761667</v>
      </c>
      <c r="BE640" s="20">
        <f t="shared" si="169"/>
        <v>-149.75858440954875</v>
      </c>
      <c r="BF640" s="20"/>
      <c r="BG640" s="54">
        <f t="shared" si="170"/>
        <v>24477.468592631525</v>
      </c>
      <c r="BH640" s="54">
        <f t="shared" si="171"/>
        <v>46807.70464665765</v>
      </c>
      <c r="BI640" s="54">
        <f t="shared" si="172"/>
        <v>53829.057115431264</v>
      </c>
      <c r="BJ640" s="20"/>
    </row>
    <row r="641" spans="37:62" x14ac:dyDescent="0.3">
      <c r="AK641">
        <v>637</v>
      </c>
      <c r="AL641">
        <v>318.5</v>
      </c>
      <c r="AN641" s="48">
        <f t="shared" si="173"/>
        <v>18381.914476731454</v>
      </c>
      <c r="AO641" s="48">
        <f t="shared" si="174"/>
        <v>29949.100622685521</v>
      </c>
      <c r="AP641" s="20"/>
      <c r="AQ641" s="50">
        <f t="shared" si="175"/>
        <v>-5978.400509524211</v>
      </c>
      <c r="AR641" s="50">
        <f t="shared" si="176"/>
        <v>-4202.3357462396607</v>
      </c>
      <c r="AS641" s="20"/>
      <c r="AT641" s="52">
        <f t="shared" si="177"/>
        <v>-114.0961982988818</v>
      </c>
      <c r="AU641" s="52">
        <f t="shared" si="178"/>
        <v>-1000.2470601506724</v>
      </c>
      <c r="AV641" s="20"/>
      <c r="AW641" s="20"/>
      <c r="AX641" s="20">
        <f t="shared" si="164"/>
        <v>56.711041259564958</v>
      </c>
      <c r="AY641" s="20">
        <f t="shared" si="165"/>
        <v>-786.80134847356362</v>
      </c>
      <c r="AZ641" s="20"/>
      <c r="BA641" s="20">
        <f t="shared" si="166"/>
        <v>-81.925805604083649</v>
      </c>
      <c r="BB641" s="20">
        <f t="shared" si="167"/>
        <v>-42.581152135629907</v>
      </c>
      <c r="BC641" s="20"/>
      <c r="BD641" s="20">
        <f t="shared" si="168"/>
        <v>-88.881433954363118</v>
      </c>
      <c r="BE641" s="20">
        <f t="shared" si="169"/>
        <v>-170.86455954147877</v>
      </c>
      <c r="BF641" s="20"/>
      <c r="BG641" s="54">
        <f t="shared" si="170"/>
        <v>22507.339236970474</v>
      </c>
      <c r="BH641" s="54">
        <f t="shared" si="171"/>
        <v>43256.652373399855</v>
      </c>
      <c r="BI641" s="54">
        <f t="shared" si="172"/>
        <v>50666.908050378326</v>
      </c>
      <c r="BJ641" s="20"/>
    </row>
    <row r="642" spans="37:62" x14ac:dyDescent="0.3">
      <c r="AK642">
        <v>638</v>
      </c>
      <c r="AL642">
        <v>319</v>
      </c>
      <c r="AN642" s="48">
        <f t="shared" si="173"/>
        <v>15378.452197181989</v>
      </c>
      <c r="AO642" s="48">
        <f t="shared" si="174"/>
        <v>27722.901867046858</v>
      </c>
      <c r="AP642" s="20"/>
      <c r="AQ642" s="50">
        <f t="shared" si="175"/>
        <v>-6035.4486086736515</v>
      </c>
      <c r="AR642" s="50">
        <f t="shared" si="176"/>
        <v>-4702.4592763149967</v>
      </c>
      <c r="AS642" s="20"/>
      <c r="AT642" s="52">
        <f t="shared" si="177"/>
        <v>5.9867234809376271</v>
      </c>
      <c r="AU642" s="52">
        <f t="shared" si="178"/>
        <v>-1113.6303724798408</v>
      </c>
      <c r="AV642" s="20"/>
      <c r="AW642" s="20"/>
      <c r="AX642" s="20">
        <f t="shared" si="164"/>
        <v>198.14064812607887</v>
      </c>
      <c r="AY642" s="20">
        <f t="shared" si="165"/>
        <v>-867.02097519871586</v>
      </c>
      <c r="AZ642" s="20"/>
      <c r="BA642" s="20">
        <f t="shared" si="166"/>
        <v>-97.921763597126386</v>
      </c>
      <c r="BB642" s="20">
        <f t="shared" si="167"/>
        <v>-49.054090812324091</v>
      </c>
      <c r="BC642" s="20"/>
      <c r="BD642" s="20">
        <f t="shared" si="168"/>
        <v>-94.232161048014859</v>
      </c>
      <c r="BE642" s="20">
        <f t="shared" si="169"/>
        <v>-197.55530646880075</v>
      </c>
      <c r="BF642" s="20"/>
      <c r="BG642" s="54">
        <f t="shared" si="170"/>
        <v>20744.263400225598</v>
      </c>
      <c r="BH642" s="54">
        <f t="shared" si="171"/>
        <v>39569.383751295201</v>
      </c>
      <c r="BI642" s="54">
        <f t="shared" si="172"/>
        <v>47334.212340485261</v>
      </c>
      <c r="BJ642" s="20"/>
    </row>
    <row r="643" spans="37:62" x14ac:dyDescent="0.3">
      <c r="AK643">
        <v>639</v>
      </c>
      <c r="AL643">
        <v>319.5</v>
      </c>
      <c r="AN643" s="48">
        <f t="shared" si="173"/>
        <v>12361.47623328028</v>
      </c>
      <c r="AO643" s="48">
        <f t="shared" si="174"/>
        <v>25232.468432329377</v>
      </c>
      <c r="AP643" s="20"/>
      <c r="AQ643" s="50">
        <f t="shared" si="175"/>
        <v>-6032.4552469331829</v>
      </c>
      <c r="AR643" s="50">
        <f t="shared" si="176"/>
        <v>-5259.2744625549167</v>
      </c>
      <c r="AS643" s="20"/>
      <c r="AT643" s="52">
        <f t="shared" si="177"/>
        <v>168.8750985189219</v>
      </c>
      <c r="AU643" s="52">
        <f t="shared" si="178"/>
        <v>-1191.6979756370717</v>
      </c>
      <c r="AV643" s="20"/>
      <c r="AW643" s="20"/>
      <c r="AX643" s="20">
        <f t="shared" si="164"/>
        <v>389.05329935755981</v>
      </c>
      <c r="AY643" s="20">
        <f t="shared" si="165"/>
        <v>-903.16866976433687</v>
      </c>
      <c r="AZ643" s="20"/>
      <c r="BA643" s="20">
        <f t="shared" si="166"/>
        <v>-120.05496460311393</v>
      </c>
      <c r="BB643" s="20">
        <f t="shared" si="167"/>
        <v>-56.509580875692528</v>
      </c>
      <c r="BC643" s="20"/>
      <c r="BD643" s="20">
        <f t="shared" si="168"/>
        <v>-100.12323623552396</v>
      </c>
      <c r="BE643" s="20">
        <f t="shared" si="169"/>
        <v>-232.01972499704226</v>
      </c>
      <c r="BF643" s="20"/>
      <c r="BG643" s="54">
        <f t="shared" si="170"/>
        <v>19307.705250451174</v>
      </c>
      <c r="BH643" s="54">
        <f t="shared" si="171"/>
        <v>35767.208984474528</v>
      </c>
      <c r="BI643" s="54">
        <f t="shared" si="172"/>
        <v>43818.630434521066</v>
      </c>
      <c r="BJ643" s="20"/>
    </row>
    <row r="644" spans="37:62" x14ac:dyDescent="0.3">
      <c r="AK644">
        <v>640</v>
      </c>
      <c r="AL644">
        <v>320</v>
      </c>
      <c r="AN644" s="48">
        <f t="shared" si="173"/>
        <v>9366.3579971285544</v>
      </c>
      <c r="AO644" s="48">
        <f t="shared" si="174"/>
        <v>22453.868954097285</v>
      </c>
      <c r="AP644" s="20"/>
      <c r="AQ644" s="50">
        <f t="shared" si="175"/>
        <v>-5948.0176976737221</v>
      </c>
      <c r="AR644" s="50">
        <f t="shared" si="176"/>
        <v>-5855.1234503734522</v>
      </c>
      <c r="AS644" s="20"/>
      <c r="AT644" s="52">
        <f t="shared" si="177"/>
        <v>352.23821960749439</v>
      </c>
      <c r="AU644" s="52">
        <f t="shared" si="178"/>
        <v>-1199.7531909679697</v>
      </c>
      <c r="AV644" s="20"/>
      <c r="AW644" s="20"/>
      <c r="AX644" s="20">
        <f t="shared" ref="AX644:AX707" si="179">Masse_1*(q_1x-AN644)/($BG644^2+Aarseth_1^2)^(3/2)</f>
        <v>610.12244155498581</v>
      </c>
      <c r="AY644" s="20">
        <f t="shared" ref="AY644:AY707" si="180">Masse_1*(q_1y-AO644)/($BG644^2+Aarseth_1^2)^(3/2)</f>
        <v>-858.00246373758205</v>
      </c>
      <c r="AZ644" s="20"/>
      <c r="BA644" s="20">
        <f t="shared" ref="BA644:BA707" si="181">Masse_2*(q_2x-AN644)/($BH644^2+Aarseth_2^2)^(3/2)</f>
        <v>-151.43024948133248</v>
      </c>
      <c r="BB644" s="20">
        <f t="shared" ref="BB644:BB707" si="182">Masse_2*(q_2y-AO644)/($BH644^2+Aarseth_2^2)^(3/2)</f>
        <v>-64.219488263106228</v>
      </c>
      <c r="BC644" s="20"/>
      <c r="BD644" s="20">
        <f t="shared" ref="BD644:BD707" si="183">Masse_3*(q_3x-AN644)/($BI644^2+Aarseth_3^2)^(3/2)</f>
        <v>-106.45397246615897</v>
      </c>
      <c r="BE644" s="20">
        <f t="shared" ref="BE644:BE707" si="184">Masse_3*(q_3y-AO644)/($BI644^2+Aarseth_3^2)^(3/2)</f>
        <v>-277.53123896728141</v>
      </c>
      <c r="BF644" s="20"/>
      <c r="BG644" s="54">
        <f t="shared" ref="BG644:BG707" si="185">SQRT((q_1x-AN644)^2+(q_1y-AO644)^2)</f>
        <v>18349.183604224643</v>
      </c>
      <c r="BH644" s="54">
        <f t="shared" ref="BH644:BH707" si="186">SQRT((q_2x-AN644)^2+(q_2y-AO644)^2)</f>
        <v>31897.991064349873</v>
      </c>
      <c r="BI644" s="54">
        <f t="shared" ref="BI644:BI707" si="187">SQRT((q_3x-AN644)^2+(q_3y-AO644)^2)</f>
        <v>40114.642485411132</v>
      </c>
      <c r="BJ644" s="20"/>
    </row>
    <row r="645" spans="37:62" x14ac:dyDescent="0.3">
      <c r="AK645">
        <v>641</v>
      </c>
      <c r="AL645">
        <v>320.5</v>
      </c>
      <c r="AN645" s="48">
        <f t="shared" ref="AN645:AN708" si="188">AN644+(AQ644*bt)+(0.5*AT644)*bt^2</f>
        <v>6436.3789257426306</v>
      </c>
      <c r="AO645" s="48">
        <f t="shared" ref="AO645:AO708" si="189">AO644+(AR644*bt)+(0.5*AU644)*bt^2</f>
        <v>19376.338080039561</v>
      </c>
      <c r="AP645" s="20"/>
      <c r="AQ645" s="50">
        <f t="shared" ref="AQ645:AQ708" si="190">AQ644+(AT644*bt)</f>
        <v>-5771.898587869975</v>
      </c>
      <c r="AR645" s="50">
        <f t="shared" ref="AR645:AR708" si="191">AR644+(AU644*bt)</f>
        <v>-6455.0000458574368</v>
      </c>
      <c r="AS645" s="20"/>
      <c r="AT645" s="52">
        <f t="shared" si="177"/>
        <v>501.22858490335761</v>
      </c>
      <c r="AU645" s="52">
        <f t="shared" si="178"/>
        <v>-1118.4307760028355</v>
      </c>
      <c r="AV645" s="20"/>
      <c r="AW645" s="20"/>
      <c r="AX645" s="20">
        <f t="shared" si="179"/>
        <v>810.51566224244038</v>
      </c>
      <c r="AY645" s="20">
        <f t="shared" si="180"/>
        <v>-709.68939424499627</v>
      </c>
      <c r="AZ645" s="20"/>
      <c r="BA645" s="20">
        <f t="shared" si="181"/>
        <v>-196.49107959721954</v>
      </c>
      <c r="BB645" s="20">
        <f t="shared" si="182"/>
        <v>-69.690588003392349</v>
      </c>
      <c r="BC645" s="20"/>
      <c r="BD645" s="20">
        <f t="shared" si="183"/>
        <v>-112.79599774186315</v>
      </c>
      <c r="BE645" s="20">
        <f t="shared" si="184"/>
        <v>-339.05079375444683</v>
      </c>
      <c r="BF645" s="20"/>
      <c r="BG645" s="54">
        <f t="shared" si="185"/>
        <v>18028.289515021563</v>
      </c>
      <c r="BH645" s="54">
        <f t="shared" si="186"/>
        <v>28049.91704972849</v>
      </c>
      <c r="BI645" s="54">
        <f t="shared" si="187"/>
        <v>36228.764576319023</v>
      </c>
      <c r="BJ645" s="20"/>
    </row>
    <row r="646" spans="37:62" x14ac:dyDescent="0.3">
      <c r="AK646">
        <v>642</v>
      </c>
      <c r="AL646">
        <v>321</v>
      </c>
      <c r="AN646" s="48">
        <f t="shared" si="188"/>
        <v>3613.0832049205628</v>
      </c>
      <c r="AO646" s="48">
        <f t="shared" si="189"/>
        <v>16009.034210110489</v>
      </c>
      <c r="AP646" s="20"/>
      <c r="AQ646" s="50">
        <f t="shared" si="190"/>
        <v>-5521.2842954182961</v>
      </c>
      <c r="AR646" s="50">
        <f t="shared" si="191"/>
        <v>-7014.2154338588543</v>
      </c>
      <c r="AS646" s="20"/>
      <c r="AT646" s="52">
        <f t="shared" si="177"/>
        <v>548.58167907072971</v>
      </c>
      <c r="AU646" s="52">
        <f t="shared" si="178"/>
        <v>-971.62255010505828</v>
      </c>
      <c r="AV646" s="20"/>
      <c r="AW646" s="20"/>
      <c r="AX646" s="20">
        <f t="shared" si="179"/>
        <v>926.68993641667578</v>
      </c>
      <c r="AY646" s="20">
        <f t="shared" si="180"/>
        <v>-481.19096897485554</v>
      </c>
      <c r="AZ646" s="20"/>
      <c r="BA646" s="20">
        <f t="shared" si="181"/>
        <v>-260.28370935298813</v>
      </c>
      <c r="BB646" s="20">
        <f t="shared" si="182"/>
        <v>-66.236742583054081</v>
      </c>
      <c r="BC646" s="20"/>
      <c r="BD646" s="20">
        <f t="shared" si="183"/>
        <v>-117.82454799295793</v>
      </c>
      <c r="BE646" s="20">
        <f t="shared" si="184"/>
        <v>-424.19483854714878</v>
      </c>
      <c r="BF646" s="20"/>
      <c r="BG646" s="54">
        <f t="shared" si="185"/>
        <v>18464.417273168605</v>
      </c>
      <c r="BH646" s="54">
        <f t="shared" si="186"/>
        <v>24365.676485186694</v>
      </c>
      <c r="BI646" s="54">
        <f t="shared" si="187"/>
        <v>32182.998694010592</v>
      </c>
      <c r="BJ646" s="20"/>
    </row>
    <row r="647" spans="37:62" x14ac:dyDescent="0.3">
      <c r="AK647">
        <v>643</v>
      </c>
      <c r="AL647">
        <v>321.5</v>
      </c>
      <c r="AN647" s="48">
        <f t="shared" si="188"/>
        <v>921.01376709525596</v>
      </c>
      <c r="AO647" s="48">
        <f t="shared" si="189"/>
        <v>12380.473674417928</v>
      </c>
      <c r="AP647" s="20"/>
      <c r="AQ647" s="50">
        <f t="shared" si="190"/>
        <v>-5246.9934558829309</v>
      </c>
      <c r="AR647" s="50">
        <f t="shared" si="191"/>
        <v>-7500.0267089113831</v>
      </c>
      <c r="AS647" s="20"/>
      <c r="AT647" s="52">
        <f t="shared" si="177"/>
        <v>465.43657957947164</v>
      </c>
      <c r="AU647" s="52">
        <f t="shared" si="178"/>
        <v>-821.06943274802245</v>
      </c>
      <c r="AV647" s="20"/>
      <c r="AW647" s="20"/>
      <c r="AX647" s="20">
        <f t="shared" si="179"/>
        <v>927.16176785525397</v>
      </c>
      <c r="AY647" s="20">
        <f t="shared" si="180"/>
        <v>-237.17133314663707</v>
      </c>
      <c r="AZ647" s="20"/>
      <c r="BA647" s="20">
        <f t="shared" si="181"/>
        <v>-343.91990660784688</v>
      </c>
      <c r="BB647" s="20">
        <f t="shared" si="182"/>
        <v>-39.132534058932549</v>
      </c>
      <c r="BC647" s="20"/>
      <c r="BD647" s="20">
        <f t="shared" si="183"/>
        <v>-117.80528166793547</v>
      </c>
      <c r="BE647" s="20">
        <f t="shared" si="184"/>
        <v>-544.7655655424528</v>
      </c>
      <c r="BF647" s="20"/>
      <c r="BG647" s="54">
        <f t="shared" si="185"/>
        <v>19693.317114240941</v>
      </c>
      <c r="BH647" s="54">
        <f t="shared" si="186"/>
        <v>21056.007977714726</v>
      </c>
      <c r="BI647" s="54">
        <f t="shared" si="187"/>
        <v>28013.367213985981</v>
      </c>
      <c r="BJ647" s="20"/>
    </row>
    <row r="648" spans="37:62" x14ac:dyDescent="0.3">
      <c r="AK648">
        <v>644</v>
      </c>
      <c r="AL648">
        <v>322</v>
      </c>
      <c r="AN648" s="48">
        <f t="shared" si="188"/>
        <v>-1644.3033883987757</v>
      </c>
      <c r="AO648" s="48">
        <f t="shared" si="189"/>
        <v>8527.8266408687341</v>
      </c>
      <c r="AP648" s="20"/>
      <c r="AQ648" s="50">
        <f t="shared" si="190"/>
        <v>-5014.2751660931954</v>
      </c>
      <c r="AR648" s="50">
        <f t="shared" si="191"/>
        <v>-7910.5614252853948</v>
      </c>
      <c r="AS648" s="20"/>
      <c r="AT648" s="52">
        <f t="shared" si="177"/>
        <v>300.1334610005793</v>
      </c>
      <c r="AU648" s="52">
        <f t="shared" si="178"/>
        <v>-723.67650608211773</v>
      </c>
      <c r="AV648" s="20"/>
      <c r="AW648" s="20"/>
      <c r="AX648" s="20">
        <f t="shared" si="179"/>
        <v>833.80539302028853</v>
      </c>
      <c r="AY648" s="20">
        <f t="shared" si="180"/>
        <v>-39.595055607362667</v>
      </c>
      <c r="AZ648" s="20"/>
      <c r="BA648" s="20">
        <f t="shared" si="181"/>
        <v>-431.17146174540289</v>
      </c>
      <c r="BB648" s="20">
        <f t="shared" si="182"/>
        <v>34.581043293017025</v>
      </c>
      <c r="BC648" s="20"/>
      <c r="BD648" s="20">
        <f t="shared" si="183"/>
        <v>-102.50047027430634</v>
      </c>
      <c r="BE648" s="20">
        <f t="shared" si="184"/>
        <v>-718.66249376777205</v>
      </c>
      <c r="BF648" s="20"/>
      <c r="BG648" s="54">
        <f t="shared" si="185"/>
        <v>21668.693933246883</v>
      </c>
      <c r="BH648" s="54">
        <f t="shared" si="186"/>
        <v>18414.637995260306</v>
      </c>
      <c r="BI648" s="54">
        <f t="shared" si="187"/>
        <v>23765.927842015433</v>
      </c>
      <c r="BJ648" s="20"/>
    </row>
    <row r="649" spans="37:62" x14ac:dyDescent="0.3">
      <c r="AK649">
        <v>645</v>
      </c>
      <c r="AL649">
        <v>322.5</v>
      </c>
      <c r="AN649" s="48">
        <f t="shared" si="188"/>
        <v>-4113.9242888203007</v>
      </c>
      <c r="AO649" s="48">
        <f t="shared" si="189"/>
        <v>4482.0863649657713</v>
      </c>
      <c r="AP649" s="20"/>
      <c r="AQ649" s="50">
        <f t="shared" si="190"/>
        <v>-4864.2084355929055</v>
      </c>
      <c r="AR649" s="50">
        <f t="shared" si="191"/>
        <v>-8272.3996783264538</v>
      </c>
      <c r="AS649" s="20"/>
      <c r="AT649" s="52">
        <f t="shared" si="177"/>
        <v>179.62721718067402</v>
      </c>
      <c r="AU649" s="52">
        <f t="shared" si="178"/>
        <v>-717.95478910511815</v>
      </c>
      <c r="AV649" s="20"/>
      <c r="AW649" s="20"/>
      <c r="AX649" s="20">
        <f t="shared" si="179"/>
        <v>695.72385016909936</v>
      </c>
      <c r="AY649" s="20">
        <f t="shared" si="180"/>
        <v>87.071455831735705</v>
      </c>
      <c r="AZ649" s="20"/>
      <c r="BA649" s="20">
        <f t="shared" si="181"/>
        <v>-472.02586310236285</v>
      </c>
      <c r="BB649" s="20">
        <f t="shared" si="182"/>
        <v>163.95477356741813</v>
      </c>
      <c r="BC649" s="20"/>
      <c r="BD649" s="20">
        <f t="shared" si="183"/>
        <v>-44.070769886062493</v>
      </c>
      <c r="BE649" s="20">
        <f t="shared" si="184"/>
        <v>-968.98101850427201</v>
      </c>
      <c r="BF649" s="20"/>
      <c r="BG649" s="54">
        <f t="shared" si="185"/>
        <v>24302.03998259165</v>
      </c>
      <c r="BH649" s="54">
        <f t="shared" si="186"/>
        <v>16817.097620726065</v>
      </c>
      <c r="BI649" s="54">
        <f t="shared" si="187"/>
        <v>19502.226008790065</v>
      </c>
      <c r="BJ649" s="20"/>
    </row>
    <row r="650" spans="37:62" x14ac:dyDescent="0.3">
      <c r="AK650">
        <v>646</v>
      </c>
      <c r="AL650">
        <v>323</v>
      </c>
      <c r="AN650" s="48">
        <f t="shared" si="188"/>
        <v>-6523.5751044691697</v>
      </c>
      <c r="AO650" s="48">
        <f t="shared" si="189"/>
        <v>256.14217716440464</v>
      </c>
      <c r="AP650" s="20"/>
      <c r="AQ650" s="50">
        <f t="shared" si="190"/>
        <v>-4774.3948270025685</v>
      </c>
      <c r="AR650" s="50">
        <f t="shared" si="191"/>
        <v>-8631.3770728790132</v>
      </c>
      <c r="AS650" s="20"/>
      <c r="AT650" s="52">
        <f t="shared" si="177"/>
        <v>272.58475382423995</v>
      </c>
      <c r="AU650" s="52">
        <f t="shared" si="178"/>
        <v>-853.01819997725784</v>
      </c>
      <c r="AV650" s="20"/>
      <c r="AW650" s="20"/>
      <c r="AX650" s="20">
        <f t="shared" si="179"/>
        <v>554.54934351304473</v>
      </c>
      <c r="AY650" s="20">
        <f t="shared" si="180"/>
        <v>151.45305956429846</v>
      </c>
      <c r="AZ650" s="20"/>
      <c r="BA650" s="20">
        <f t="shared" si="181"/>
        <v>-412.02853554620594</v>
      </c>
      <c r="BB650" s="20">
        <f t="shared" si="182"/>
        <v>297.90894101630755</v>
      </c>
      <c r="BC650" s="20"/>
      <c r="BD650" s="20">
        <f t="shared" si="183"/>
        <v>130.06394585740117</v>
      </c>
      <c r="BE650" s="20">
        <f t="shared" si="184"/>
        <v>-1302.3802005578639</v>
      </c>
      <c r="BF650" s="20"/>
      <c r="BG650" s="54">
        <f t="shared" si="185"/>
        <v>27494.972494619324</v>
      </c>
      <c r="BH650" s="54">
        <f t="shared" si="186"/>
        <v>16629.996790033292</v>
      </c>
      <c r="BI650" s="54">
        <f t="shared" si="187"/>
        <v>15332.030368767631</v>
      </c>
      <c r="BJ650" s="20"/>
    </row>
    <row r="651" spans="37:62" x14ac:dyDescent="0.3">
      <c r="AK651">
        <v>647</v>
      </c>
      <c r="AL651">
        <v>323.5</v>
      </c>
      <c r="AN651" s="48">
        <f t="shared" si="188"/>
        <v>-8876.6994237424242</v>
      </c>
      <c r="AO651" s="48">
        <f t="shared" si="189"/>
        <v>-4166.1736342722597</v>
      </c>
      <c r="AP651" s="20"/>
      <c r="AQ651" s="50">
        <f t="shared" si="190"/>
        <v>-4638.1024500904487</v>
      </c>
      <c r="AR651" s="50">
        <f t="shared" si="191"/>
        <v>-9057.886172867642</v>
      </c>
      <c r="AS651" s="20"/>
      <c r="AT651" s="52">
        <f t="shared" si="177"/>
        <v>728.08962671920494</v>
      </c>
      <c r="AU651" s="52">
        <f t="shared" si="178"/>
        <v>-1074.0018803394873</v>
      </c>
      <c r="AV651" s="20"/>
      <c r="AW651" s="20"/>
      <c r="AX651" s="20">
        <f t="shared" si="179"/>
        <v>432.00901095684213</v>
      </c>
      <c r="AY651" s="20">
        <f t="shared" si="180"/>
        <v>174.53144694400038</v>
      </c>
      <c r="AZ651" s="20"/>
      <c r="BA651" s="20">
        <f t="shared" si="181"/>
        <v>-276.85379445157844</v>
      </c>
      <c r="BB651" s="20">
        <f t="shared" si="182"/>
        <v>352.58949415423621</v>
      </c>
      <c r="BC651" s="20"/>
      <c r="BD651" s="20">
        <f t="shared" si="183"/>
        <v>572.93441021394119</v>
      </c>
      <c r="BE651" s="20">
        <f t="shared" si="184"/>
        <v>-1601.1228214377238</v>
      </c>
      <c r="BF651" s="20"/>
      <c r="BG651" s="54">
        <f t="shared" si="185"/>
        <v>31144.235050393439</v>
      </c>
      <c r="BH651" s="54">
        <f t="shared" si="186"/>
        <v>18011.337849980013</v>
      </c>
      <c r="BI651" s="54">
        <f t="shared" si="187"/>
        <v>11506.545621722549</v>
      </c>
      <c r="BJ651" s="20"/>
    </row>
    <row r="652" spans="37:62" x14ac:dyDescent="0.3">
      <c r="AK652">
        <v>648</v>
      </c>
      <c r="AL652">
        <v>324</v>
      </c>
      <c r="AN652" s="48">
        <f t="shared" si="188"/>
        <v>-11104.739445447749</v>
      </c>
      <c r="AO652" s="48">
        <f t="shared" si="189"/>
        <v>-8829.3669557485173</v>
      </c>
      <c r="AP652" s="20"/>
      <c r="AQ652" s="50">
        <f t="shared" si="190"/>
        <v>-4274.0576367308458</v>
      </c>
      <c r="AR652" s="50">
        <f t="shared" si="191"/>
        <v>-9594.8871130373864</v>
      </c>
      <c r="AS652" s="20"/>
      <c r="AT652" s="52">
        <f t="shared" si="177"/>
        <v>1560.2178756951387</v>
      </c>
      <c r="AU652" s="52">
        <f t="shared" si="178"/>
        <v>-897.17083011928617</v>
      </c>
      <c r="AV652" s="20"/>
      <c r="AW652" s="20"/>
      <c r="AX652" s="20">
        <f t="shared" si="179"/>
        <v>334.20790213709654</v>
      </c>
      <c r="AY652" s="20">
        <f t="shared" si="180"/>
        <v>175.45247350741732</v>
      </c>
      <c r="AZ652" s="20"/>
      <c r="BA652" s="20">
        <f t="shared" si="181"/>
        <v>-150.65202869492495</v>
      </c>
      <c r="BB652" s="20">
        <f t="shared" si="182"/>
        <v>318.89817206905684</v>
      </c>
      <c r="BC652" s="20"/>
      <c r="BD652" s="20">
        <f t="shared" si="183"/>
        <v>1376.6620022529671</v>
      </c>
      <c r="BE652" s="20">
        <f t="shared" si="184"/>
        <v>-1391.5214756957603</v>
      </c>
      <c r="BF652" s="20"/>
      <c r="BG652" s="54">
        <f t="shared" si="185"/>
        <v>35130.514387704097</v>
      </c>
      <c r="BH652" s="54">
        <f t="shared" si="186"/>
        <v>20824.762190421465</v>
      </c>
      <c r="BI652" s="54">
        <f t="shared" si="187"/>
        <v>8680.1241848036952</v>
      </c>
      <c r="BJ652" s="20"/>
    </row>
    <row r="653" spans="37:62" x14ac:dyDescent="0.3">
      <c r="AK653">
        <v>649</v>
      </c>
      <c r="AL653">
        <v>324.5</v>
      </c>
      <c r="AN653" s="48">
        <f t="shared" si="188"/>
        <v>-13046.74102935128</v>
      </c>
      <c r="AO653" s="48">
        <f t="shared" si="189"/>
        <v>-13738.95686603212</v>
      </c>
      <c r="AP653" s="20"/>
      <c r="AQ653" s="50">
        <f t="shared" si="190"/>
        <v>-3493.9486988832764</v>
      </c>
      <c r="AR653" s="50">
        <f t="shared" si="191"/>
        <v>-10043.472528097029</v>
      </c>
      <c r="AS653" s="20"/>
      <c r="AT653" s="52">
        <f t="shared" si="177"/>
        <v>2150.1898635417333</v>
      </c>
      <c r="AU653" s="52">
        <f t="shared" si="178"/>
        <v>110.11933710339798</v>
      </c>
      <c r="AV653" s="20"/>
      <c r="AW653" s="20"/>
      <c r="AX653" s="20">
        <f t="shared" si="179"/>
        <v>259.77622282287001</v>
      </c>
      <c r="AY653" s="20">
        <f t="shared" si="180"/>
        <v>166.95673520288403</v>
      </c>
      <c r="AZ653" s="20"/>
      <c r="BA653" s="20">
        <f t="shared" si="181"/>
        <v>-73.500693033224564</v>
      </c>
      <c r="BB653" s="20">
        <f t="shared" si="182"/>
        <v>250.93697630197681</v>
      </c>
      <c r="BC653" s="20"/>
      <c r="BD653" s="20">
        <f t="shared" si="183"/>
        <v>1963.9143337520877</v>
      </c>
      <c r="BE653" s="20">
        <f t="shared" si="184"/>
        <v>-307.77437440146286</v>
      </c>
      <c r="BF653" s="20"/>
      <c r="BG653" s="54">
        <f t="shared" si="185"/>
        <v>39283.334652472957</v>
      </c>
      <c r="BH653" s="54">
        <f t="shared" si="186"/>
        <v>24736.327201107291</v>
      </c>
      <c r="BI653" s="54">
        <f t="shared" si="187"/>
        <v>8144.9537125248808</v>
      </c>
      <c r="BJ653" s="20"/>
    </row>
    <row r="654" spans="37:62" x14ac:dyDescent="0.3">
      <c r="AK654">
        <v>650</v>
      </c>
      <c r="AL654">
        <v>325</v>
      </c>
      <c r="AN654" s="48">
        <f t="shared" si="188"/>
        <v>-14524.941645850202</v>
      </c>
      <c r="AO654" s="48">
        <f t="shared" si="189"/>
        <v>-18746.928212942712</v>
      </c>
      <c r="AP654" s="20"/>
      <c r="AQ654" s="50">
        <f t="shared" si="190"/>
        <v>-2418.8537671124095</v>
      </c>
      <c r="AR654" s="50">
        <f t="shared" si="191"/>
        <v>-9988.4128595453294</v>
      </c>
      <c r="AS654" s="20"/>
      <c r="AT654" s="52">
        <f t="shared" si="177"/>
        <v>1871.0311686645264</v>
      </c>
      <c r="AU654" s="52">
        <f t="shared" si="178"/>
        <v>1014.9651264285148</v>
      </c>
      <c r="AV654" s="20"/>
      <c r="AW654" s="20"/>
      <c r="AX654" s="20">
        <f t="shared" si="179"/>
        <v>205.04381833136446</v>
      </c>
      <c r="AY654" s="20">
        <f t="shared" si="180"/>
        <v>155.88065102197976</v>
      </c>
      <c r="AZ654" s="20"/>
      <c r="BA654" s="20">
        <f t="shared" si="181"/>
        <v>-36.095078983279393</v>
      </c>
      <c r="BB654" s="20">
        <f t="shared" si="182"/>
        <v>189.51809775440441</v>
      </c>
      <c r="BC654" s="20"/>
      <c r="BD654" s="20">
        <f t="shared" si="183"/>
        <v>1702.0824293164412</v>
      </c>
      <c r="BE654" s="20">
        <f t="shared" si="184"/>
        <v>669.56637765213065</v>
      </c>
      <c r="BF654" s="20"/>
      <c r="BG654" s="54">
        <f t="shared" si="185"/>
        <v>43369.030843042019</v>
      </c>
      <c r="BH654" s="54">
        <f t="shared" si="186"/>
        <v>29263.6659641513</v>
      </c>
      <c r="BI654" s="54">
        <f t="shared" si="187"/>
        <v>10235.4279045772</v>
      </c>
      <c r="BJ654" s="20"/>
    </row>
    <row r="655" spans="37:62" x14ac:dyDescent="0.3">
      <c r="AK655">
        <v>651</v>
      </c>
      <c r="AL655">
        <v>325.5</v>
      </c>
      <c r="AN655" s="48">
        <f t="shared" si="188"/>
        <v>-15500.489633323341</v>
      </c>
      <c r="AO655" s="48">
        <f t="shared" si="189"/>
        <v>-23614.264001911812</v>
      </c>
      <c r="AP655" s="20"/>
      <c r="AQ655" s="50">
        <f t="shared" si="190"/>
        <v>-1483.3381827801463</v>
      </c>
      <c r="AR655" s="50">
        <f t="shared" si="191"/>
        <v>-9480.9302963310729</v>
      </c>
      <c r="AS655" s="20"/>
      <c r="AT655" s="52">
        <f t="shared" si="177"/>
        <v>1291.9273471543347</v>
      </c>
      <c r="AU655" s="52">
        <f t="shared" si="178"/>
        <v>1230.4755815397259</v>
      </c>
      <c r="AV655" s="20"/>
      <c r="AW655" s="20"/>
      <c r="AX655" s="20">
        <f t="shared" si="179"/>
        <v>165.4442061242666</v>
      </c>
      <c r="AY655" s="20">
        <f t="shared" si="180"/>
        <v>145.00292137112288</v>
      </c>
      <c r="AZ655" s="20"/>
      <c r="BA655" s="20">
        <f t="shared" si="181"/>
        <v>-19.459870343687562</v>
      </c>
      <c r="BB655" s="20">
        <f t="shared" si="182"/>
        <v>145.37786689417683</v>
      </c>
      <c r="BC655" s="20"/>
      <c r="BD655" s="20">
        <f t="shared" si="183"/>
        <v>1145.9430113737558</v>
      </c>
      <c r="BE655" s="20">
        <f t="shared" si="184"/>
        <v>940.09479327442614</v>
      </c>
      <c r="BF655" s="20"/>
      <c r="BG655" s="54">
        <f t="shared" si="185"/>
        <v>47205.743173753377</v>
      </c>
      <c r="BH655" s="54">
        <f t="shared" si="186"/>
        <v>33914.072859655986</v>
      </c>
      <c r="BI655" s="54">
        <f t="shared" si="187"/>
        <v>13581.819717334074</v>
      </c>
      <c r="BJ655" s="20"/>
    </row>
    <row r="656" spans="37:62" x14ac:dyDescent="0.3">
      <c r="AK656">
        <v>652</v>
      </c>
      <c r="AL656">
        <v>326</v>
      </c>
      <c r="AN656" s="48">
        <f t="shared" si="188"/>
        <v>-16080.667806319121</v>
      </c>
      <c r="AO656" s="48">
        <f t="shared" si="189"/>
        <v>-28200.919702384883</v>
      </c>
      <c r="AP656" s="20"/>
      <c r="AQ656" s="50">
        <f t="shared" si="190"/>
        <v>-837.37450920297897</v>
      </c>
      <c r="AR656" s="50">
        <f t="shared" si="191"/>
        <v>-8865.6925055612101</v>
      </c>
      <c r="AS656" s="20"/>
      <c r="AT656" s="52">
        <f t="shared" si="177"/>
        <v>857.94681183287935</v>
      </c>
      <c r="AU656" s="52">
        <f t="shared" si="178"/>
        <v>1124.0208910712661</v>
      </c>
      <c r="AV656" s="20"/>
      <c r="AW656" s="20"/>
      <c r="AX656" s="20">
        <f t="shared" si="179"/>
        <v>136.44382862232746</v>
      </c>
      <c r="AY656" s="20">
        <f t="shared" si="180"/>
        <v>135.0077608230562</v>
      </c>
      <c r="AZ656" s="20"/>
      <c r="BA656" s="20">
        <f t="shared" si="181"/>
        <v>-11.834988230886388</v>
      </c>
      <c r="BB656" s="20">
        <f t="shared" si="182"/>
        <v>115.353180783117</v>
      </c>
      <c r="BC656" s="20"/>
      <c r="BD656" s="20">
        <f t="shared" si="183"/>
        <v>733.3379714414383</v>
      </c>
      <c r="BE656" s="20">
        <f t="shared" si="184"/>
        <v>873.65994946509284</v>
      </c>
      <c r="BF656" s="20"/>
      <c r="BG656" s="54">
        <f t="shared" si="185"/>
        <v>50757.957572641615</v>
      </c>
      <c r="BH656" s="54">
        <f t="shared" si="186"/>
        <v>38401.450896450267</v>
      </c>
      <c r="BI656" s="54">
        <f t="shared" si="187"/>
        <v>17235.00739839732</v>
      </c>
      <c r="BJ656" s="20"/>
    </row>
    <row r="657" spans="37:62" x14ac:dyDescent="0.3">
      <c r="AK657">
        <v>653</v>
      </c>
      <c r="AL657">
        <v>326.5</v>
      </c>
      <c r="AN657" s="48">
        <f t="shared" si="188"/>
        <v>-16392.111709441502</v>
      </c>
      <c r="AO657" s="48">
        <f t="shared" si="189"/>
        <v>-32493.263343781578</v>
      </c>
      <c r="AP657" s="20"/>
      <c r="AQ657" s="50">
        <f t="shared" si="190"/>
        <v>-408.4011032865393</v>
      </c>
      <c r="AR657" s="50">
        <f t="shared" si="191"/>
        <v>-8303.6820600255778</v>
      </c>
      <c r="AS657" s="20"/>
      <c r="AT657" s="52">
        <f t="shared" si="177"/>
        <v>587.52369460617172</v>
      </c>
      <c r="AU657" s="52">
        <f t="shared" si="178"/>
        <v>959.01994865489576</v>
      </c>
      <c r="AV657" s="20"/>
      <c r="AW657" s="20"/>
      <c r="AX657" s="20">
        <f t="shared" si="179"/>
        <v>114.59513474515254</v>
      </c>
      <c r="AY657" s="20">
        <f t="shared" si="180"/>
        <v>125.9348025300221</v>
      </c>
      <c r="AZ657" s="20"/>
      <c r="BA657" s="20">
        <f t="shared" si="181"/>
        <v>-8.0276261474129029</v>
      </c>
      <c r="BB657" s="20">
        <f t="shared" si="182"/>
        <v>94.548390758140187</v>
      </c>
      <c r="BC657" s="20"/>
      <c r="BD657" s="20">
        <f t="shared" si="183"/>
        <v>480.95618600843204</v>
      </c>
      <c r="BE657" s="20">
        <f t="shared" si="184"/>
        <v>738.53675536673347</v>
      </c>
      <c r="BF657" s="20"/>
      <c r="BG657" s="54">
        <f t="shared" si="185"/>
        <v>54072.607737721817</v>
      </c>
      <c r="BH657" s="54">
        <f t="shared" si="186"/>
        <v>42646.152083407484</v>
      </c>
      <c r="BI657" s="54">
        <f t="shared" si="187"/>
        <v>20875.690925458886</v>
      </c>
      <c r="BJ657" s="20"/>
    </row>
    <row r="658" spans="37:62" x14ac:dyDescent="0.3">
      <c r="AK658">
        <v>654</v>
      </c>
      <c r="AL658">
        <v>327</v>
      </c>
      <c r="AN658" s="48">
        <f t="shared" si="188"/>
        <v>-16522.871799258999</v>
      </c>
      <c r="AO658" s="48">
        <f t="shared" si="189"/>
        <v>-36525.226880212504</v>
      </c>
      <c r="AP658" s="20"/>
      <c r="AQ658" s="50">
        <f t="shared" si="190"/>
        <v>-114.63925598345344</v>
      </c>
      <c r="AR658" s="50">
        <f t="shared" si="191"/>
        <v>-7824.1720856981301</v>
      </c>
      <c r="AS658" s="20"/>
      <c r="AT658" s="52">
        <f t="shared" ref="AT658:AT721" si="192">AX658+BA658+BD658</f>
        <v>420.21413023880609</v>
      </c>
      <c r="AU658" s="52">
        <f t="shared" ref="AU658:AU721" si="193">AY658+BB658+BE658</f>
        <v>810.95406973699824</v>
      </c>
      <c r="AV658" s="20"/>
      <c r="AW658" s="20"/>
      <c r="AX658" s="20">
        <f t="shared" si="179"/>
        <v>97.657364102860171</v>
      </c>
      <c r="AY658" s="20">
        <f t="shared" si="180"/>
        <v>117.71767660502448</v>
      </c>
      <c r="AZ658" s="20"/>
      <c r="BA658" s="20">
        <f t="shared" si="181"/>
        <v>-5.9472646671751956</v>
      </c>
      <c r="BB658" s="20">
        <f t="shared" si="182"/>
        <v>79.576541899729548</v>
      </c>
      <c r="BC658" s="20"/>
      <c r="BD658" s="20">
        <f t="shared" si="183"/>
        <v>328.50403080312111</v>
      </c>
      <c r="BE658" s="20">
        <f t="shared" si="184"/>
        <v>613.65985123224414</v>
      </c>
      <c r="BF658" s="20"/>
      <c r="BG658" s="54">
        <f t="shared" si="185"/>
        <v>57202.629015800434</v>
      </c>
      <c r="BH658" s="54">
        <f t="shared" si="186"/>
        <v>46654.979978343537</v>
      </c>
      <c r="BI658" s="54">
        <f t="shared" si="187"/>
        <v>24415.404292101764</v>
      </c>
      <c r="BJ658" s="20"/>
    </row>
    <row r="659" spans="37:62" x14ac:dyDescent="0.3">
      <c r="AK659">
        <v>655</v>
      </c>
      <c r="AL659">
        <v>327.5</v>
      </c>
      <c r="AN659" s="48">
        <f t="shared" si="188"/>
        <v>-16527.664660970877</v>
      </c>
      <c r="AO659" s="48">
        <f t="shared" si="189"/>
        <v>-40335.943664344442</v>
      </c>
      <c r="AP659" s="20"/>
      <c r="AQ659" s="50">
        <f t="shared" si="190"/>
        <v>95.467809135949608</v>
      </c>
      <c r="AR659" s="50">
        <f t="shared" si="191"/>
        <v>-7418.6950508296313</v>
      </c>
      <c r="AS659" s="20"/>
      <c r="AT659" s="52">
        <f t="shared" si="192"/>
        <v>312.77198564097085</v>
      </c>
      <c r="AU659" s="52">
        <f t="shared" si="193"/>
        <v>691.38733564097311</v>
      </c>
      <c r="AV659" s="20"/>
      <c r="AW659" s="20"/>
      <c r="AX659" s="20">
        <f t="shared" si="179"/>
        <v>84.209309504835119</v>
      </c>
      <c r="AY659" s="20">
        <f t="shared" si="180"/>
        <v>110.27893030869636</v>
      </c>
      <c r="AZ659" s="20"/>
      <c r="BA659" s="20">
        <f t="shared" si="181"/>
        <v>-4.7181041356526094</v>
      </c>
      <c r="BB659" s="20">
        <f t="shared" si="182"/>
        <v>68.394956358426867</v>
      </c>
      <c r="BC659" s="20"/>
      <c r="BD659" s="20">
        <f t="shared" si="183"/>
        <v>233.28078027178833</v>
      </c>
      <c r="BE659" s="20">
        <f t="shared" si="184"/>
        <v>512.71344897384984</v>
      </c>
      <c r="BF659" s="20"/>
      <c r="BG659" s="54">
        <f t="shared" si="185"/>
        <v>60187.604968487285</v>
      </c>
      <c r="BH659" s="54">
        <f t="shared" si="186"/>
        <v>50455.567951284902</v>
      </c>
      <c r="BI659" s="54">
        <f t="shared" si="187"/>
        <v>27835.17727442439</v>
      </c>
      <c r="BJ659" s="20"/>
    </row>
    <row r="660" spans="37:62" x14ac:dyDescent="0.3">
      <c r="AK660">
        <v>656</v>
      </c>
      <c r="AL660">
        <v>328</v>
      </c>
      <c r="AN660" s="48">
        <f t="shared" si="188"/>
        <v>-16440.834258197778</v>
      </c>
      <c r="AO660" s="48">
        <f t="shared" si="189"/>
        <v>-43958.867772804137</v>
      </c>
      <c r="AP660" s="20"/>
      <c r="AQ660" s="50">
        <f t="shared" si="190"/>
        <v>251.85380195643503</v>
      </c>
      <c r="AR660" s="50">
        <f t="shared" si="191"/>
        <v>-7073.0013830091448</v>
      </c>
      <c r="AS660" s="20"/>
      <c r="AT660" s="52">
        <f t="shared" si="192"/>
        <v>240.65026791628776</v>
      </c>
      <c r="AU660" s="52">
        <f t="shared" si="193"/>
        <v>596.83052671079929</v>
      </c>
      <c r="AV660" s="20"/>
      <c r="AW660" s="20"/>
      <c r="AX660" s="20">
        <f t="shared" si="179"/>
        <v>73.323594261799528</v>
      </c>
      <c r="AY660" s="20">
        <f t="shared" si="180"/>
        <v>103.54178817670369</v>
      </c>
      <c r="AZ660" s="20"/>
      <c r="BA660" s="20">
        <f t="shared" si="181"/>
        <v>-3.9427463384414572</v>
      </c>
      <c r="BB660" s="20">
        <f t="shared" si="182"/>
        <v>59.774156016107284</v>
      </c>
      <c r="BC660" s="20"/>
      <c r="BD660" s="20">
        <f t="shared" si="183"/>
        <v>171.2694199929297</v>
      </c>
      <c r="BE660" s="20">
        <f t="shared" si="184"/>
        <v>433.51458251798829</v>
      </c>
      <c r="BF660" s="20"/>
      <c r="BG660" s="54">
        <f t="shared" si="185"/>
        <v>63055.130432760037</v>
      </c>
      <c r="BH660" s="54">
        <f t="shared" si="186"/>
        <v>54076.122938877372</v>
      </c>
      <c r="BI660" s="54">
        <f t="shared" si="187"/>
        <v>31136.934839613001</v>
      </c>
      <c r="BJ660" s="20"/>
    </row>
    <row r="661" spans="37:62" x14ac:dyDescent="0.3">
      <c r="AK661">
        <v>657</v>
      </c>
      <c r="AL661">
        <v>328.5</v>
      </c>
      <c r="AN661" s="48">
        <f t="shared" si="188"/>
        <v>-16284.826073730022</v>
      </c>
      <c r="AO661" s="48">
        <f t="shared" si="189"/>
        <v>-47420.764648469863</v>
      </c>
      <c r="AP661" s="20"/>
      <c r="AQ661" s="50">
        <f t="shared" si="190"/>
        <v>372.17893591457891</v>
      </c>
      <c r="AR661" s="50">
        <f t="shared" si="191"/>
        <v>-6774.5861196537453</v>
      </c>
      <c r="AS661" s="20"/>
      <c r="AT661" s="52">
        <f t="shared" si="192"/>
        <v>190.20640193325846</v>
      </c>
      <c r="AU661" s="52">
        <f t="shared" si="193"/>
        <v>521.74226150049674</v>
      </c>
      <c r="AV661" s="20"/>
      <c r="AW661" s="20"/>
      <c r="AX661" s="20">
        <f t="shared" si="179"/>
        <v>64.37168147683704</v>
      </c>
      <c r="AY661" s="20">
        <f t="shared" si="180"/>
        <v>97.433069163178345</v>
      </c>
      <c r="AZ661" s="20"/>
      <c r="BA661" s="20">
        <f t="shared" si="181"/>
        <v>-3.4258891336645685</v>
      </c>
      <c r="BB661" s="20">
        <f t="shared" si="182"/>
        <v>52.949653921965073</v>
      </c>
      <c r="BC661" s="20"/>
      <c r="BD661" s="20">
        <f t="shared" si="183"/>
        <v>129.26060959008601</v>
      </c>
      <c r="BE661" s="20">
        <f t="shared" si="184"/>
        <v>371.35953841535331</v>
      </c>
      <c r="BF661" s="20"/>
      <c r="BG661" s="54">
        <f t="shared" si="185"/>
        <v>65824.607805694177</v>
      </c>
      <c r="BH661" s="54">
        <f t="shared" si="186"/>
        <v>57540.826637418082</v>
      </c>
      <c r="BI661" s="54">
        <f t="shared" si="187"/>
        <v>34328.607310897569</v>
      </c>
      <c r="BJ661" s="20"/>
    </row>
    <row r="662" spans="37:62" x14ac:dyDescent="0.3">
      <c r="AK662">
        <v>658</v>
      </c>
      <c r="AL662">
        <v>329</v>
      </c>
      <c r="AN662" s="48">
        <f t="shared" si="188"/>
        <v>-16074.960805531075</v>
      </c>
      <c r="AO662" s="48">
        <f t="shared" si="189"/>
        <v>-50742.839925609172</v>
      </c>
      <c r="AP662" s="20"/>
      <c r="AQ662" s="50">
        <f t="shared" si="190"/>
        <v>467.28213688120815</v>
      </c>
      <c r="AR662" s="50">
        <f t="shared" si="191"/>
        <v>-6513.7149889034972</v>
      </c>
      <c r="AS662" s="20"/>
      <c r="AT662" s="52">
        <f t="shared" si="192"/>
        <v>153.64422669527949</v>
      </c>
      <c r="AU662" s="52">
        <f t="shared" si="193"/>
        <v>461.39072696438473</v>
      </c>
      <c r="AV662" s="20"/>
      <c r="AW662" s="20"/>
      <c r="AX662" s="20">
        <f t="shared" si="179"/>
        <v>56.912486818487984</v>
      </c>
      <c r="AY662" s="20">
        <f t="shared" si="180"/>
        <v>91.8849192215703</v>
      </c>
      <c r="AZ662" s="20"/>
      <c r="BA662" s="20">
        <f t="shared" si="181"/>
        <v>-3.0646313432808396</v>
      </c>
      <c r="BB662" s="20">
        <f t="shared" si="182"/>
        <v>47.427401840531211</v>
      </c>
      <c r="BC662" s="20"/>
      <c r="BD662" s="20">
        <f t="shared" si="183"/>
        <v>99.796371220072331</v>
      </c>
      <c r="BE662" s="20">
        <f t="shared" si="184"/>
        <v>322.07840590228324</v>
      </c>
      <c r="BF662" s="20"/>
      <c r="BG662" s="54">
        <f t="shared" si="185"/>
        <v>68510.081007985515</v>
      </c>
      <c r="BH662" s="54">
        <f t="shared" si="186"/>
        <v>60869.520573981004</v>
      </c>
      <c r="BI662" s="54">
        <f t="shared" si="187"/>
        <v>37419.318042847473</v>
      </c>
      <c r="BJ662" s="20"/>
    </row>
    <row r="663" spans="37:62" x14ac:dyDescent="0.3">
      <c r="AK663">
        <v>659</v>
      </c>
      <c r="AL663">
        <v>329.5</v>
      </c>
      <c r="AN663" s="48">
        <f t="shared" si="188"/>
        <v>-15822.114208753561</v>
      </c>
      <c r="AO663" s="48">
        <f t="shared" si="189"/>
        <v>-53942.023579190369</v>
      </c>
      <c r="AP663" s="20"/>
      <c r="AQ663" s="50">
        <f t="shared" si="190"/>
        <v>544.10425022884783</v>
      </c>
      <c r="AR663" s="50">
        <f t="shared" si="191"/>
        <v>-6283.0196254213051</v>
      </c>
      <c r="AS663" s="20"/>
      <c r="AT663" s="52">
        <f t="shared" si="192"/>
        <v>126.32899662144726</v>
      </c>
      <c r="AU663" s="52">
        <f t="shared" si="193"/>
        <v>412.19608272940286</v>
      </c>
      <c r="AV663" s="20"/>
      <c r="AW663" s="20"/>
      <c r="AX663" s="20">
        <f t="shared" si="179"/>
        <v>50.62722417288186</v>
      </c>
      <c r="AY663" s="20">
        <f t="shared" si="180"/>
        <v>86.835720618048896</v>
      </c>
      <c r="AZ663" s="20"/>
      <c r="BA663" s="20">
        <f t="shared" si="181"/>
        <v>-2.8014762548744603</v>
      </c>
      <c r="BB663" s="20">
        <f t="shared" si="182"/>
        <v>42.876246430920752</v>
      </c>
      <c r="BC663" s="20"/>
      <c r="BD663" s="20">
        <f t="shared" si="183"/>
        <v>78.503248703439851</v>
      </c>
      <c r="BE663" s="20">
        <f t="shared" si="184"/>
        <v>282.48411568043321</v>
      </c>
      <c r="BF663" s="20"/>
      <c r="BG663" s="54">
        <f t="shared" si="185"/>
        <v>71122.050925790725</v>
      </c>
      <c r="BH663" s="54">
        <f t="shared" si="186"/>
        <v>64078.366935233578</v>
      </c>
      <c r="BI663" s="54">
        <f t="shared" si="187"/>
        <v>40417.809891055753</v>
      </c>
      <c r="BJ663" s="20"/>
    </row>
    <row r="664" spans="37:62" x14ac:dyDescent="0.3">
      <c r="AK664">
        <v>660</v>
      </c>
      <c r="AL664">
        <v>330</v>
      </c>
      <c r="AN664" s="48">
        <f t="shared" si="188"/>
        <v>-15534.270959061456</v>
      </c>
      <c r="AO664" s="48">
        <f t="shared" si="189"/>
        <v>-57032.00888155985</v>
      </c>
      <c r="AP664" s="20"/>
      <c r="AQ664" s="50">
        <f t="shared" si="190"/>
        <v>607.26874853957145</v>
      </c>
      <c r="AR664" s="50">
        <f t="shared" si="191"/>
        <v>-6076.9215840566039</v>
      </c>
      <c r="AS664" s="20"/>
      <c r="AT664" s="52">
        <f t="shared" si="192"/>
        <v>105.39268373797982</v>
      </c>
      <c r="AU664" s="52">
        <f t="shared" si="193"/>
        <v>371.53397346726956</v>
      </c>
      <c r="AV664" s="20"/>
      <c r="AW664" s="20"/>
      <c r="AX664" s="20">
        <f t="shared" si="179"/>
        <v>45.279771133047191</v>
      </c>
      <c r="AY664" s="20">
        <f t="shared" si="180"/>
        <v>82.23032340467006</v>
      </c>
      <c r="AZ664" s="20"/>
      <c r="BA664" s="20">
        <f t="shared" si="181"/>
        <v>-2.6026689184435532</v>
      </c>
      <c r="BB664" s="20">
        <f t="shared" si="182"/>
        <v>39.066885710603266</v>
      </c>
      <c r="BC664" s="20"/>
      <c r="BD664" s="20">
        <f t="shared" si="183"/>
        <v>62.715581523376187</v>
      </c>
      <c r="BE664" s="20">
        <f t="shared" si="184"/>
        <v>250.23676435199624</v>
      </c>
      <c r="BF664" s="20"/>
      <c r="BG664" s="54">
        <f t="shared" si="185"/>
        <v>73668.613281924336</v>
      </c>
      <c r="BH664" s="54">
        <f t="shared" si="186"/>
        <v>67180.599510309534</v>
      </c>
      <c r="BI664" s="54">
        <f t="shared" si="187"/>
        <v>43331.981667798806</v>
      </c>
      <c r="BJ664" s="20"/>
    </row>
    <row r="665" spans="37:62" x14ac:dyDescent="0.3">
      <c r="AK665">
        <v>661</v>
      </c>
      <c r="AL665">
        <v>330.5</v>
      </c>
      <c r="AN665" s="48">
        <f t="shared" si="188"/>
        <v>-15217.462499324422</v>
      </c>
      <c r="AO665" s="48">
        <f t="shared" si="189"/>
        <v>-60024.027926904746</v>
      </c>
      <c r="AP665" s="20"/>
      <c r="AQ665" s="50">
        <f t="shared" si="190"/>
        <v>659.96509040856131</v>
      </c>
      <c r="AR665" s="50">
        <f t="shared" si="191"/>
        <v>-5891.1545973229695</v>
      </c>
      <c r="AS665" s="20"/>
      <c r="AT665" s="52">
        <f t="shared" si="192"/>
        <v>88.993220619332959</v>
      </c>
      <c r="AU665" s="52">
        <f t="shared" si="193"/>
        <v>337.48588132117897</v>
      </c>
      <c r="AV665" s="20"/>
      <c r="AW665" s="20"/>
      <c r="AX665" s="20">
        <f t="shared" si="179"/>
        <v>40.69159585682597</v>
      </c>
      <c r="AY665" s="20">
        <f t="shared" si="180"/>
        <v>78.019830505373477</v>
      </c>
      <c r="AZ665" s="20"/>
      <c r="BA665" s="20">
        <f t="shared" si="181"/>
        <v>-2.4475436516997662</v>
      </c>
      <c r="BB665" s="20">
        <f t="shared" si="182"/>
        <v>35.835968875253528</v>
      </c>
      <c r="BC665" s="20"/>
      <c r="BD665" s="20">
        <f t="shared" si="183"/>
        <v>50.749168414206757</v>
      </c>
      <c r="BE665" s="20">
        <f t="shared" si="184"/>
        <v>223.63008194055197</v>
      </c>
      <c r="BF665" s="20"/>
      <c r="BG665" s="54">
        <f t="shared" si="185"/>
        <v>76156.18170814983</v>
      </c>
      <c r="BH665" s="54">
        <f t="shared" si="186"/>
        <v>70187.15802804174</v>
      </c>
      <c r="BI665" s="54">
        <f t="shared" si="187"/>
        <v>46168.816648120832</v>
      </c>
      <c r="BJ665" s="20"/>
    </row>
    <row r="666" spans="37:62" x14ac:dyDescent="0.3">
      <c r="AK666">
        <v>662</v>
      </c>
      <c r="AL666">
        <v>331</v>
      </c>
      <c r="AN666" s="48">
        <f t="shared" si="188"/>
        <v>-14876.355801542724</v>
      </c>
      <c r="AO666" s="48">
        <f t="shared" si="189"/>
        <v>-62927.41949040108</v>
      </c>
      <c r="AP666" s="20"/>
      <c r="AQ666" s="50">
        <f t="shared" si="190"/>
        <v>704.4617007182278</v>
      </c>
      <c r="AR666" s="50">
        <f t="shared" si="191"/>
        <v>-5722.4116566623798</v>
      </c>
      <c r="AS666" s="20"/>
      <c r="AT666" s="52">
        <f t="shared" si="192"/>
        <v>75.907230250610013</v>
      </c>
      <c r="AU666" s="52">
        <f t="shared" si="193"/>
        <v>308.63790333122415</v>
      </c>
      <c r="AV666" s="20"/>
      <c r="AW666" s="20"/>
      <c r="AX666" s="20">
        <f t="shared" si="179"/>
        <v>36.725330267152067</v>
      </c>
      <c r="AY666" s="20">
        <f t="shared" si="180"/>
        <v>74.161138146601672</v>
      </c>
      <c r="AZ666" s="20"/>
      <c r="BA666" s="20">
        <f t="shared" si="181"/>
        <v>-2.3229845790560644</v>
      </c>
      <c r="BB666" s="20">
        <f t="shared" si="182"/>
        <v>33.064214513092722</v>
      </c>
      <c r="BC666" s="20"/>
      <c r="BD666" s="20">
        <f t="shared" si="183"/>
        <v>41.504884562514015</v>
      </c>
      <c r="BE666" s="20">
        <f t="shared" si="184"/>
        <v>201.41255067152974</v>
      </c>
      <c r="BF666" s="20"/>
      <c r="BG666" s="54">
        <f t="shared" si="185"/>
        <v>78589.958710211373</v>
      </c>
      <c r="BH666" s="54">
        <f t="shared" si="186"/>
        <v>73107.183254460819</v>
      </c>
      <c r="BI666" s="54">
        <f t="shared" si="187"/>
        <v>48934.44536241873</v>
      </c>
      <c r="BJ666" s="20"/>
    </row>
    <row r="667" spans="37:62" x14ac:dyDescent="0.3">
      <c r="AK667">
        <v>663</v>
      </c>
      <c r="AL667">
        <v>331.5</v>
      </c>
      <c r="AN667" s="48">
        <f t="shared" si="188"/>
        <v>-14514.636547402284</v>
      </c>
      <c r="AO667" s="48">
        <f t="shared" si="189"/>
        <v>-65750.045580815873</v>
      </c>
      <c r="AP667" s="20"/>
      <c r="AQ667" s="50">
        <f t="shared" si="190"/>
        <v>742.41531584353277</v>
      </c>
      <c r="AR667" s="50">
        <f t="shared" si="191"/>
        <v>-5568.0927049967677</v>
      </c>
      <c r="AS667" s="20"/>
      <c r="AT667" s="52">
        <f t="shared" si="192"/>
        <v>65.297715269555724</v>
      </c>
      <c r="AU667" s="52">
        <f t="shared" si="193"/>
        <v>283.93514979375709</v>
      </c>
      <c r="AV667" s="20"/>
      <c r="AW667" s="20"/>
      <c r="AX667" s="20">
        <f t="shared" si="179"/>
        <v>33.273676860116971</v>
      </c>
      <c r="AY667" s="20">
        <f t="shared" si="180"/>
        <v>70.616370052094538</v>
      </c>
      <c r="AZ667" s="20"/>
      <c r="BA667" s="20">
        <f t="shared" si="181"/>
        <v>-2.2204029314451543</v>
      </c>
      <c r="BB667" s="20">
        <f t="shared" si="182"/>
        <v>30.662621486839647</v>
      </c>
      <c r="BC667" s="20"/>
      <c r="BD667" s="20">
        <f t="shared" si="183"/>
        <v>34.244441340883903</v>
      </c>
      <c r="BE667" s="20">
        <f t="shared" si="184"/>
        <v>182.65615825482294</v>
      </c>
      <c r="BF667" s="20"/>
      <c r="BG667" s="54">
        <f t="shared" si="185"/>
        <v>80974.250929483009</v>
      </c>
      <c r="BH667" s="54">
        <f t="shared" si="186"/>
        <v>75948.394437952258</v>
      </c>
      <c r="BI667" s="54">
        <f t="shared" si="187"/>
        <v>51634.246727187296</v>
      </c>
      <c r="BJ667" s="20"/>
    </row>
    <row r="668" spans="37:62" x14ac:dyDescent="0.3">
      <c r="AK668">
        <v>664</v>
      </c>
      <c r="AL668">
        <v>332</v>
      </c>
      <c r="AN668" s="48">
        <f t="shared" si="188"/>
        <v>-14135.266675071824</v>
      </c>
      <c r="AO668" s="48">
        <f t="shared" si="189"/>
        <v>-68498.600039590034</v>
      </c>
      <c r="AP668" s="20"/>
      <c r="AQ668" s="50">
        <f t="shared" si="190"/>
        <v>775.06417347831064</v>
      </c>
      <c r="AR668" s="50">
        <f t="shared" si="191"/>
        <v>-5426.1251300998892</v>
      </c>
      <c r="AS668" s="20"/>
      <c r="AT668" s="52">
        <f t="shared" si="192"/>
        <v>56.576761829011247</v>
      </c>
      <c r="AU668" s="52">
        <f t="shared" si="193"/>
        <v>262.5797763404957</v>
      </c>
      <c r="AV668" s="20"/>
      <c r="AW668" s="20"/>
      <c r="AX668" s="20">
        <f t="shared" si="179"/>
        <v>30.251719800686601</v>
      </c>
      <c r="AY668" s="20">
        <f t="shared" si="180"/>
        <v>67.352289218267558</v>
      </c>
      <c r="AZ668" s="20"/>
      <c r="BA668" s="20">
        <f t="shared" si="181"/>
        <v>-2.1340175346068864</v>
      </c>
      <c r="BB668" s="20">
        <f t="shared" si="182"/>
        <v>28.563513402142544</v>
      </c>
      <c r="BC668" s="20"/>
      <c r="BD668" s="20">
        <f t="shared" si="183"/>
        <v>28.459059562931536</v>
      </c>
      <c r="BE668" s="20">
        <f t="shared" si="184"/>
        <v>166.66397372008561</v>
      </c>
      <c r="BF668" s="20"/>
      <c r="BG668" s="54">
        <f t="shared" si="185"/>
        <v>83312.685942513242</v>
      </c>
      <c r="BH668" s="54">
        <f t="shared" si="186"/>
        <v>78717.37613226223</v>
      </c>
      <c r="BI668" s="54">
        <f t="shared" si="187"/>
        <v>54272.951858367727</v>
      </c>
      <c r="BJ668" s="20"/>
    </row>
    <row r="669" spans="37:62" x14ac:dyDescent="0.3">
      <c r="AK669">
        <v>665</v>
      </c>
      <c r="AL669">
        <v>332.5</v>
      </c>
      <c r="AN669" s="48">
        <f t="shared" si="188"/>
        <v>-13740.662493104042</v>
      </c>
      <c r="AO669" s="48">
        <f t="shared" si="189"/>
        <v>-71178.840132597412</v>
      </c>
      <c r="AP669" s="20"/>
      <c r="AQ669" s="50">
        <f t="shared" si="190"/>
        <v>803.35255439281627</v>
      </c>
      <c r="AR669" s="50">
        <f t="shared" si="191"/>
        <v>-5294.8352419296416</v>
      </c>
      <c r="AS669" s="20"/>
      <c r="AT669" s="52">
        <f t="shared" si="192"/>
        <v>49.321681682836299</v>
      </c>
      <c r="AU669" s="52">
        <f t="shared" si="193"/>
        <v>243.96001437882742</v>
      </c>
      <c r="AV669" s="20"/>
      <c r="AW669" s="20"/>
      <c r="AX669" s="20">
        <f t="shared" si="179"/>
        <v>27.591474713341103</v>
      </c>
      <c r="AY669" s="20">
        <f t="shared" si="180"/>
        <v>64.339733353998398</v>
      </c>
      <c r="AZ669" s="20"/>
      <c r="BA669" s="20">
        <f t="shared" si="181"/>
        <v>-2.0598405347874555</v>
      </c>
      <c r="BB669" s="20">
        <f t="shared" si="182"/>
        <v>26.714562889112834</v>
      </c>
      <c r="BC669" s="20"/>
      <c r="BD669" s="20">
        <f t="shared" si="183"/>
        <v>23.790047504282654</v>
      </c>
      <c r="BE669" s="20">
        <f t="shared" si="184"/>
        <v>152.9057181357162</v>
      </c>
      <c r="BF669" s="20"/>
      <c r="BG669" s="54">
        <f t="shared" si="185"/>
        <v>85608.36518754682</v>
      </c>
      <c r="BH669" s="54">
        <f t="shared" si="186"/>
        <v>81419.797293404277</v>
      </c>
      <c r="BI669" s="54">
        <f t="shared" si="187"/>
        <v>56854.738232290656</v>
      </c>
      <c r="BJ669" s="20"/>
    </row>
    <row r="670" spans="37:62" x14ac:dyDescent="0.3">
      <c r="AK670">
        <v>666</v>
      </c>
      <c r="AL670">
        <v>333</v>
      </c>
      <c r="AN670" s="48">
        <f t="shared" si="188"/>
        <v>-13332.82100569728</v>
      </c>
      <c r="AO670" s="48">
        <f t="shared" si="189"/>
        <v>-73795.762751764865</v>
      </c>
      <c r="AP670" s="20"/>
      <c r="AQ670" s="50">
        <f t="shared" si="190"/>
        <v>828.01339523423439</v>
      </c>
      <c r="AR670" s="50">
        <f t="shared" si="191"/>
        <v>-5172.8552347402283</v>
      </c>
      <c r="AS670" s="20"/>
      <c r="AT670" s="52">
        <f t="shared" si="192"/>
        <v>43.222229535435531</v>
      </c>
      <c r="AU670" s="52">
        <f t="shared" si="193"/>
        <v>227.60053361309775</v>
      </c>
      <c r="AV670" s="20"/>
      <c r="AW670" s="20"/>
      <c r="AX670" s="20">
        <f t="shared" si="179"/>
        <v>25.237949405908619</v>
      </c>
      <c r="AY670" s="20">
        <f t="shared" si="180"/>
        <v>61.553096477886072</v>
      </c>
      <c r="AZ670" s="20"/>
      <c r="BA670" s="20">
        <f t="shared" si="181"/>
        <v>-1.9950597946209281</v>
      </c>
      <c r="BB670" s="20">
        <f t="shared" si="182"/>
        <v>25.074706614071356</v>
      </c>
      <c r="BC670" s="20"/>
      <c r="BD670" s="20">
        <f t="shared" si="183"/>
        <v>19.979339924147837</v>
      </c>
      <c r="BE670" s="20">
        <f t="shared" si="184"/>
        <v>140.97273052114031</v>
      </c>
      <c r="BF670" s="20"/>
      <c r="BG670" s="54">
        <f t="shared" si="185"/>
        <v>87863.974401281754</v>
      </c>
      <c r="BH670" s="54">
        <f t="shared" si="186"/>
        <v>84060.580124646629</v>
      </c>
      <c r="BI670" s="54">
        <f t="shared" si="187"/>
        <v>59383.310984440825</v>
      </c>
      <c r="BJ670" s="20"/>
    </row>
    <row r="671" spans="37:62" x14ac:dyDescent="0.3">
      <c r="AK671">
        <v>667</v>
      </c>
      <c r="AL671">
        <v>333.5</v>
      </c>
      <c r="AN671" s="48">
        <f t="shared" si="188"/>
        <v>-12913.411529388235</v>
      </c>
      <c r="AO671" s="48">
        <f t="shared" si="189"/>
        <v>-76353.740302433333</v>
      </c>
      <c r="AP671" s="20"/>
      <c r="AQ671" s="50">
        <f t="shared" si="190"/>
        <v>849.6245100019521</v>
      </c>
      <c r="AR671" s="50">
        <f t="shared" si="191"/>
        <v>-5059.0549679336791</v>
      </c>
      <c r="AS671" s="20"/>
      <c r="AT671" s="52">
        <f t="shared" si="192"/>
        <v>38.046460672133392</v>
      </c>
      <c r="AU671" s="52">
        <f t="shared" si="193"/>
        <v>213.12738183061904</v>
      </c>
      <c r="AV671" s="20"/>
      <c r="AW671" s="20"/>
      <c r="AX671" s="20">
        <f t="shared" si="179"/>
        <v>23.146247714533441</v>
      </c>
      <c r="AY671" s="20">
        <f t="shared" si="180"/>
        <v>58.969865311508585</v>
      </c>
      <c r="AZ671" s="20"/>
      <c r="BA671" s="20">
        <f t="shared" si="181"/>
        <v>-1.9376521130512194</v>
      </c>
      <c r="BB671" s="20">
        <f t="shared" si="182"/>
        <v>23.611291675928463</v>
      </c>
      <c r="BC671" s="20"/>
      <c r="BD671" s="20">
        <f t="shared" si="183"/>
        <v>16.837865070651173</v>
      </c>
      <c r="BE671" s="20">
        <f t="shared" si="184"/>
        <v>130.54622484318199</v>
      </c>
      <c r="BF671" s="20"/>
      <c r="BG671" s="54">
        <f t="shared" si="185"/>
        <v>90081.865107305581</v>
      </c>
      <c r="BH671" s="54">
        <f t="shared" si="186"/>
        <v>86644.031533464018</v>
      </c>
      <c r="BI671" s="54">
        <f t="shared" si="187"/>
        <v>61861.971607215091</v>
      </c>
      <c r="BJ671" s="20"/>
    </row>
    <row r="672" spans="37:62" x14ac:dyDescent="0.3">
      <c r="AK672">
        <v>668</v>
      </c>
      <c r="AL672">
        <v>334</v>
      </c>
      <c r="AN672" s="48">
        <f t="shared" si="188"/>
        <v>-12483.843466803242</v>
      </c>
      <c r="AO672" s="48">
        <f t="shared" si="189"/>
        <v>-78856.62686367135</v>
      </c>
      <c r="AP672" s="20"/>
      <c r="AQ672" s="50">
        <f t="shared" si="190"/>
        <v>868.64774033801882</v>
      </c>
      <c r="AR672" s="50">
        <f t="shared" si="191"/>
        <v>-4952.4912770183691</v>
      </c>
      <c r="AS672" s="20"/>
      <c r="AT672" s="52">
        <f t="shared" si="192"/>
        <v>33.618093115615913</v>
      </c>
      <c r="AU672" s="52">
        <f t="shared" si="193"/>
        <v>200.24292365688854</v>
      </c>
      <c r="AV672" s="20"/>
      <c r="AW672" s="20"/>
      <c r="AX672" s="20">
        <f t="shared" si="179"/>
        <v>21.27940795175601</v>
      </c>
      <c r="AY672" s="20">
        <f t="shared" si="180"/>
        <v>56.57021141133076</v>
      </c>
      <c r="AZ672" s="20"/>
      <c r="BA672" s="20">
        <f t="shared" si="181"/>
        <v>-1.8861348672486662</v>
      </c>
      <c r="BB672" s="20">
        <f t="shared" si="182"/>
        <v>22.298043072074446</v>
      </c>
      <c r="BC672" s="20"/>
      <c r="BD672" s="20">
        <f t="shared" si="183"/>
        <v>14.224820031108573</v>
      </c>
      <c r="BE672" s="20">
        <f t="shared" si="184"/>
        <v>121.37466917348333</v>
      </c>
      <c r="BF672" s="20"/>
      <c r="BG672" s="54">
        <f t="shared" si="185"/>
        <v>92264.11593705941</v>
      </c>
      <c r="BH672" s="54">
        <f t="shared" si="186"/>
        <v>89173.946568609579</v>
      </c>
      <c r="BI672" s="54">
        <f t="shared" si="187"/>
        <v>64293.675485554311</v>
      </c>
      <c r="BJ672" s="20"/>
    </row>
    <row r="673" spans="37:62" x14ac:dyDescent="0.3">
      <c r="AK673">
        <v>669</v>
      </c>
      <c r="AL673">
        <v>334.5</v>
      </c>
      <c r="AN673" s="48">
        <f t="shared" si="188"/>
        <v>-12045.317334994781</v>
      </c>
      <c r="AO673" s="48">
        <f t="shared" si="189"/>
        <v>-81307.842136723411</v>
      </c>
      <c r="AP673" s="20"/>
      <c r="AQ673" s="50">
        <f t="shared" si="190"/>
        <v>885.45678689582678</v>
      </c>
      <c r="AR673" s="50">
        <f t="shared" si="191"/>
        <v>-4852.3698151899252</v>
      </c>
      <c r="AS673" s="20"/>
      <c r="AT673" s="52">
        <f t="shared" si="192"/>
        <v>29.801157681821408</v>
      </c>
      <c r="AU673" s="52">
        <f t="shared" si="193"/>
        <v>188.70769837932221</v>
      </c>
      <c r="AV673" s="20"/>
      <c r="AW673" s="20"/>
      <c r="AX673" s="20">
        <f t="shared" si="179"/>
        <v>19.606767844594831</v>
      </c>
      <c r="AY673" s="20">
        <f t="shared" si="180"/>
        <v>54.336636000563615</v>
      </c>
      <c r="AZ673" s="20"/>
      <c r="BA673" s="20">
        <f t="shared" si="181"/>
        <v>-1.8394029219774484</v>
      </c>
      <c r="BB673" s="20">
        <f t="shared" si="182"/>
        <v>21.1135904094088</v>
      </c>
      <c r="BC673" s="20"/>
      <c r="BD673" s="20">
        <f t="shared" si="183"/>
        <v>12.033792759204024</v>
      </c>
      <c r="BE673" s="20">
        <f t="shared" si="184"/>
        <v>113.25747196934979</v>
      </c>
      <c r="BF673" s="20"/>
      <c r="BG673" s="54">
        <f t="shared" si="185"/>
        <v>94412.57960717789</v>
      </c>
      <c r="BH673" s="54">
        <f t="shared" si="186"/>
        <v>91653.690662000838</v>
      </c>
      <c r="BI673" s="54">
        <f t="shared" si="187"/>
        <v>66681.079964105331</v>
      </c>
      <c r="BJ673" s="20"/>
    </row>
    <row r="674" spans="37:62" x14ac:dyDescent="0.3">
      <c r="AK674">
        <v>670</v>
      </c>
      <c r="AL674">
        <v>335</v>
      </c>
      <c r="AN674" s="48">
        <f t="shared" si="188"/>
        <v>-11598.86379683664</v>
      </c>
      <c r="AO674" s="48">
        <f t="shared" si="189"/>
        <v>-83710.438582020957</v>
      </c>
      <c r="AP674" s="20"/>
      <c r="AQ674" s="50">
        <f t="shared" si="190"/>
        <v>900.35736573673751</v>
      </c>
      <c r="AR674" s="50">
        <f t="shared" si="191"/>
        <v>-4758.0159660002646</v>
      </c>
      <c r="AS674" s="20"/>
      <c r="AT674" s="52">
        <f t="shared" si="192"/>
        <v>26.489375935782093</v>
      </c>
      <c r="AU674" s="52">
        <f t="shared" si="193"/>
        <v>178.32711896862017</v>
      </c>
      <c r="AV674" s="20"/>
      <c r="AW674" s="20"/>
      <c r="AX674" s="20">
        <f t="shared" si="179"/>
        <v>18.102712742690091</v>
      </c>
      <c r="AY674" s="20">
        <f t="shared" si="180"/>
        <v>52.253662644363814</v>
      </c>
      <c r="AZ674" s="20"/>
      <c r="BA674" s="20">
        <f t="shared" si="181"/>
        <v>-1.7966193429897204</v>
      </c>
      <c r="BB674" s="20">
        <f t="shared" si="182"/>
        <v>20.040382934526654</v>
      </c>
      <c r="BC674" s="20"/>
      <c r="BD674" s="20">
        <f t="shared" si="183"/>
        <v>10.183282536081723</v>
      </c>
      <c r="BE674" s="20">
        <f t="shared" si="184"/>
        <v>106.03307338972971</v>
      </c>
      <c r="BF674" s="20"/>
      <c r="BG674" s="54">
        <f t="shared" si="185"/>
        <v>96528.91949864378</v>
      </c>
      <c r="BH674" s="54">
        <f t="shared" si="186"/>
        <v>94086.265675383387</v>
      </c>
      <c r="BI674" s="54">
        <f t="shared" si="187"/>
        <v>69026.584542065204</v>
      </c>
      <c r="BJ674" s="20"/>
    </row>
    <row r="675" spans="37:62" x14ac:dyDescent="0.3">
      <c r="AK675">
        <v>671</v>
      </c>
      <c r="AL675">
        <v>335.5</v>
      </c>
      <c r="AN675" s="48">
        <f t="shared" si="188"/>
        <v>-11145.373941976299</v>
      </c>
      <c r="AO675" s="48">
        <f t="shared" si="189"/>
        <v>-86067.155675150017</v>
      </c>
      <c r="AP675" s="20"/>
      <c r="AQ675" s="50">
        <f t="shared" si="190"/>
        <v>913.60205370462859</v>
      </c>
      <c r="AR675" s="50">
        <f t="shared" si="191"/>
        <v>-4668.8524065159545</v>
      </c>
      <c r="AS675" s="20"/>
      <c r="AT675" s="52">
        <f t="shared" si="192"/>
        <v>23.598672662691225</v>
      </c>
      <c r="AU675" s="52">
        <f t="shared" si="193"/>
        <v>168.94159936838537</v>
      </c>
      <c r="AV675" s="20"/>
      <c r="AW675" s="20"/>
      <c r="AX675" s="20">
        <f t="shared" si="179"/>
        <v>16.745706764551215</v>
      </c>
      <c r="AY675" s="20">
        <f t="shared" si="180"/>
        <v>50.307572310681124</v>
      </c>
      <c r="AZ675" s="20"/>
      <c r="BA675" s="20">
        <f t="shared" si="181"/>
        <v>-1.7571408062353013</v>
      </c>
      <c r="BB675" s="20">
        <f t="shared" si="182"/>
        <v>19.063878956559936</v>
      </c>
      <c r="BC675" s="20"/>
      <c r="BD675" s="20">
        <f t="shared" si="183"/>
        <v>8.6101067043753119</v>
      </c>
      <c r="BE675" s="20">
        <f t="shared" si="184"/>
        <v>99.570148101144326</v>
      </c>
      <c r="BF675" s="20"/>
      <c r="BG675" s="54">
        <f t="shared" si="185"/>
        <v>98614.638564075751</v>
      </c>
      <c r="BH675" s="54">
        <f t="shared" si="186"/>
        <v>96474.363445119132</v>
      </c>
      <c r="BI675" s="54">
        <f t="shared" si="187"/>
        <v>71332.364580481473</v>
      </c>
      <c r="BJ675" s="20"/>
    </row>
    <row r="676" spans="37:62" x14ac:dyDescent="0.3">
      <c r="AK676">
        <v>672</v>
      </c>
      <c r="AL676">
        <v>336</v>
      </c>
      <c r="AN676" s="48">
        <f t="shared" si="188"/>
        <v>-10685.623081041149</v>
      </c>
      <c r="AO676" s="48">
        <f t="shared" si="189"/>
        <v>-88380.464178486945</v>
      </c>
      <c r="AP676" s="20"/>
      <c r="AQ676" s="50">
        <f t="shared" si="190"/>
        <v>925.40139003597415</v>
      </c>
      <c r="AR676" s="50">
        <f t="shared" si="191"/>
        <v>-4584.3816068317619</v>
      </c>
      <c r="AS676" s="20"/>
      <c r="AT676" s="52">
        <f t="shared" si="192"/>
        <v>21.061808171819351</v>
      </c>
      <c r="AU676" s="52">
        <f t="shared" si="193"/>
        <v>160.41913933717734</v>
      </c>
      <c r="AV676" s="20"/>
      <c r="AW676" s="20"/>
      <c r="AX676" s="20">
        <f t="shared" si="179"/>
        <v>15.517535465242039</v>
      </c>
      <c r="AY676" s="20">
        <f t="shared" si="180"/>
        <v>48.486175411337243</v>
      </c>
      <c r="AZ676" s="20"/>
      <c r="BA676" s="20">
        <f t="shared" si="181"/>
        <v>-1.7204658259573047</v>
      </c>
      <c r="BB676" s="20">
        <f t="shared" si="182"/>
        <v>18.171932275618413</v>
      </c>
      <c r="BC676" s="20"/>
      <c r="BD676" s="20">
        <f t="shared" si="183"/>
        <v>7.264738532534615</v>
      </c>
      <c r="BE676" s="20">
        <f t="shared" si="184"/>
        <v>93.761031650221682</v>
      </c>
      <c r="BF676" s="20"/>
      <c r="BG676" s="54">
        <f t="shared" si="185"/>
        <v>100671.10248206207</v>
      </c>
      <c r="BH676" s="54">
        <f t="shared" si="186"/>
        <v>98820.409579008454</v>
      </c>
      <c r="BI676" s="54">
        <f t="shared" si="187"/>
        <v>73600.399678737303</v>
      </c>
      <c r="BJ676" s="20"/>
    </row>
    <row r="677" spans="37:62" x14ac:dyDescent="0.3">
      <c r="AK677">
        <v>673</v>
      </c>
      <c r="AL677">
        <v>336.5</v>
      </c>
      <c r="AN677" s="48">
        <f t="shared" si="188"/>
        <v>-10220.289660001685</v>
      </c>
      <c r="AO677" s="48">
        <f t="shared" si="189"/>
        <v>-90652.602589485687</v>
      </c>
      <c r="AP677" s="20"/>
      <c r="AQ677" s="50">
        <f t="shared" si="190"/>
        <v>935.93229412188384</v>
      </c>
      <c r="AR677" s="50">
        <f t="shared" si="191"/>
        <v>-4504.1720371631736</v>
      </c>
      <c r="AS677" s="20"/>
      <c r="AT677" s="52">
        <f t="shared" si="192"/>
        <v>18.824470551766467</v>
      </c>
      <c r="AU677" s="52">
        <f t="shared" si="193"/>
        <v>152.64969231276149</v>
      </c>
      <c r="AV677" s="20"/>
      <c r="AW677" s="20"/>
      <c r="AX677" s="20">
        <f t="shared" si="179"/>
        <v>14.402708455351993</v>
      </c>
      <c r="AY677" s="20">
        <f t="shared" si="180"/>
        <v>46.778615795382507</v>
      </c>
      <c r="AZ677" s="20"/>
      <c r="BA677" s="20">
        <f t="shared" si="181"/>
        <v>-1.6861982624011069</v>
      </c>
      <c r="BB677" s="20">
        <f t="shared" si="182"/>
        <v>17.354322131443531</v>
      </c>
      <c r="BC677" s="20"/>
      <c r="BD677" s="20">
        <f t="shared" si="183"/>
        <v>6.107960358815582</v>
      </c>
      <c r="BE677" s="20">
        <f t="shared" si="184"/>
        <v>88.516754385935442</v>
      </c>
      <c r="BF677" s="20"/>
      <c r="BG677" s="54">
        <f t="shared" si="185"/>
        <v>102699.55843246804</v>
      </c>
      <c r="BH677" s="54">
        <f t="shared" si="186"/>
        <v>101126.59957880128</v>
      </c>
      <c r="BI677" s="54">
        <f t="shared" si="187"/>
        <v>75832.497668855518</v>
      </c>
      <c r="BJ677" s="20"/>
    </row>
    <row r="678" spans="37:62" x14ac:dyDescent="0.3">
      <c r="AK678">
        <v>674</v>
      </c>
      <c r="AL678">
        <v>337</v>
      </c>
      <c r="AN678" s="48">
        <f t="shared" si="188"/>
        <v>-9749.9704541217707</v>
      </c>
      <c r="AO678" s="48">
        <f t="shared" si="189"/>
        <v>-92885.607396528168</v>
      </c>
      <c r="AP678" s="20"/>
      <c r="AQ678" s="50">
        <f t="shared" si="190"/>
        <v>945.34452939776702</v>
      </c>
      <c r="AR678" s="50">
        <f t="shared" si="191"/>
        <v>-4427.8471910067929</v>
      </c>
      <c r="AS678" s="20"/>
      <c r="AT678" s="52">
        <f t="shared" si="192"/>
        <v>16.842390354150453</v>
      </c>
      <c r="AU678" s="52">
        <f t="shared" si="193"/>
        <v>145.54084205563117</v>
      </c>
      <c r="AV678" s="20"/>
      <c r="AW678" s="20"/>
      <c r="AX678" s="20">
        <f t="shared" si="179"/>
        <v>13.387984244369564</v>
      </c>
      <c r="AY678" s="20">
        <f t="shared" si="180"/>
        <v>45.175202182427242</v>
      </c>
      <c r="AZ678" s="20"/>
      <c r="BA678" s="20">
        <f t="shared" si="181"/>
        <v>-1.6540212305829936</v>
      </c>
      <c r="BB678" s="20">
        <f t="shared" si="182"/>
        <v>16.602389114450457</v>
      </c>
      <c r="BC678" s="20"/>
      <c r="BD678" s="20">
        <f t="shared" si="183"/>
        <v>5.1084273403638827</v>
      </c>
      <c r="BE678" s="20">
        <f t="shared" si="184"/>
        <v>83.763250758753458</v>
      </c>
      <c r="BF678" s="20"/>
      <c r="BG678" s="54">
        <f t="shared" si="185"/>
        <v>104701.15049220332</v>
      </c>
      <c r="BH678" s="54">
        <f t="shared" si="186"/>
        <v>103394.92886522002</v>
      </c>
      <c r="BI678" s="54">
        <f t="shared" si="187"/>
        <v>78030.314998987116</v>
      </c>
      <c r="BJ678" s="20"/>
    </row>
    <row r="679" spans="37:62" x14ac:dyDescent="0.3">
      <c r="AK679">
        <v>675</v>
      </c>
      <c r="AL679">
        <v>337.5</v>
      </c>
      <c r="AN679" s="48">
        <f t="shared" si="188"/>
        <v>-9275.1928906286175</v>
      </c>
      <c r="AO679" s="48">
        <f t="shared" si="189"/>
        <v>-95081.338386774616</v>
      </c>
      <c r="AP679" s="20"/>
      <c r="AQ679" s="50">
        <f t="shared" si="190"/>
        <v>953.76572457484224</v>
      </c>
      <c r="AR679" s="50">
        <f t="shared" si="191"/>
        <v>-4355.0767699789776</v>
      </c>
      <c r="AS679" s="20"/>
      <c r="AT679" s="52">
        <f t="shared" si="192"/>
        <v>15.079182396067241</v>
      </c>
      <c r="AU679" s="52">
        <f t="shared" si="193"/>
        <v>139.01445073261527</v>
      </c>
      <c r="AV679" s="20"/>
      <c r="AW679" s="20"/>
      <c r="AX679" s="20">
        <f t="shared" si="179"/>
        <v>12.461989379496199</v>
      </c>
      <c r="AY679" s="20">
        <f t="shared" si="180"/>
        <v>43.667263074454873</v>
      </c>
      <c r="AZ679" s="20"/>
      <c r="BA679" s="20">
        <f t="shared" si="181"/>
        <v>-1.6236781972833398</v>
      </c>
      <c r="BB679" s="20">
        <f t="shared" si="182"/>
        <v>15.908750277743627</v>
      </c>
      <c r="BC679" s="20"/>
      <c r="BD679" s="20">
        <f t="shared" si="183"/>
        <v>4.2408712138543816</v>
      </c>
      <c r="BE679" s="20">
        <f t="shared" si="184"/>
        <v>79.438437380416758</v>
      </c>
      <c r="BF679" s="20"/>
      <c r="BG679" s="54">
        <f t="shared" si="185"/>
        <v>106676.9323893665</v>
      </c>
      <c r="BH679" s="54">
        <f t="shared" si="186"/>
        <v>105627.21791607054</v>
      </c>
      <c r="BI679" s="54">
        <f t="shared" si="187"/>
        <v>80195.374131362361</v>
      </c>
      <c r="BJ679" s="20"/>
    </row>
    <row r="680" spans="37:62" x14ac:dyDescent="0.3">
      <c r="AK680">
        <v>676</v>
      </c>
      <c r="AL680">
        <v>338</v>
      </c>
      <c r="AN680" s="48">
        <f t="shared" si="188"/>
        <v>-8796.4251305416892</v>
      </c>
      <c r="AO680" s="48">
        <f t="shared" si="189"/>
        <v>-97241.499965422525</v>
      </c>
      <c r="AP680" s="20"/>
      <c r="AQ680" s="50">
        <f t="shared" si="190"/>
        <v>961.30531577287582</v>
      </c>
      <c r="AR680" s="50">
        <f t="shared" si="191"/>
        <v>-4285.5695446126701</v>
      </c>
      <c r="AS680" s="20"/>
      <c r="AT680" s="52">
        <f t="shared" si="192"/>
        <v>13.504712051082171</v>
      </c>
      <c r="AU680" s="52">
        <f t="shared" si="193"/>
        <v>133.00403573594119</v>
      </c>
      <c r="AV680" s="20"/>
      <c r="AW680" s="20"/>
      <c r="AX680" s="20">
        <f t="shared" si="179"/>
        <v>11.614910978450407</v>
      </c>
      <c r="AY680" s="20">
        <f t="shared" si="180"/>
        <v>42.247021716506524</v>
      </c>
      <c r="AZ680" s="20"/>
      <c r="BA680" s="20">
        <f t="shared" si="181"/>
        <v>-1.5949591159162719</v>
      </c>
      <c r="BB680" s="20">
        <f t="shared" si="182"/>
        <v>15.267074122980821</v>
      </c>
      <c r="BC680" s="20"/>
      <c r="BD680" s="20">
        <f t="shared" si="183"/>
        <v>3.4847601885480359</v>
      </c>
      <c r="BE680" s="20">
        <f t="shared" si="184"/>
        <v>75.489939896453848</v>
      </c>
      <c r="BF680" s="20"/>
      <c r="BG680" s="54">
        <f t="shared" si="185"/>
        <v>108627.87816810886</v>
      </c>
      <c r="BH680" s="54">
        <f t="shared" si="186"/>
        <v>107825.13345546705</v>
      </c>
      <c r="BI680" s="54">
        <f t="shared" si="187"/>
        <v>82329.078461588535</v>
      </c>
      <c r="BJ680" s="20"/>
    </row>
    <row r="681" spans="37:62" x14ac:dyDescent="0.3">
      <c r="AK681">
        <v>677</v>
      </c>
      <c r="AL681">
        <v>338.5</v>
      </c>
      <c r="AN681" s="48">
        <f t="shared" si="188"/>
        <v>-8314.0843836488657</v>
      </c>
      <c r="AO681" s="48">
        <f t="shared" si="189"/>
        <v>-99367.65923326186</v>
      </c>
      <c r="AP681" s="20"/>
      <c r="AQ681" s="50">
        <f t="shared" si="190"/>
        <v>968.05767179841689</v>
      </c>
      <c r="AR681" s="50">
        <f t="shared" si="191"/>
        <v>-4219.0675267446995</v>
      </c>
      <c r="AS681" s="20"/>
      <c r="AT681" s="52">
        <f t="shared" si="192"/>
        <v>12.093844857427127</v>
      </c>
      <c r="AU681" s="52">
        <f t="shared" si="193"/>
        <v>127.4526986907604</v>
      </c>
      <c r="AV681" s="20"/>
      <c r="AW681" s="20"/>
      <c r="AX681" s="20">
        <f t="shared" si="179"/>
        <v>10.83824685692152</v>
      </c>
      <c r="AY681" s="20">
        <f t="shared" si="180"/>
        <v>40.907488163747388</v>
      </c>
      <c r="AZ681" s="20"/>
      <c r="BA681" s="20">
        <f t="shared" si="181"/>
        <v>-1.5676901384009725</v>
      </c>
      <c r="BB681" s="20">
        <f t="shared" si="182"/>
        <v>14.671901327105294</v>
      </c>
      <c r="BC681" s="20"/>
      <c r="BD681" s="20">
        <f t="shared" si="183"/>
        <v>2.8232881389065807</v>
      </c>
      <c r="BE681" s="20">
        <f t="shared" si="184"/>
        <v>71.873309199907709</v>
      </c>
      <c r="BF681" s="20"/>
      <c r="BG681" s="54">
        <f t="shared" si="185"/>
        <v>110554.89118298188</v>
      </c>
      <c r="BH681" s="54">
        <f t="shared" si="186"/>
        <v>109990.20642746046</v>
      </c>
      <c r="BI681" s="54">
        <f t="shared" si="187"/>
        <v>84432.725171000726</v>
      </c>
      <c r="BJ681" s="20"/>
    </row>
    <row r="682" spans="37:62" x14ac:dyDescent="0.3">
      <c r="AK682">
        <v>678</v>
      </c>
      <c r="AL682">
        <v>339</v>
      </c>
      <c r="AN682" s="48">
        <f t="shared" si="188"/>
        <v>-7828.5438171424785</v>
      </c>
      <c r="AO682" s="48">
        <f t="shared" si="189"/>
        <v>-101461.26140929786</v>
      </c>
      <c r="AP682" s="20"/>
      <c r="AQ682" s="50">
        <f t="shared" si="190"/>
        <v>974.10459422713041</v>
      </c>
      <c r="AR682" s="50">
        <f t="shared" si="191"/>
        <v>-4155.3411773993193</v>
      </c>
      <c r="AS682" s="20"/>
      <c r="AT682" s="52">
        <f t="shared" si="192"/>
        <v>10.825479691254429</v>
      </c>
      <c r="AU682" s="52">
        <f t="shared" si="193"/>
        <v>122.31147686983343</v>
      </c>
      <c r="AV682" s="20"/>
      <c r="AW682" s="20"/>
      <c r="AX682" s="20">
        <f t="shared" si="179"/>
        <v>10.12460119719235</v>
      </c>
      <c r="AY682" s="20">
        <f t="shared" si="180"/>
        <v>39.642365944875536</v>
      </c>
      <c r="AZ682" s="20"/>
      <c r="BA682" s="20">
        <f t="shared" si="181"/>
        <v>-1.5417258977381434</v>
      </c>
      <c r="BB682" s="20">
        <f t="shared" si="182"/>
        <v>14.118500755176832</v>
      </c>
      <c r="BC682" s="20"/>
      <c r="BD682" s="20">
        <f t="shared" si="183"/>
        <v>2.242604391800223</v>
      </c>
      <c r="BE682" s="20">
        <f t="shared" si="184"/>
        <v>68.550610169781066</v>
      </c>
      <c r="BF682" s="20"/>
      <c r="BG682" s="54">
        <f t="shared" si="185"/>
        <v>112458.81174406905</v>
      </c>
      <c r="BH682" s="54">
        <f t="shared" si="186"/>
        <v>112123.84733214899</v>
      </c>
      <c r="BI682" s="54">
        <f t="shared" si="187"/>
        <v>86507.516347496843</v>
      </c>
      <c r="BJ682" s="20"/>
    </row>
    <row r="683" spans="37:62" x14ac:dyDescent="0.3">
      <c r="AK683">
        <v>679</v>
      </c>
      <c r="AL683">
        <v>339.5</v>
      </c>
      <c r="AN683" s="48">
        <f t="shared" si="188"/>
        <v>-7340.1383350675069</v>
      </c>
      <c r="AO683" s="48">
        <f t="shared" si="189"/>
        <v>-103523.64306338879</v>
      </c>
      <c r="AP683" s="20"/>
      <c r="AQ683" s="50">
        <f t="shared" si="190"/>
        <v>979.51733407275765</v>
      </c>
      <c r="AR683" s="50">
        <f t="shared" si="191"/>
        <v>-4094.1854389644027</v>
      </c>
      <c r="AS683" s="20"/>
      <c r="AT683" s="52">
        <f t="shared" si="192"/>
        <v>9.6817940888763196</v>
      </c>
      <c r="AU683" s="52">
        <f t="shared" si="193"/>
        <v>117.53802064980817</v>
      </c>
      <c r="AV683" s="20"/>
      <c r="AW683" s="20"/>
      <c r="AX683" s="20">
        <f t="shared" si="179"/>
        <v>9.4675164830765599</v>
      </c>
      <c r="AY683" s="20">
        <f t="shared" si="180"/>
        <v>38.445971188289043</v>
      </c>
      <c r="AZ683" s="20"/>
      <c r="BA683" s="20">
        <f t="shared" si="181"/>
        <v>-1.5169436591468051</v>
      </c>
      <c r="BB683" s="20">
        <f t="shared" si="182"/>
        <v>13.602752942022063</v>
      </c>
      <c r="BC683" s="20"/>
      <c r="BD683" s="20">
        <f t="shared" si="183"/>
        <v>1.731221264946565</v>
      </c>
      <c r="BE683" s="20">
        <f t="shared" si="184"/>
        <v>65.48929651949706</v>
      </c>
      <c r="BF683" s="20"/>
      <c r="BG683" s="54">
        <f t="shared" si="185"/>
        <v>114340.42366218251</v>
      </c>
      <c r="BH683" s="54">
        <f t="shared" si="186"/>
        <v>114227.3593836386</v>
      </c>
      <c r="BI683" s="54">
        <f t="shared" si="187"/>
        <v>88554.568649175388</v>
      </c>
      <c r="BJ683" s="20"/>
    </row>
    <row r="684" spans="37:62" x14ac:dyDescent="0.3">
      <c r="AK684">
        <v>680</v>
      </c>
      <c r="AL684">
        <v>340</v>
      </c>
      <c r="AN684" s="48">
        <f t="shared" si="188"/>
        <v>-6849.169443770018</v>
      </c>
      <c r="AO684" s="48">
        <f t="shared" si="189"/>
        <v>-105556.04353028977</v>
      </c>
      <c r="AP684" s="20"/>
      <c r="AQ684" s="50">
        <f t="shared" si="190"/>
        <v>984.35823111719583</v>
      </c>
      <c r="AR684" s="50">
        <f t="shared" si="191"/>
        <v>-4035.4164286394985</v>
      </c>
      <c r="AS684" s="20"/>
      <c r="AT684" s="52">
        <f t="shared" si="192"/>
        <v>8.6476499605174002</v>
      </c>
      <c r="AU684" s="52">
        <f t="shared" si="193"/>
        <v>113.095524769477</v>
      </c>
      <c r="AV684" s="20"/>
      <c r="AW684" s="20"/>
      <c r="AX684" s="20">
        <f t="shared" si="179"/>
        <v>8.861334507251506</v>
      </c>
      <c r="AY684" s="20">
        <f t="shared" si="180"/>
        <v>37.313162401034553</v>
      </c>
      <c r="AZ684" s="20"/>
      <c r="BA684" s="20">
        <f t="shared" si="181"/>
        <v>-1.4932388439240156</v>
      </c>
      <c r="BB684" s="20">
        <f t="shared" si="182"/>
        <v>13.121055138822328</v>
      </c>
      <c r="BC684" s="20"/>
      <c r="BD684" s="20">
        <f t="shared" si="183"/>
        <v>1.2795542971899101</v>
      </c>
      <c r="BE684" s="20">
        <f t="shared" si="184"/>
        <v>62.661307229620114</v>
      </c>
      <c r="BF684" s="20"/>
      <c r="BG684" s="54">
        <f t="shared" si="185"/>
        <v>116200.45988955056</v>
      </c>
      <c r="BH684" s="54">
        <f t="shared" si="186"/>
        <v>116301.94985765671</v>
      </c>
      <c r="BI684" s="54">
        <f t="shared" si="187"/>
        <v>90574.921736049597</v>
      </c>
      <c r="BJ684" s="20"/>
    </row>
    <row r="685" spans="37:62" x14ac:dyDescent="0.3">
      <c r="AK685">
        <v>681</v>
      </c>
      <c r="AL685">
        <v>340.5</v>
      </c>
      <c r="AN685" s="48">
        <f t="shared" si="188"/>
        <v>-6355.9093719663551</v>
      </c>
      <c r="AO685" s="48">
        <f t="shared" si="189"/>
        <v>-107559.61480401333</v>
      </c>
      <c r="AP685" s="20"/>
      <c r="AQ685" s="50">
        <f t="shared" si="190"/>
        <v>988.68205609745451</v>
      </c>
      <c r="AR685" s="50">
        <f t="shared" si="191"/>
        <v>-3978.8686662547598</v>
      </c>
      <c r="AS685" s="20"/>
      <c r="AT685" s="52">
        <f t="shared" si="192"/>
        <v>7.7101217557106008</v>
      </c>
      <c r="AU685" s="52">
        <f t="shared" si="193"/>
        <v>108.95185874330068</v>
      </c>
      <c r="AV685" s="20"/>
      <c r="AW685" s="20"/>
      <c r="AX685" s="20">
        <f t="shared" si="179"/>
        <v>8.3010808293916707</v>
      </c>
      <c r="AY685" s="20">
        <f t="shared" si="180"/>
        <v>36.239279366421869</v>
      </c>
      <c r="AZ685" s="20"/>
      <c r="BA685" s="20">
        <f t="shared" si="181"/>
        <v>-1.4705215719223901</v>
      </c>
      <c r="BB685" s="20">
        <f t="shared" si="182"/>
        <v>12.670243423991574</v>
      </c>
      <c r="BC685" s="20"/>
      <c r="BD685" s="20">
        <f t="shared" si="183"/>
        <v>0.87956249824131993</v>
      </c>
      <c r="BE685" s="20">
        <f t="shared" si="184"/>
        <v>60.042335952887228</v>
      </c>
      <c r="BF685" s="20"/>
      <c r="BG685" s="54">
        <f t="shared" si="185"/>
        <v>118039.60741069596</v>
      </c>
      <c r="BH685" s="54">
        <f t="shared" si="186"/>
        <v>118348.73992541697</v>
      </c>
      <c r="BI685" s="54">
        <f t="shared" si="187"/>
        <v>92569.545655643728</v>
      </c>
      <c r="BJ685" s="20"/>
    </row>
    <row r="686" spans="37:62" x14ac:dyDescent="0.3">
      <c r="AK686">
        <v>682</v>
      </c>
      <c r="AL686">
        <v>341</v>
      </c>
      <c r="AN686" s="48">
        <f t="shared" si="188"/>
        <v>-5860.604578698164</v>
      </c>
      <c r="AO686" s="48">
        <f t="shared" si="189"/>
        <v>-109535.4301547978</v>
      </c>
      <c r="AP686" s="20"/>
      <c r="AQ686" s="50">
        <f t="shared" si="190"/>
        <v>992.5371169753098</v>
      </c>
      <c r="AR686" s="50">
        <f t="shared" si="191"/>
        <v>-3924.3927368831096</v>
      </c>
      <c r="AS686" s="20"/>
      <c r="AT686" s="52">
        <f t="shared" si="192"/>
        <v>6.85811897175242</v>
      </c>
      <c r="AU686" s="52">
        <f t="shared" si="193"/>
        <v>105.07885473510353</v>
      </c>
      <c r="AV686" s="20"/>
      <c r="AW686" s="20"/>
      <c r="AX686" s="20">
        <f t="shared" si="179"/>
        <v>7.7823682614222793</v>
      </c>
      <c r="AY686" s="20">
        <f t="shared" si="180"/>
        <v>35.220089860113127</v>
      </c>
      <c r="AZ686" s="20"/>
      <c r="BA686" s="20">
        <f t="shared" si="181"/>
        <v>-1.4487139670796625</v>
      </c>
      <c r="BB686" s="20">
        <f t="shared" si="182"/>
        <v>12.247528417320884</v>
      </c>
      <c r="BC686" s="20"/>
      <c r="BD686" s="20">
        <f t="shared" si="183"/>
        <v>0.52446467740980296</v>
      </c>
      <c r="BE686" s="20">
        <f t="shared" si="184"/>
        <v>57.611236457669527</v>
      </c>
      <c r="BF686" s="20"/>
      <c r="BG686" s="54">
        <f t="shared" si="185"/>
        <v>119858.5115070863</v>
      </c>
      <c r="BH686" s="54">
        <f t="shared" si="186"/>
        <v>120368.7732145363</v>
      </c>
      <c r="BI686" s="54">
        <f t="shared" si="187"/>
        <v>94539.347336405539</v>
      </c>
      <c r="BJ686" s="20"/>
    </row>
    <row r="687" spans="37:62" x14ac:dyDescent="0.3">
      <c r="AK687">
        <v>683</v>
      </c>
      <c r="AL687">
        <v>341.5</v>
      </c>
      <c r="AN687" s="48">
        <f t="shared" si="188"/>
        <v>-5363.4787553390397</v>
      </c>
      <c r="AO687" s="48">
        <f t="shared" si="189"/>
        <v>-111484.49166639746</v>
      </c>
      <c r="AP687" s="20"/>
      <c r="AQ687" s="50">
        <f t="shared" si="190"/>
        <v>995.96617646118602</v>
      </c>
      <c r="AR687" s="50">
        <f t="shared" si="191"/>
        <v>-3871.8533095155576</v>
      </c>
      <c r="AS687" s="20"/>
      <c r="AT687" s="52">
        <f t="shared" si="192"/>
        <v>6.0820819719644845</v>
      </c>
      <c r="AU687" s="52">
        <f t="shared" si="193"/>
        <v>101.45172081841449</v>
      </c>
      <c r="AV687" s="20"/>
      <c r="AW687" s="20"/>
      <c r="AX687" s="20">
        <f t="shared" si="179"/>
        <v>7.3013158759652512</v>
      </c>
      <c r="AY687" s="20">
        <f t="shared" si="180"/>
        <v>34.251743082153169</v>
      </c>
      <c r="AZ687" s="20"/>
      <c r="BA687" s="20">
        <f t="shared" si="181"/>
        <v>-1.4277480397113143</v>
      </c>
      <c r="BB687" s="20">
        <f t="shared" si="182"/>
        <v>11.850441913941431</v>
      </c>
      <c r="BC687" s="20"/>
      <c r="BD687" s="20">
        <f t="shared" si="183"/>
        <v>0.20851413571054786</v>
      </c>
      <c r="BE687" s="20">
        <f t="shared" si="184"/>
        <v>55.349535822319886</v>
      </c>
      <c r="BF687" s="20"/>
      <c r="BG687" s="54">
        <f t="shared" si="185"/>
        <v>121657.77949512123</v>
      </c>
      <c r="BH687" s="54">
        <f t="shared" si="186"/>
        <v>122363.02329375655</v>
      </c>
      <c r="BI687" s="54">
        <f t="shared" si="187"/>
        <v>96485.176317031743</v>
      </c>
      <c r="BJ687" s="20"/>
    </row>
    <row r="688" spans="37:62" x14ac:dyDescent="0.3">
      <c r="AK688">
        <v>684</v>
      </c>
      <c r="AL688">
        <v>342</v>
      </c>
      <c r="AN688" s="48">
        <f t="shared" si="188"/>
        <v>-4864.7354068619507</v>
      </c>
      <c r="AO688" s="48">
        <f t="shared" si="189"/>
        <v>-113407.73685605293</v>
      </c>
      <c r="AP688" s="20"/>
      <c r="AQ688" s="50">
        <f t="shared" si="190"/>
        <v>999.00721744716827</v>
      </c>
      <c r="AR688" s="50">
        <f t="shared" si="191"/>
        <v>-3821.1274491063505</v>
      </c>
      <c r="AS688" s="20"/>
      <c r="AT688" s="52">
        <f t="shared" si="192"/>
        <v>5.3737352272781589</v>
      </c>
      <c r="AU688" s="52">
        <f t="shared" si="193"/>
        <v>98.048554759784096</v>
      </c>
      <c r="AV688" s="20"/>
      <c r="AW688" s="20"/>
      <c r="AX688" s="20">
        <f t="shared" si="179"/>
        <v>6.8544807453941425</v>
      </c>
      <c r="AY688" s="20">
        <f t="shared" si="180"/>
        <v>33.330728869139016</v>
      </c>
      <c r="AZ688" s="20"/>
      <c r="BA688" s="20">
        <f t="shared" si="181"/>
        <v>-1.4075640084973626</v>
      </c>
      <c r="BB688" s="20">
        <f t="shared" si="182"/>
        <v>11.476792341472956</v>
      </c>
      <c r="BC688" s="20"/>
      <c r="BD688" s="20">
        <f t="shared" si="183"/>
        <v>-7.318150961862141E-2</v>
      </c>
      <c r="BE688" s="20">
        <f t="shared" si="184"/>
        <v>53.241033549172123</v>
      </c>
      <c r="BF688" s="20"/>
      <c r="BG688" s="54">
        <f t="shared" si="185"/>
        <v>123437.98401831502</v>
      </c>
      <c r="BH688" s="54">
        <f t="shared" si="186"/>
        <v>124332.40024320733</v>
      </c>
      <c r="BI688" s="54">
        <f t="shared" si="187"/>
        <v>98407.829818771599</v>
      </c>
      <c r="BJ688" s="20"/>
    </row>
    <row r="689" spans="37:62" x14ac:dyDescent="0.3">
      <c r="AK689">
        <v>685</v>
      </c>
      <c r="AL689">
        <v>342.5</v>
      </c>
      <c r="AN689" s="48">
        <f t="shared" si="188"/>
        <v>-4364.5600812349567</v>
      </c>
      <c r="AO689" s="48">
        <f t="shared" si="189"/>
        <v>-115306.04451126112</v>
      </c>
      <c r="AP689" s="20"/>
      <c r="AQ689" s="50">
        <f t="shared" si="190"/>
        <v>1001.6940850608073</v>
      </c>
      <c r="AR689" s="50">
        <f t="shared" si="191"/>
        <v>-3772.1031717264586</v>
      </c>
      <c r="AS689" s="20"/>
      <c r="AT689" s="52">
        <f t="shared" si="192"/>
        <v>4.7258858763883271</v>
      </c>
      <c r="AU689" s="52">
        <f t="shared" si="193"/>
        <v>94.849938908637171</v>
      </c>
      <c r="AV689" s="20"/>
      <c r="AW689" s="20"/>
      <c r="AX689" s="20">
        <f t="shared" si="179"/>
        <v>6.438800172843802</v>
      </c>
      <c r="AY689" s="20">
        <f t="shared" si="180"/>
        <v>32.453841891213521</v>
      </c>
      <c r="AZ689" s="20"/>
      <c r="BA689" s="20">
        <f t="shared" si="181"/>
        <v>-1.3881089604104824</v>
      </c>
      <c r="BB689" s="20">
        <f t="shared" si="182"/>
        <v>11.124627390299532</v>
      </c>
      <c r="BC689" s="20"/>
      <c r="BD689" s="20">
        <f t="shared" si="183"/>
        <v>-0.32480533604499251</v>
      </c>
      <c r="BE689" s="20">
        <f t="shared" si="184"/>
        <v>51.271469627124127</v>
      </c>
      <c r="BF689" s="20"/>
      <c r="BG689" s="54">
        <f t="shared" si="185"/>
        <v>125199.66595983376</v>
      </c>
      <c r="BH689" s="54">
        <f t="shared" si="186"/>
        <v>126277.75644392589</v>
      </c>
      <c r="BI689" s="54">
        <f t="shared" si="187"/>
        <v>100308.05725057911</v>
      </c>
      <c r="BJ689" s="20"/>
    </row>
    <row r="690" spans="37:62" x14ac:dyDescent="0.3">
      <c r="AK690">
        <v>686</v>
      </c>
      <c r="AL690">
        <v>343</v>
      </c>
      <c r="AN690" s="48">
        <f t="shared" si="188"/>
        <v>-3863.1223029700045</v>
      </c>
      <c r="AO690" s="48">
        <f t="shared" si="189"/>
        <v>-117180.23985476077</v>
      </c>
      <c r="AP690" s="20"/>
      <c r="AQ690" s="50">
        <f t="shared" si="190"/>
        <v>1004.0570279990014</v>
      </c>
      <c r="AR690" s="50">
        <f t="shared" si="191"/>
        <v>-3724.67820227214</v>
      </c>
      <c r="AS690" s="20"/>
      <c r="AT690" s="52">
        <f t="shared" si="192"/>
        <v>4.1322583048704118</v>
      </c>
      <c r="AU690" s="52">
        <f t="shared" si="193"/>
        <v>91.838600925138536</v>
      </c>
      <c r="AV690" s="20"/>
      <c r="AW690" s="20"/>
      <c r="AX690" s="20">
        <f t="shared" si="179"/>
        <v>6.0515426106622119</v>
      </c>
      <c r="AY690" s="20">
        <f t="shared" si="180"/>
        <v>31.618150156937499</v>
      </c>
      <c r="AZ690" s="20"/>
      <c r="BA690" s="20">
        <f t="shared" si="181"/>
        <v>-1.369335772411147</v>
      </c>
      <c r="BB690" s="20">
        <f t="shared" si="182"/>
        <v>10.792202509473483</v>
      </c>
      <c r="BC690" s="20"/>
      <c r="BD690" s="20">
        <f t="shared" si="183"/>
        <v>-0.5499485333806533</v>
      </c>
      <c r="BE690" s="20">
        <f t="shared" si="184"/>
        <v>49.42824825872755</v>
      </c>
      <c r="BF690" s="20"/>
      <c r="BG690" s="54">
        <f t="shared" si="185"/>
        <v>126943.33702990158</v>
      </c>
      <c r="BH690" s="54">
        <f t="shared" si="186"/>
        <v>128199.89169778337</v>
      </c>
      <c r="BI690" s="54">
        <f t="shared" si="187"/>
        <v>102186.56422286859</v>
      </c>
      <c r="BJ690" s="20"/>
    </row>
    <row r="691" spans="37:62" x14ac:dyDescent="0.3">
      <c r="AK691">
        <v>687</v>
      </c>
      <c r="AL691">
        <v>343.5</v>
      </c>
      <c r="AN691" s="48">
        <f t="shared" si="188"/>
        <v>-3360.5772566823948</v>
      </c>
      <c r="AO691" s="48">
        <f t="shared" si="189"/>
        <v>-119031.09913078119</v>
      </c>
      <c r="AP691" s="20"/>
      <c r="AQ691" s="50">
        <f t="shared" si="190"/>
        <v>1006.1231571514367</v>
      </c>
      <c r="AR691" s="50">
        <f t="shared" si="191"/>
        <v>-3678.7589018095705</v>
      </c>
      <c r="AS691" s="20"/>
      <c r="AT691" s="52">
        <f t="shared" si="192"/>
        <v>3.5873575430418834</v>
      </c>
      <c r="AU691" s="52">
        <f t="shared" si="193"/>
        <v>88.999128259690124</v>
      </c>
      <c r="AV691" s="20"/>
      <c r="AW691" s="20"/>
      <c r="AX691" s="20">
        <f t="shared" si="179"/>
        <v>5.6902658041302043</v>
      </c>
      <c r="AY691" s="20">
        <f t="shared" si="180"/>
        <v>30.820967248869479</v>
      </c>
      <c r="AZ691" s="20"/>
      <c r="BA691" s="20">
        <f t="shared" si="181"/>
        <v>-1.3512022374259489</v>
      </c>
      <c r="BB691" s="20">
        <f t="shared" si="182"/>
        <v>10.47795422548891</v>
      </c>
      <c r="BC691" s="20"/>
      <c r="BD691" s="20">
        <f t="shared" si="183"/>
        <v>-0.75170602366237227</v>
      </c>
      <c r="BE691" s="20">
        <f t="shared" si="184"/>
        <v>47.700206785331737</v>
      </c>
      <c r="BF691" s="20"/>
      <c r="BG691" s="54">
        <f t="shared" si="185"/>
        <v>128669.48207329119</v>
      </c>
      <c r="BH691" s="54">
        <f t="shared" si="186"/>
        <v>130099.55777068698</v>
      </c>
      <c r="BI691" s="54">
        <f t="shared" si="187"/>
        <v>104044.01613398884</v>
      </c>
      <c r="BJ691" s="20"/>
    </row>
    <row r="692" spans="37:62" x14ac:dyDescent="0.3">
      <c r="AK692">
        <v>688</v>
      </c>
      <c r="AL692">
        <v>344</v>
      </c>
      <c r="AN692" s="48">
        <f t="shared" si="188"/>
        <v>-2857.0672584137965</v>
      </c>
      <c r="AO692" s="48">
        <f t="shared" si="189"/>
        <v>-120859.35369065352</v>
      </c>
      <c r="AP692" s="20"/>
      <c r="AQ692" s="50">
        <f t="shared" si="190"/>
        <v>1007.9168359229576</v>
      </c>
      <c r="AR692" s="50">
        <f t="shared" si="191"/>
        <v>-3634.2593376797254</v>
      </c>
      <c r="AS692" s="20"/>
      <c r="AT692" s="52">
        <f t="shared" si="192"/>
        <v>3.0863558668114948</v>
      </c>
      <c r="AU692" s="52">
        <f t="shared" si="193"/>
        <v>86.317726756332746</v>
      </c>
      <c r="AV692" s="20"/>
      <c r="AW692" s="20"/>
      <c r="AX692" s="20">
        <f t="shared" si="179"/>
        <v>5.3527809697824971</v>
      </c>
      <c r="AY692" s="20">
        <f t="shared" si="180"/>
        <v>30.059827796848854</v>
      </c>
      <c r="AZ692" s="20"/>
      <c r="BA692" s="20">
        <f t="shared" si="181"/>
        <v>-1.3336703508961172</v>
      </c>
      <c r="BB692" s="20">
        <f t="shared" si="182"/>
        <v>10.180477447203977</v>
      </c>
      <c r="BC692" s="20"/>
      <c r="BD692" s="20">
        <f t="shared" si="183"/>
        <v>-0.93275475207488501</v>
      </c>
      <c r="BE692" s="20">
        <f t="shared" si="184"/>
        <v>46.077421512279905</v>
      </c>
      <c r="BF692" s="20"/>
      <c r="BG692" s="54">
        <f t="shared" si="185"/>
        <v>130378.56113463569</v>
      </c>
      <c r="BH692" s="54">
        <f t="shared" si="186"/>
        <v>131977.46243703167</v>
      </c>
      <c r="BI692" s="54">
        <f t="shared" si="187"/>
        <v>105881.04138389384</v>
      </c>
      <c r="BJ692" s="20"/>
    </row>
    <row r="693" spans="37:62" x14ac:dyDescent="0.3">
      <c r="AK693">
        <v>689</v>
      </c>
      <c r="AL693">
        <v>344.5</v>
      </c>
      <c r="AN693" s="48">
        <f t="shared" si="188"/>
        <v>-2352.7230459689663</v>
      </c>
      <c r="AO693" s="48">
        <f t="shared" si="189"/>
        <v>-122665.69364364883</v>
      </c>
      <c r="AP693" s="20"/>
      <c r="AQ693" s="50">
        <f t="shared" si="190"/>
        <v>1009.4600138563634</v>
      </c>
      <c r="AR693" s="50">
        <f t="shared" si="191"/>
        <v>-3591.1004743015592</v>
      </c>
      <c r="AS693" s="20"/>
      <c r="AT693" s="52">
        <f t="shared" si="192"/>
        <v>2.6249981911334883</v>
      </c>
      <c r="AU693" s="52">
        <f t="shared" si="193"/>
        <v>83.782015664846995</v>
      </c>
      <c r="AV693" s="20"/>
      <c r="AW693" s="20"/>
      <c r="AX693" s="20">
        <f t="shared" si="179"/>
        <v>5.0371220341796894</v>
      </c>
      <c r="AY693" s="20">
        <f t="shared" si="180"/>
        <v>29.332465767071131</v>
      </c>
      <c r="AZ693" s="20"/>
      <c r="BA693" s="20">
        <f t="shared" si="181"/>
        <v>-1.3167057244127041</v>
      </c>
      <c r="BB693" s="20">
        <f t="shared" si="182"/>
        <v>9.8985060816350661</v>
      </c>
      <c r="BC693" s="20"/>
      <c r="BD693" s="20">
        <f t="shared" si="183"/>
        <v>-1.0954181186334975</v>
      </c>
      <c r="BE693" s="20">
        <f t="shared" si="184"/>
        <v>44.55104381614079</v>
      </c>
      <c r="BF693" s="20"/>
      <c r="BG693" s="54">
        <f t="shared" si="185"/>
        <v>132071.01131324025</v>
      </c>
      <c r="BH693" s="54">
        <f t="shared" si="186"/>
        <v>133834.27309117329</v>
      </c>
      <c r="BI693" s="54">
        <f t="shared" si="187"/>
        <v>107698.23426147427</v>
      </c>
      <c r="BJ693" s="20"/>
    </row>
    <row r="694" spans="37:62" x14ac:dyDescent="0.3">
      <c r="AK694">
        <v>690</v>
      </c>
      <c r="AL694">
        <v>345</v>
      </c>
      <c r="AN694" s="48">
        <f t="shared" si="188"/>
        <v>-1847.664914266893</v>
      </c>
      <c r="AO694" s="48">
        <f t="shared" si="189"/>
        <v>-124450.7711288415</v>
      </c>
      <c r="AP694" s="20"/>
      <c r="AQ694" s="50">
        <f t="shared" si="190"/>
        <v>1010.7725129519301</v>
      </c>
      <c r="AR694" s="50">
        <f t="shared" si="191"/>
        <v>-3549.2094664691358</v>
      </c>
      <c r="AS694" s="20"/>
      <c r="AT694" s="52">
        <f t="shared" si="192"/>
        <v>2.1995227695861121</v>
      </c>
      <c r="AU694" s="52">
        <f t="shared" si="193"/>
        <v>81.38085284369599</v>
      </c>
      <c r="AV694" s="20"/>
      <c r="AW694" s="20"/>
      <c r="AX694" s="20">
        <f t="shared" si="179"/>
        <v>4.7415191325415185</v>
      </c>
      <c r="AY694" s="20">
        <f t="shared" si="180"/>
        <v>28.636795205168628</v>
      </c>
      <c r="AZ694" s="20"/>
      <c r="BA694" s="20">
        <f t="shared" si="181"/>
        <v>-1.3002771006100187</v>
      </c>
      <c r="BB694" s="20">
        <f t="shared" si="182"/>
        <v>9.6308964126380747</v>
      </c>
      <c r="BC694" s="20"/>
      <c r="BD694" s="20">
        <f t="shared" si="183"/>
        <v>-1.2417192623453881</v>
      </c>
      <c r="BE694" s="20">
        <f t="shared" si="184"/>
        <v>43.113161225889286</v>
      </c>
      <c r="BF694" s="20"/>
      <c r="BG694" s="54">
        <f t="shared" si="185"/>
        <v>133747.24843413415</v>
      </c>
      <c r="BH694" s="54">
        <f t="shared" si="186"/>
        <v>135670.6199816484</v>
      </c>
      <c r="BI694" s="54">
        <f t="shared" si="187"/>
        <v>109496.15754532571</v>
      </c>
      <c r="BJ694" s="20"/>
    </row>
    <row r="695" spans="37:62" x14ac:dyDescent="0.3">
      <c r="AK695">
        <v>691</v>
      </c>
      <c r="AL695">
        <v>345.5</v>
      </c>
      <c r="AN695" s="48">
        <f t="shared" si="188"/>
        <v>-1342.0037174447295</v>
      </c>
      <c r="AO695" s="48">
        <f t="shared" si="189"/>
        <v>-126215.20325547059</v>
      </c>
      <c r="AP695" s="20"/>
      <c r="AQ695" s="50">
        <f t="shared" si="190"/>
        <v>1011.8722743367232</v>
      </c>
      <c r="AR695" s="50">
        <f t="shared" si="191"/>
        <v>-3508.5190400472879</v>
      </c>
      <c r="AS695" s="20"/>
      <c r="AT695" s="52">
        <f t="shared" si="192"/>
        <v>1.8065944268110299</v>
      </c>
      <c r="AU695" s="52">
        <f t="shared" si="193"/>
        <v>79.104185115450605</v>
      </c>
      <c r="AV695" s="20"/>
      <c r="AW695" s="20"/>
      <c r="AX695" s="20">
        <f t="shared" si="179"/>
        <v>4.4643757064691059</v>
      </c>
      <c r="AY695" s="20">
        <f t="shared" si="180"/>
        <v>27.970893122437097</v>
      </c>
      <c r="AZ695" s="20"/>
      <c r="BA695" s="20">
        <f t="shared" si="181"/>
        <v>-1.2843559492595702</v>
      </c>
      <c r="BB695" s="20">
        <f t="shared" si="182"/>
        <v>9.3766127954660234</v>
      </c>
      <c r="BC695" s="20"/>
      <c r="BD695" s="20">
        <f t="shared" si="183"/>
        <v>-1.3734253303985058</v>
      </c>
      <c r="BE695" s="20">
        <f t="shared" si="184"/>
        <v>41.756679197547484</v>
      </c>
      <c r="BF695" s="20"/>
      <c r="BG695" s="54">
        <f t="shared" si="185"/>
        <v>135407.6685580519</v>
      </c>
      <c r="BH695" s="54">
        <f t="shared" si="186"/>
        <v>137487.09911554982</v>
      </c>
      <c r="BI695" s="54">
        <f t="shared" si="187"/>
        <v>111275.34485212268</v>
      </c>
      <c r="BJ695" s="20"/>
    </row>
    <row r="696" spans="37:62" x14ac:dyDescent="0.3">
      <c r="AK696">
        <v>692</v>
      </c>
      <c r="AL696">
        <v>346</v>
      </c>
      <c r="AN696" s="48">
        <f t="shared" si="188"/>
        <v>-835.84175597301657</v>
      </c>
      <c r="AO696" s="48">
        <f t="shared" si="189"/>
        <v>-127959.57475235481</v>
      </c>
      <c r="AP696" s="20"/>
      <c r="AQ696" s="50">
        <f t="shared" si="190"/>
        <v>1012.7755715501287</v>
      </c>
      <c r="AR696" s="50">
        <f t="shared" si="191"/>
        <v>-3468.9669474895627</v>
      </c>
      <c r="AS696" s="20"/>
      <c r="AT696" s="52">
        <f t="shared" si="192"/>
        <v>1.4432481048589412</v>
      </c>
      <c r="AU696" s="52">
        <f t="shared" si="193"/>
        <v>76.942919670976437</v>
      </c>
      <c r="AV696" s="20"/>
      <c r="AW696" s="20"/>
      <c r="AX696" s="20">
        <f t="shared" si="179"/>
        <v>4.2042486531540124</v>
      </c>
      <c r="AY696" s="20">
        <f t="shared" si="180"/>
        <v>27.3329842575783</v>
      </c>
      <c r="AZ696" s="20"/>
      <c r="BA696" s="20">
        <f t="shared" si="181"/>
        <v>-1.2689161288875783</v>
      </c>
      <c r="BB696" s="20">
        <f t="shared" si="182"/>
        <v>9.1347153007514112</v>
      </c>
      <c r="BC696" s="20"/>
      <c r="BD696" s="20">
        <f t="shared" si="183"/>
        <v>-1.4920844194074929</v>
      </c>
      <c r="BE696" s="20">
        <f t="shared" si="184"/>
        <v>40.475220112646724</v>
      </c>
      <c r="BF696" s="20"/>
      <c r="BG696" s="54">
        <f t="shared" si="185"/>
        <v>137052.64934968879</v>
      </c>
      <c r="BH696" s="54">
        <f t="shared" si="186"/>
        <v>139284.27487355736</v>
      </c>
      <c r="BI696" s="54">
        <f t="shared" si="187"/>
        <v>113036.30276205133</v>
      </c>
      <c r="BJ696" s="20"/>
    </row>
    <row r="697" spans="37:62" x14ac:dyDescent="0.3">
      <c r="AK697">
        <v>693</v>
      </c>
      <c r="AL697">
        <v>346.5</v>
      </c>
      <c r="AN697" s="48">
        <f t="shared" si="188"/>
        <v>-329.27356418484487</v>
      </c>
      <c r="AO697" s="48">
        <f t="shared" si="189"/>
        <v>-129684.44036114072</v>
      </c>
      <c r="AP697" s="20"/>
      <c r="AQ697" s="50">
        <f t="shared" si="190"/>
        <v>1013.4971956025581</v>
      </c>
      <c r="AR697" s="50">
        <f t="shared" si="191"/>
        <v>-3430.4954876540746</v>
      </c>
      <c r="AS697" s="20"/>
      <c r="AT697" s="52">
        <f t="shared" si="192"/>
        <v>1.1068409380591586</v>
      </c>
      <c r="AU697" s="52">
        <f t="shared" si="193"/>
        <v>74.888813163361704</v>
      </c>
      <c r="AV697" s="20"/>
      <c r="AW697" s="20"/>
      <c r="AX697" s="20">
        <f t="shared" si="179"/>
        <v>3.9598310704809556</v>
      </c>
      <c r="AY697" s="20">
        <f t="shared" si="180"/>
        <v>26.721427483056679</v>
      </c>
      <c r="AZ697" s="20"/>
      <c r="BA697" s="20">
        <f t="shared" si="181"/>
        <v>-1.2539336015864331</v>
      </c>
      <c r="BB697" s="20">
        <f t="shared" si="182"/>
        <v>8.9043490060804178</v>
      </c>
      <c r="BC697" s="20"/>
      <c r="BD697" s="20">
        <f t="shared" si="183"/>
        <v>-1.5990565308353639</v>
      </c>
      <c r="BE697" s="20">
        <f t="shared" si="184"/>
        <v>39.263036674224615</v>
      </c>
      <c r="BF697" s="20"/>
      <c r="BG697" s="54">
        <f t="shared" si="185"/>
        <v>138682.55132080184</v>
      </c>
      <c r="BH697" s="54">
        <f t="shared" si="186"/>
        <v>141062.68237034822</v>
      </c>
      <c r="BI697" s="54">
        <f t="shared" si="187"/>
        <v>114779.51274677143</v>
      </c>
      <c r="BJ697" s="20"/>
    </row>
    <row r="698" spans="37:62" x14ac:dyDescent="0.3">
      <c r="AK698">
        <v>694</v>
      </c>
      <c r="AL698">
        <v>347</v>
      </c>
      <c r="AN698" s="48">
        <f t="shared" si="188"/>
        <v>177.61338873369158</v>
      </c>
      <c r="AO698" s="48">
        <f t="shared" si="189"/>
        <v>-131390.32700332234</v>
      </c>
      <c r="AP698" s="20"/>
      <c r="AQ698" s="50">
        <f t="shared" si="190"/>
        <v>1014.0506160715877</v>
      </c>
      <c r="AR698" s="50">
        <f t="shared" si="191"/>
        <v>-3393.0510810723936</v>
      </c>
      <c r="AS698" s="20"/>
      <c r="AT698" s="52">
        <f t="shared" si="192"/>
        <v>0.79501141224292149</v>
      </c>
      <c r="AU698" s="52">
        <f t="shared" si="193"/>
        <v>72.934375729186442</v>
      </c>
      <c r="AV698" s="20"/>
      <c r="AW698" s="20"/>
      <c r="AX698" s="20">
        <f t="shared" si="179"/>
        <v>3.7299372175645891</v>
      </c>
      <c r="AY698" s="20">
        <f t="shared" si="180"/>
        <v>26.134703656469213</v>
      </c>
      <c r="AZ698" s="20"/>
      <c r="BA698" s="20">
        <f t="shared" si="181"/>
        <v>-1.239386191264813</v>
      </c>
      <c r="BB698" s="20">
        <f t="shared" si="182"/>
        <v>8.684734685430092</v>
      </c>
      <c r="BC698" s="20"/>
      <c r="BD698" s="20">
        <f t="shared" si="183"/>
        <v>-1.6955396140568546</v>
      </c>
      <c r="BE698" s="20">
        <f t="shared" si="184"/>
        <v>38.114937387287135</v>
      </c>
      <c r="BF698" s="20"/>
      <c r="BG698" s="54">
        <f t="shared" si="185"/>
        <v>140297.71896241335</v>
      </c>
      <c r="BH698" s="54">
        <f t="shared" si="186"/>
        <v>142822.82959027114</v>
      </c>
      <c r="BI698" s="54">
        <f t="shared" si="187"/>
        <v>116505.43292200369</v>
      </c>
      <c r="BJ698" s="20"/>
    </row>
    <row r="699" spans="37:62" x14ac:dyDescent="0.3">
      <c r="AK699">
        <v>695</v>
      </c>
      <c r="AL699">
        <v>347.5</v>
      </c>
      <c r="AN699" s="48">
        <f t="shared" si="188"/>
        <v>684.73807319601588</v>
      </c>
      <c r="AO699" s="48">
        <f t="shared" si="189"/>
        <v>-133077.73574689237</v>
      </c>
      <c r="AP699" s="20"/>
      <c r="AQ699" s="50">
        <f t="shared" si="190"/>
        <v>1014.4481217777092</v>
      </c>
      <c r="AR699" s="50">
        <f t="shared" si="191"/>
        <v>-3356.5838932078004</v>
      </c>
      <c r="AS699" s="20"/>
      <c r="AT699" s="52">
        <f t="shared" si="192"/>
        <v>0.50564443423394678</v>
      </c>
      <c r="AU699" s="52">
        <f t="shared" si="193"/>
        <v>71.072787655131521</v>
      </c>
      <c r="AV699" s="20"/>
      <c r="AW699" s="20"/>
      <c r="AX699" s="20">
        <f t="shared" si="179"/>
        <v>3.5134893718621272</v>
      </c>
      <c r="AY699" s="20">
        <f t="shared" si="180"/>
        <v>25.571404744024385</v>
      </c>
      <c r="AZ699" s="20"/>
      <c r="BA699" s="20">
        <f t="shared" si="181"/>
        <v>-1.2252533775727168</v>
      </c>
      <c r="BB699" s="20">
        <f t="shared" si="182"/>
        <v>8.4751606889576525</v>
      </c>
      <c r="BC699" s="20"/>
      <c r="BD699" s="20">
        <f t="shared" si="183"/>
        <v>-1.7825915600554634</v>
      </c>
      <c r="BE699" s="20">
        <f t="shared" si="184"/>
        <v>37.026222222149492</v>
      </c>
      <c r="BF699" s="20"/>
      <c r="BG699" s="54">
        <f t="shared" si="185"/>
        <v>141898.48177843253</v>
      </c>
      <c r="BH699" s="54">
        <f t="shared" si="186"/>
        <v>144565.19932409143</v>
      </c>
      <c r="BI699" s="54">
        <f t="shared" si="187"/>
        <v>118214.49964396833</v>
      </c>
      <c r="BJ699" s="20"/>
    </row>
    <row r="700" spans="37:62" x14ac:dyDescent="0.3">
      <c r="AK700">
        <v>696</v>
      </c>
      <c r="AL700">
        <v>348</v>
      </c>
      <c r="AN700" s="48">
        <f t="shared" si="188"/>
        <v>1192.0253396391497</v>
      </c>
      <c r="AO700" s="48">
        <f t="shared" si="189"/>
        <v>-134747.14359503938</v>
      </c>
      <c r="AP700" s="20"/>
      <c r="AQ700" s="50">
        <f t="shared" si="190"/>
        <v>1014.7009439948262</v>
      </c>
      <c r="AR700" s="50">
        <f t="shared" si="191"/>
        <v>-3321.0474993802345</v>
      </c>
      <c r="AS700" s="20"/>
      <c r="AT700" s="52">
        <f t="shared" si="192"/>
        <v>0.23684135248980875</v>
      </c>
      <c r="AU700" s="52">
        <f t="shared" si="193"/>
        <v>69.297826796623369</v>
      </c>
      <c r="AV700" s="20"/>
      <c r="AW700" s="20"/>
      <c r="AX700" s="20">
        <f t="shared" si="179"/>
        <v>3.3095063147119057</v>
      </c>
      <c r="AY700" s="20">
        <f t="shared" si="180"/>
        <v>25.030224066054853</v>
      </c>
      <c r="AZ700" s="20"/>
      <c r="BA700" s="20">
        <f t="shared" si="181"/>
        <v>-1.2115161192882988</v>
      </c>
      <c r="BB700" s="20">
        <f t="shared" si="182"/>
        <v>8.2749758400069133</v>
      </c>
      <c r="BC700" s="20"/>
      <c r="BD700" s="20">
        <f t="shared" si="183"/>
        <v>-1.8611488429337981</v>
      </c>
      <c r="BE700" s="20">
        <f t="shared" si="184"/>
        <v>35.992626890561603</v>
      </c>
      <c r="BF700" s="20"/>
      <c r="BG700" s="54">
        <f t="shared" si="185"/>
        <v>143485.1552313776</v>
      </c>
      <c r="BH700" s="54">
        <f t="shared" si="186"/>
        <v>146290.25092916773</v>
      </c>
      <c r="BI700" s="54">
        <f t="shared" si="187"/>
        <v>119907.12896645351</v>
      </c>
      <c r="BJ700" s="20"/>
    </row>
    <row r="701" spans="37:62" x14ac:dyDescent="0.3">
      <c r="AK701">
        <v>697</v>
      </c>
      <c r="AL701">
        <v>348.5</v>
      </c>
      <c r="AN701" s="48">
        <f t="shared" si="188"/>
        <v>1699.4054168056239</v>
      </c>
      <c r="AO701" s="48">
        <f t="shared" si="189"/>
        <v>-136399.00511637994</v>
      </c>
      <c r="AP701" s="20"/>
      <c r="AQ701" s="50">
        <f t="shared" si="190"/>
        <v>1014.8193646710711</v>
      </c>
      <c r="AR701" s="50">
        <f t="shared" si="191"/>
        <v>-3286.3985859819227</v>
      </c>
      <c r="AS701" s="20"/>
      <c r="AT701" s="52">
        <f t="shared" si="192"/>
        <v>-1.3105858217991484E-2</v>
      </c>
      <c r="AU701" s="52">
        <f t="shared" si="193"/>
        <v>67.603805171263232</v>
      </c>
      <c r="AV701" s="20"/>
      <c r="AW701" s="20"/>
      <c r="AX701" s="20">
        <f t="shared" si="179"/>
        <v>3.1170932190475265</v>
      </c>
      <c r="AY701" s="20">
        <f t="shared" si="180"/>
        <v>24.509947534046695</v>
      </c>
      <c r="AZ701" s="20"/>
      <c r="BA701" s="20">
        <f t="shared" si="181"/>
        <v>-1.1981567021666395</v>
      </c>
      <c r="BB701" s="20">
        <f t="shared" si="182"/>
        <v>8.0835832043061018</v>
      </c>
      <c r="BC701" s="20"/>
      <c r="BD701" s="20">
        <f t="shared" si="183"/>
        <v>-1.9320423750988784</v>
      </c>
      <c r="BE701" s="20">
        <f t="shared" si="184"/>
        <v>35.010274432910435</v>
      </c>
      <c r="BF701" s="20"/>
      <c r="BG701" s="54">
        <f t="shared" si="185"/>
        <v>145058.04160949637</v>
      </c>
      <c r="BH701" s="54">
        <f t="shared" si="186"/>
        <v>147998.4219324947</v>
      </c>
      <c r="BI701" s="54">
        <f t="shared" si="187"/>
        <v>121583.7179731956</v>
      </c>
      <c r="BJ701" s="20"/>
    </row>
    <row r="702" spans="37:62" x14ac:dyDescent="0.3">
      <c r="AK702">
        <v>698</v>
      </c>
      <c r="AL702">
        <v>349</v>
      </c>
      <c r="AN702" s="48">
        <f t="shared" si="188"/>
        <v>2206.813460908882</v>
      </c>
      <c r="AO702" s="48">
        <f t="shared" si="189"/>
        <v>-138033.75393372448</v>
      </c>
      <c r="AP702" s="20"/>
      <c r="AQ702" s="50">
        <f t="shared" si="190"/>
        <v>1014.812811741962</v>
      </c>
      <c r="AR702" s="50">
        <f t="shared" si="191"/>
        <v>-3252.5966833962912</v>
      </c>
      <c r="AS702" s="20"/>
      <c r="AT702" s="52">
        <f t="shared" si="192"/>
        <v>-0.24573689687504952</v>
      </c>
      <c r="AU702" s="52">
        <f t="shared" si="193"/>
        <v>65.985513407844138</v>
      </c>
      <c r="AV702" s="20"/>
      <c r="AW702" s="20"/>
      <c r="AX702" s="20">
        <f t="shared" si="179"/>
        <v>2.9354327477836555</v>
      </c>
      <c r="AY702" s="20">
        <f t="shared" si="180"/>
        <v>24.00944576545562</v>
      </c>
      <c r="AZ702" s="20"/>
      <c r="BA702" s="20">
        <f t="shared" si="181"/>
        <v>-1.1851586072058413</v>
      </c>
      <c r="BB702" s="20">
        <f t="shared" si="182"/>
        <v>7.9004346094221036</v>
      </c>
      <c r="BC702" s="20"/>
      <c r="BD702" s="20">
        <f t="shared" si="183"/>
        <v>-1.9960110374528637</v>
      </c>
      <c r="BE702" s="20">
        <f t="shared" si="184"/>
        <v>34.075633032966422</v>
      </c>
      <c r="BF702" s="20"/>
      <c r="BG702" s="54">
        <f t="shared" si="185"/>
        <v>146617.43082340775</v>
      </c>
      <c r="BH702" s="54">
        <f t="shared" si="186"/>
        <v>149690.12949355776</v>
      </c>
      <c r="BI702" s="54">
        <f t="shared" si="187"/>
        <v>123244.64599845545</v>
      </c>
      <c r="BJ702" s="20"/>
    </row>
    <row r="703" spans="37:62" x14ac:dyDescent="0.3">
      <c r="AK703">
        <v>699</v>
      </c>
      <c r="AL703">
        <v>349.5</v>
      </c>
      <c r="AN703" s="48">
        <f t="shared" si="188"/>
        <v>2714.1891496677536</v>
      </c>
      <c r="AO703" s="48">
        <f t="shared" si="189"/>
        <v>-139651.80408624667</v>
      </c>
      <c r="AP703" s="20"/>
      <c r="AQ703" s="50">
        <f t="shared" si="190"/>
        <v>1014.6899432935245</v>
      </c>
      <c r="AR703" s="50">
        <f t="shared" si="191"/>
        <v>-3219.603926692369</v>
      </c>
      <c r="AS703" s="20"/>
      <c r="AT703" s="52">
        <f t="shared" si="192"/>
        <v>-0.46244245806734008</v>
      </c>
      <c r="AU703" s="52">
        <f t="shared" si="193"/>
        <v>64.43817194342941</v>
      </c>
      <c r="AV703" s="20"/>
      <c r="AW703" s="20"/>
      <c r="AX703" s="20">
        <f t="shared" si="179"/>
        <v>2.7637772002840437</v>
      </c>
      <c r="AY703" s="20">
        <f t="shared" si="180"/>
        <v>23.527666977011719</v>
      </c>
      <c r="AZ703" s="20"/>
      <c r="BA703" s="20">
        <f t="shared" si="181"/>
        <v>-1.1725063960414606</v>
      </c>
      <c r="BB703" s="20">
        <f t="shared" si="182"/>
        <v>7.725025811578857</v>
      </c>
      <c r="BC703" s="20"/>
      <c r="BD703" s="20">
        <f t="shared" si="183"/>
        <v>-2.0537132623099232</v>
      </c>
      <c r="BE703" s="20">
        <f t="shared" si="184"/>
        <v>33.185479154838831</v>
      </c>
      <c r="BF703" s="20"/>
      <c r="BG703" s="54">
        <f t="shared" si="185"/>
        <v>148163.60113938438</v>
      </c>
      <c r="BH703" s="54">
        <f t="shared" si="186"/>
        <v>151365.771741815</v>
      </c>
      <c r="BI703" s="54">
        <f t="shared" si="187"/>
        <v>124890.27574712482</v>
      </c>
      <c r="BJ703" s="20"/>
    </row>
    <row r="704" spans="37:62" x14ac:dyDescent="0.3">
      <c r="AK704">
        <v>700</v>
      </c>
      <c r="AL704">
        <v>350</v>
      </c>
      <c r="AN704" s="48">
        <f t="shared" si="188"/>
        <v>3221.4763160072571</v>
      </c>
      <c r="AO704" s="48">
        <f t="shared" si="189"/>
        <v>-141253.55127809994</v>
      </c>
      <c r="AP704" s="20"/>
      <c r="AQ704" s="50">
        <f t="shared" si="190"/>
        <v>1014.4587220644909</v>
      </c>
      <c r="AR704" s="50">
        <f t="shared" si="191"/>
        <v>-3187.3848407206542</v>
      </c>
      <c r="AS704" s="20"/>
      <c r="AT704" s="52">
        <f t="shared" si="192"/>
        <v>-0.66448102188647851</v>
      </c>
      <c r="AU704" s="52">
        <f t="shared" si="193"/>
        <v>62.95738803530228</v>
      </c>
      <c r="AV704" s="20"/>
      <c r="AW704" s="20"/>
      <c r="AX704" s="20">
        <f t="shared" si="179"/>
        <v>2.6014415684672083</v>
      </c>
      <c r="AY704" s="20">
        <f t="shared" si="180"/>
        <v>23.06363056966407</v>
      </c>
      <c r="AZ704" s="20"/>
      <c r="BA704" s="20">
        <f t="shared" si="181"/>
        <v>-1.1601856107817381</v>
      </c>
      <c r="BB704" s="20">
        <f t="shared" si="182"/>
        <v>7.5568922227190276</v>
      </c>
      <c r="BC704" s="20"/>
      <c r="BD704" s="20">
        <f t="shared" si="183"/>
        <v>-2.1057369795719487</v>
      </c>
      <c r="BE704" s="20">
        <f t="shared" si="184"/>
        <v>32.336865242919181</v>
      </c>
      <c r="BF704" s="20"/>
      <c r="BG704" s="54">
        <f t="shared" si="185"/>
        <v>149696.8198555354</v>
      </c>
      <c r="BH704" s="54">
        <f t="shared" si="186"/>
        <v>153025.72900179791</v>
      </c>
      <c r="BI704" s="54">
        <f t="shared" si="187"/>
        <v>126520.95432435878</v>
      </c>
      <c r="BJ704" s="20"/>
    </row>
    <row r="705" spans="37:62" x14ac:dyDescent="0.3">
      <c r="AK705">
        <v>701</v>
      </c>
      <c r="AL705">
        <v>350.5</v>
      </c>
      <c r="AN705" s="48">
        <f t="shared" si="188"/>
        <v>3728.6226169117667</v>
      </c>
      <c r="AO705" s="48">
        <f t="shared" si="189"/>
        <v>-142839.37402495588</v>
      </c>
      <c r="AP705" s="20"/>
      <c r="AQ705" s="50">
        <f t="shared" si="190"/>
        <v>1014.1264815535476</v>
      </c>
      <c r="AR705" s="50">
        <f t="shared" si="191"/>
        <v>-3155.9061467030033</v>
      </c>
      <c r="AS705" s="20"/>
      <c r="AT705" s="52">
        <f t="shared" si="192"/>
        <v>-0.85299348421019339</v>
      </c>
      <c r="AU705" s="52">
        <f t="shared" si="193"/>
        <v>61.539117798709611</v>
      </c>
      <c r="AV705" s="20"/>
      <c r="AW705" s="20"/>
      <c r="AX705" s="20">
        <f t="shared" si="179"/>
        <v>2.4477973843284073</v>
      </c>
      <c r="AY705" s="20">
        <f t="shared" si="180"/>
        <v>22.616421329047458</v>
      </c>
      <c r="AZ705" s="20"/>
      <c r="BA705" s="20">
        <f t="shared" si="181"/>
        <v>-1.1481826860761015</v>
      </c>
      <c r="BB705" s="20">
        <f t="shared" si="182"/>
        <v>7.3956051237921843</v>
      </c>
      <c r="BC705" s="20"/>
      <c r="BD705" s="20">
        <f t="shared" si="183"/>
        <v>-2.1526081824624992</v>
      </c>
      <c r="BE705" s="20">
        <f t="shared" si="184"/>
        <v>31.527091345869973</v>
      </c>
      <c r="BF705" s="20"/>
      <c r="BG705" s="54">
        <f t="shared" si="185"/>
        <v>151217.34392641095</v>
      </c>
      <c r="BH705" s="54">
        <f t="shared" si="186"/>
        <v>154670.36491725291</v>
      </c>
      <c r="BI705" s="54">
        <f t="shared" si="187"/>
        <v>128137.01418357238</v>
      </c>
      <c r="BJ705" s="20"/>
    </row>
    <row r="706" spans="37:62" x14ac:dyDescent="0.3">
      <c r="AK706">
        <v>702</v>
      </c>
      <c r="AL706">
        <v>351</v>
      </c>
      <c r="AN706" s="48">
        <f t="shared" si="188"/>
        <v>4235.5792335030146</v>
      </c>
      <c r="AO706" s="48">
        <f t="shared" si="189"/>
        <v>-144409.63470858254</v>
      </c>
      <c r="AP706" s="20"/>
      <c r="AQ706" s="50">
        <f t="shared" si="190"/>
        <v>1013.6999848114425</v>
      </c>
      <c r="AR706" s="50">
        <f t="shared" si="191"/>
        <v>-3125.1365878036486</v>
      </c>
      <c r="AS706" s="20"/>
      <c r="AT706" s="52">
        <f t="shared" si="192"/>
        <v>-1.0290159391013802</v>
      </c>
      <c r="AU706" s="52">
        <f t="shared" si="193"/>
        <v>60.179632600992178</v>
      </c>
      <c r="AV706" s="20"/>
      <c r="AW706" s="20"/>
      <c r="AX706" s="20">
        <f t="shared" si="179"/>
        <v>2.3022672576518879</v>
      </c>
      <c r="AY706" s="20">
        <f t="shared" si="180"/>
        <v>22.185184174650992</v>
      </c>
      <c r="AZ706" s="20"/>
      <c r="BA706" s="20">
        <f t="shared" si="181"/>
        <v>-1.1364848715958005</v>
      </c>
      <c r="BB706" s="20">
        <f t="shared" si="182"/>
        <v>7.240768301190438</v>
      </c>
      <c r="BC706" s="20"/>
      <c r="BD706" s="20">
        <f t="shared" si="183"/>
        <v>-2.1947983251574676</v>
      </c>
      <c r="BE706" s="20">
        <f t="shared" si="184"/>
        <v>30.753680125150748</v>
      </c>
      <c r="BF706" s="20"/>
      <c r="BG706" s="54">
        <f t="shared" si="185"/>
        <v>152725.42054091109</v>
      </c>
      <c r="BH706" s="54">
        <f t="shared" si="186"/>
        <v>156300.02748439074</v>
      </c>
      <c r="BI706" s="54">
        <f t="shared" si="187"/>
        <v>129738.77400063207</v>
      </c>
      <c r="BJ706" s="20"/>
    </row>
    <row r="707" spans="37:62" x14ac:dyDescent="0.3">
      <c r="AK707">
        <v>703</v>
      </c>
      <c r="AL707">
        <v>351.5</v>
      </c>
      <c r="AN707" s="48">
        <f t="shared" si="188"/>
        <v>4742.3005989163485</v>
      </c>
      <c r="AO707" s="48">
        <f t="shared" si="189"/>
        <v>-145964.68054840923</v>
      </c>
      <c r="AP707" s="20"/>
      <c r="AQ707" s="50">
        <f t="shared" si="190"/>
        <v>1013.1854768418918</v>
      </c>
      <c r="AR707" s="50">
        <f t="shared" si="191"/>
        <v>-3095.0467715031523</v>
      </c>
      <c r="AS707" s="20"/>
      <c r="AT707" s="52">
        <f t="shared" si="192"/>
        <v>-1.1934908752720592</v>
      </c>
      <c r="AU707" s="52">
        <f t="shared" si="193"/>
        <v>58.875489242326296</v>
      </c>
      <c r="AV707" s="20"/>
      <c r="AW707" s="20"/>
      <c r="AX707" s="20">
        <f t="shared" si="179"/>
        <v>2.1643200170101373</v>
      </c>
      <c r="AY707" s="20">
        <f t="shared" si="180"/>
        <v>21.769119398917915</v>
      </c>
      <c r="AZ707" s="20"/>
      <c r="BA707" s="20">
        <f t="shared" si="181"/>
        <v>-1.12508016341676</v>
      </c>
      <c r="BB707" s="20">
        <f t="shared" si="182"/>
        <v>7.092015052405122</v>
      </c>
      <c r="BC707" s="20"/>
      <c r="BD707" s="20">
        <f t="shared" si="183"/>
        <v>-2.2327307288654366</v>
      </c>
      <c r="BE707" s="20">
        <f t="shared" si="184"/>
        <v>30.014354791003257</v>
      </c>
      <c r="BF707" s="20"/>
      <c r="BG707" s="54">
        <f t="shared" si="185"/>
        <v>154221.28765782993</v>
      </c>
      <c r="BH707" s="54">
        <f t="shared" si="186"/>
        <v>157915.05000314084</v>
      </c>
      <c r="BI707" s="54">
        <f t="shared" si="187"/>
        <v>131326.53948119751</v>
      </c>
      <c r="BJ707" s="20"/>
    </row>
    <row r="708" spans="37:62" x14ac:dyDescent="0.3">
      <c r="AK708">
        <v>704</v>
      </c>
      <c r="AL708">
        <v>352</v>
      </c>
      <c r="AN708" s="48">
        <f t="shared" si="188"/>
        <v>5248.7441509778855</v>
      </c>
      <c r="AO708" s="48">
        <f t="shared" si="189"/>
        <v>-147504.84449800552</v>
      </c>
      <c r="AP708" s="20"/>
      <c r="AQ708" s="50">
        <f t="shared" si="190"/>
        <v>1012.5887314042558</v>
      </c>
      <c r="AR708" s="50">
        <f t="shared" si="191"/>
        <v>-3065.6090268819889</v>
      </c>
      <c r="AS708" s="20"/>
      <c r="AT708" s="52">
        <f t="shared" si="192"/>
        <v>-1.3472770074653477</v>
      </c>
      <c r="AU708" s="52">
        <f t="shared" si="193"/>
        <v>57.623503436655568</v>
      </c>
      <c r="AV708" s="20"/>
      <c r="AW708" s="20"/>
      <c r="AX708" s="20">
        <f t="shared" ref="AX708:AX771" si="194">Masse_1*(q_1x-AN708)/($BG708^2+Aarseth_1^2)^(3/2)</f>
        <v>2.0334663792534218</v>
      </c>
      <c r="AY708" s="20">
        <f t="shared" ref="AY708:AY771" si="195">Masse_1*(q_1y-AO708)/($BG708^2+Aarseth_1^2)^(3/2)</f>
        <v>21.367478344495929</v>
      </c>
      <c r="AZ708" s="20"/>
      <c r="BA708" s="20">
        <f t="shared" ref="BA708:BA771" si="196">Masse_2*(q_2x-AN708)/($BH708^2+Aarseth_2^2)^(3/2)</f>
        <v>-1.113957243047474</v>
      </c>
      <c r="BB708" s="20">
        <f t="shared" ref="BB708:BB771" si="197">Masse_2*(q_2y-AO708)/($BH708^2+Aarseth_2^2)^(3/2)</f>
        <v>6.9490055146692891</v>
      </c>
      <c r="BC708" s="20"/>
      <c r="BD708" s="20">
        <f t="shared" ref="BD708:BD771" si="198">Masse_3*(q_3x-AN708)/($BI708^2+Aarseth_3^2)^(3/2)</f>
        <v>-2.2667861436712955</v>
      </c>
      <c r="BE708" s="20">
        <f t="shared" ref="BE708:BE771" si="199">Masse_3*(q_3y-AO708)/($BI708^2+Aarseth_3^2)^(3/2)</f>
        <v>29.307019577490347</v>
      </c>
      <c r="BF708" s="20"/>
      <c r="BG708" s="54">
        <f t="shared" ref="BG708:BG771" si="200">SQRT((q_1x-AN708)^2+(q_1y-AO708)^2)</f>
        <v>155705.17450288602</v>
      </c>
      <c r="BH708" s="54">
        <f t="shared" ref="BH708:BH771" si="201">SQRT((q_2x-AN708)^2+(q_2y-AO708)^2)</f>
        <v>159515.75195428959</v>
      </c>
      <c r="BI708" s="54">
        <f t="shared" ref="BI708:BI771" si="202">SQRT((q_3x-AN708)^2+(q_3y-AO708)^2)</f>
        <v>132900.6041074036</v>
      </c>
      <c r="BJ708" s="20"/>
    </row>
    <row r="709" spans="37:62" x14ac:dyDescent="0.3">
      <c r="AK709">
        <v>705</v>
      </c>
      <c r="AL709">
        <v>352.5</v>
      </c>
      <c r="AN709" s="48">
        <f t="shared" ref="AN709:AN772" si="203">AN708+(AQ708*bt)+(0.5*AT708)*bt^2</f>
        <v>5754.8701070540801</v>
      </c>
      <c r="AO709" s="48">
        <f t="shared" ref="AO709:AO772" si="204">AO708+(AR708*bt)+(0.5*AU708)*bt^2</f>
        <v>-149030.44607351694</v>
      </c>
      <c r="AP709" s="20"/>
      <c r="AQ709" s="50">
        <f t="shared" ref="AQ709:AQ772" si="205">AQ708+(AT708*bt)</f>
        <v>1011.9150929005231</v>
      </c>
      <c r="AR709" s="50">
        <f t="shared" ref="AR709:AR772" si="206">AR708+(AU708*bt)</f>
        <v>-3036.7972751636612</v>
      </c>
      <c r="AS709" s="20"/>
      <c r="AT709" s="52">
        <f t="shared" si="192"/>
        <v>-1.4911579295639059</v>
      </c>
      <c r="AU709" s="52">
        <f t="shared" si="193"/>
        <v>56.420726176261695</v>
      </c>
      <c r="AV709" s="20"/>
      <c r="AW709" s="20"/>
      <c r="AX709" s="20">
        <f t="shared" si="194"/>
        <v>1.9092550829549986</v>
      </c>
      <c r="AY709" s="20">
        <f t="shared" si="195"/>
        <v>20.979559473941126</v>
      </c>
      <c r="AZ709" s="20"/>
      <c r="BA709" s="20">
        <f t="shared" si="196"/>
        <v>-1.1031054230501831</v>
      </c>
      <c r="BB709" s="20">
        <f t="shared" si="197"/>
        <v>6.8114242768297988</v>
      </c>
      <c r="BC709" s="20"/>
      <c r="BD709" s="20">
        <f t="shared" si="198"/>
        <v>-2.2973075894687214</v>
      </c>
      <c r="BE709" s="20">
        <f t="shared" si="199"/>
        <v>28.629742425490768</v>
      </c>
      <c r="BF709" s="20"/>
      <c r="BG709" s="54">
        <f t="shared" si="200"/>
        <v>157177.30203067203</v>
      </c>
      <c r="BH709" s="54">
        <f t="shared" si="201"/>
        <v>161102.43980949826</v>
      </c>
      <c r="BI709" s="54">
        <f t="shared" si="202"/>
        <v>134461.24982940452</v>
      </c>
      <c r="BJ709" s="20"/>
    </row>
    <row r="710" spans="37:62" x14ac:dyDescent="0.3">
      <c r="AK710">
        <v>706</v>
      </c>
      <c r="AL710">
        <v>353</v>
      </c>
      <c r="AN710" s="48">
        <f t="shared" si="203"/>
        <v>6260.6412587631457</v>
      </c>
      <c r="AO710" s="48">
        <f t="shared" si="204"/>
        <v>-150541.79212032672</v>
      </c>
      <c r="AP710" s="20"/>
      <c r="AQ710" s="50">
        <f t="shared" si="205"/>
        <v>1011.1695139357411</v>
      </c>
      <c r="AR710" s="50">
        <f t="shared" si="206"/>
        <v>-3008.5869120755306</v>
      </c>
      <c r="AS710" s="20"/>
      <c r="AT710" s="52">
        <f t="shared" si="192"/>
        <v>-1.6258497479341971</v>
      </c>
      <c r="AU710" s="52">
        <f t="shared" si="193"/>
        <v>55.264422622272335</v>
      </c>
      <c r="AV710" s="20"/>
      <c r="AW710" s="20"/>
      <c r="AX710" s="20">
        <f t="shared" si="194"/>
        <v>1.7912694299990541</v>
      </c>
      <c r="AY710" s="20">
        <f t="shared" si="195"/>
        <v>20.604704791478618</v>
      </c>
      <c r="AZ710" s="20"/>
      <c r="BA710" s="20">
        <f t="shared" si="196"/>
        <v>-1.0925145983719373</v>
      </c>
      <c r="BB710" s="20">
        <f t="shared" si="197"/>
        <v>6.6789782401722935</v>
      </c>
      <c r="BC710" s="20"/>
      <c r="BD710" s="20">
        <f t="shared" si="198"/>
        <v>-2.3246045795613139</v>
      </c>
      <c r="BE710" s="20">
        <f t="shared" si="199"/>
        <v>27.980739590621429</v>
      </c>
      <c r="BF710" s="20"/>
      <c r="BG710" s="54">
        <f t="shared" si="200"/>
        <v>158637.88335459147</v>
      </c>
      <c r="BH710" s="54">
        <f t="shared" si="201"/>
        <v>162675.4077804253</v>
      </c>
      <c r="BI710" s="54">
        <f t="shared" si="202"/>
        <v>136008.74770671342</v>
      </c>
      <c r="BJ710" s="20"/>
    </row>
    <row r="711" spans="37:62" x14ac:dyDescent="0.3">
      <c r="AK711">
        <v>707</v>
      </c>
      <c r="AL711">
        <v>353.5</v>
      </c>
      <c r="AN711" s="48">
        <f t="shared" si="203"/>
        <v>6766.0227845125246</v>
      </c>
      <c r="AO711" s="48">
        <f t="shared" si="204"/>
        <v>-152039.17752353669</v>
      </c>
      <c r="AP711" s="20"/>
      <c r="AQ711" s="50">
        <f t="shared" si="205"/>
        <v>1010.356589061774</v>
      </c>
      <c r="AR711" s="50">
        <f t="shared" si="206"/>
        <v>-2980.9547007643946</v>
      </c>
      <c r="AS711" s="20"/>
      <c r="AT711" s="52">
        <f t="shared" si="192"/>
        <v>-1.7520078299069777</v>
      </c>
      <c r="AU711" s="52">
        <f t="shared" si="193"/>
        <v>54.152053213054032</v>
      </c>
      <c r="AV711" s="20"/>
      <c r="AW711" s="20"/>
      <c r="AX711" s="20">
        <f t="shared" si="194"/>
        <v>1.6791241869300062</v>
      </c>
      <c r="AY711" s="20">
        <f t="shared" si="195"/>
        <v>20.242296581045071</v>
      </c>
      <c r="AZ711" s="20"/>
      <c r="BA711" s="20">
        <f t="shared" si="196"/>
        <v>-1.0821752026404836</v>
      </c>
      <c r="BB711" s="20">
        <f t="shared" si="197"/>
        <v>6.5513946985689335</v>
      </c>
      <c r="BC711" s="20"/>
      <c r="BD711" s="20">
        <f t="shared" si="198"/>
        <v>-2.3489568141965003</v>
      </c>
      <c r="BE711" s="20">
        <f t="shared" si="199"/>
        <v>27.358361933440023</v>
      </c>
      <c r="BF711" s="20"/>
      <c r="BG711" s="54">
        <f t="shared" si="200"/>
        <v>160087.12414752971</v>
      </c>
      <c r="BH711" s="54">
        <f t="shared" si="201"/>
        <v>164234.93851250189</v>
      </c>
      <c r="BI711" s="54">
        <f t="shared" si="202"/>
        <v>137543.35850375719</v>
      </c>
      <c r="BJ711" s="20"/>
    </row>
    <row r="712" spans="37:62" x14ac:dyDescent="0.3">
      <c r="AK712">
        <v>708</v>
      </c>
      <c r="AL712">
        <v>354</v>
      </c>
      <c r="AN712" s="48">
        <f t="shared" si="203"/>
        <v>7270.9820780646733</v>
      </c>
      <c r="AO712" s="48">
        <f t="shared" si="204"/>
        <v>-153522.88586726726</v>
      </c>
      <c r="AP712" s="20"/>
      <c r="AQ712" s="50">
        <f t="shared" si="205"/>
        <v>1009.4805851468205</v>
      </c>
      <c r="AR712" s="50">
        <f t="shared" si="206"/>
        <v>-2953.8786741578674</v>
      </c>
      <c r="AS712" s="20"/>
      <c r="AT712" s="52">
        <f t="shared" si="192"/>
        <v>-1.8702327825342835</v>
      </c>
      <c r="AU712" s="52">
        <f t="shared" si="193"/>
        <v>53.081256724506517</v>
      </c>
      <c r="AV712" s="20"/>
      <c r="AW712" s="20"/>
      <c r="AX712" s="20">
        <f t="shared" si="194"/>
        <v>1.5724628040313584</v>
      </c>
      <c r="AY712" s="20">
        <f t="shared" si="195"/>
        <v>19.891754428889001</v>
      </c>
      <c r="AZ712" s="20"/>
      <c r="BA712" s="20">
        <f t="shared" si="196"/>
        <v>-1.0720781687935497</v>
      </c>
      <c r="BB712" s="20">
        <f t="shared" si="197"/>
        <v>6.4284196122671364</v>
      </c>
      <c r="BC712" s="20"/>
      <c r="BD712" s="20">
        <f t="shared" si="198"/>
        <v>-2.3706174177720922</v>
      </c>
      <c r="BE712" s="20">
        <f t="shared" si="199"/>
        <v>26.761082683350381</v>
      </c>
      <c r="BF712" s="20"/>
      <c r="BG712" s="54">
        <f t="shared" si="200"/>
        <v>161525.22301572573</v>
      </c>
      <c r="BH712" s="54">
        <f t="shared" si="201"/>
        <v>165781.30372831988</v>
      </c>
      <c r="BI712" s="54">
        <f t="shared" si="202"/>
        <v>139065.33324360941</v>
      </c>
      <c r="BJ712" s="20"/>
    </row>
    <row r="713" spans="37:62" x14ac:dyDescent="0.3">
      <c r="AK713">
        <v>709</v>
      </c>
      <c r="AL713">
        <v>354.5</v>
      </c>
      <c r="AN713" s="48">
        <f t="shared" si="203"/>
        <v>7775.4885915402665</v>
      </c>
      <c r="AO713" s="48">
        <f t="shared" si="204"/>
        <v>-154993.19004725566</v>
      </c>
      <c r="AP713" s="20"/>
      <c r="AQ713" s="50">
        <f t="shared" si="205"/>
        <v>1008.5454687555534</v>
      </c>
      <c r="AR713" s="50">
        <f t="shared" si="206"/>
        <v>-2927.3380457956141</v>
      </c>
      <c r="AS713" s="20"/>
      <c r="AT713" s="52">
        <f t="shared" si="192"/>
        <v>-1.9810757601729436</v>
      </c>
      <c r="AU713" s="52">
        <f t="shared" si="193"/>
        <v>52.049835052000098</v>
      </c>
      <c r="AV713" s="20"/>
      <c r="AW713" s="20"/>
      <c r="AX713" s="20">
        <f t="shared" si="194"/>
        <v>1.470954915539102</v>
      </c>
      <c r="AY713" s="20">
        <f t="shared" si="195"/>
        <v>19.552532502544924</v>
      </c>
      <c r="AZ713" s="20"/>
      <c r="BA713" s="20">
        <f t="shared" si="196"/>
        <v>-1.0622148935048648</v>
      </c>
      <c r="BB713" s="20">
        <f t="shared" si="197"/>
        <v>6.3098160530091612</v>
      </c>
      <c r="BC713" s="20"/>
      <c r="BD713" s="20">
        <f t="shared" si="198"/>
        <v>-2.3898157822071808</v>
      </c>
      <c r="BE713" s="20">
        <f t="shared" si="199"/>
        <v>26.187486496446013</v>
      </c>
      <c r="BF713" s="20"/>
      <c r="BG713" s="54">
        <f t="shared" si="200"/>
        <v>162952.37184806212</v>
      </c>
      <c r="BH713" s="54">
        <f t="shared" si="201"/>
        <v>167314.76482507039</v>
      </c>
      <c r="BI713" s="54">
        <f t="shared" si="202"/>
        <v>140574.91372346497</v>
      </c>
      <c r="BJ713" s="20"/>
    </row>
    <row r="714" spans="37:62" x14ac:dyDescent="0.3">
      <c r="AK714">
        <v>710</v>
      </c>
      <c r="AL714">
        <v>355</v>
      </c>
      <c r="AN714" s="48">
        <f t="shared" si="203"/>
        <v>8279.5136914480227</v>
      </c>
      <c r="AO714" s="48">
        <f t="shared" si="204"/>
        <v>-156450.35284077196</v>
      </c>
      <c r="AP714" s="20"/>
      <c r="AQ714" s="50">
        <f t="shared" si="205"/>
        <v>1007.554930875467</v>
      </c>
      <c r="AR714" s="50">
        <f t="shared" si="206"/>
        <v>-2901.313128269614</v>
      </c>
      <c r="AS714" s="20"/>
      <c r="AT714" s="52">
        <f t="shared" si="192"/>
        <v>-2.0850431854704228</v>
      </c>
      <c r="AU714" s="52">
        <f t="shared" si="193"/>
        <v>51.05573951412434</v>
      </c>
      <c r="AV714" s="20"/>
      <c r="AW714" s="20"/>
      <c r="AX714" s="20">
        <f t="shared" si="194"/>
        <v>1.3742940890622104</v>
      </c>
      <c r="AY714" s="20">
        <f t="shared" si="195"/>
        <v>19.224117061109695</v>
      </c>
      <c r="AZ714" s="20"/>
      <c r="BA714" s="20">
        <f t="shared" si="196"/>
        <v>-1.0525772049484849</v>
      </c>
      <c r="BB714" s="20">
        <f t="shared" si="197"/>
        <v>6.195362801051683</v>
      </c>
      <c r="BC714" s="20"/>
      <c r="BD714" s="20">
        <f t="shared" si="198"/>
        <v>-2.406760069584148</v>
      </c>
      <c r="BE714" s="20">
        <f t="shared" si="199"/>
        <v>25.636259651962959</v>
      </c>
      <c r="BF714" s="20"/>
      <c r="BG714" s="54">
        <f t="shared" si="200"/>
        <v>164368.75614277361</v>
      </c>
      <c r="BH714" s="54">
        <f t="shared" si="201"/>
        <v>168835.57343001588</v>
      </c>
      <c r="BI714" s="54">
        <f t="shared" si="202"/>
        <v>142072.3329950636</v>
      </c>
      <c r="BJ714" s="20"/>
    </row>
    <row r="715" spans="37:62" x14ac:dyDescent="0.3">
      <c r="AK715">
        <v>711</v>
      </c>
      <c r="AL715">
        <v>355.5</v>
      </c>
      <c r="AN715" s="48">
        <f t="shared" si="203"/>
        <v>8783.0305264875733</v>
      </c>
      <c r="AO715" s="48">
        <f t="shared" si="204"/>
        <v>-157894.62743746751</v>
      </c>
      <c r="AP715" s="20"/>
      <c r="AQ715" s="50">
        <f t="shared" si="205"/>
        <v>1006.5124092827318</v>
      </c>
      <c r="AR715" s="50">
        <f t="shared" si="206"/>
        <v>-2875.785258512552</v>
      </c>
      <c r="AS715" s="20"/>
      <c r="AT715" s="52">
        <f t="shared" si="192"/>
        <v>-2.1826009565254259</v>
      </c>
      <c r="AU715" s="52">
        <f t="shared" si="193"/>
        <v>50.097058504406149</v>
      </c>
      <c r="AV715" s="20"/>
      <c r="AW715" s="20"/>
      <c r="AX715" s="20">
        <f t="shared" si="194"/>
        <v>1.2821957962981729</v>
      </c>
      <c r="AY715" s="20">
        <f t="shared" si="195"/>
        <v>18.906024174479391</v>
      </c>
      <c r="AZ715" s="20"/>
      <c r="BA715" s="20">
        <f t="shared" si="196"/>
        <v>-1.0431573335087447</v>
      </c>
      <c r="BB715" s="20">
        <f t="shared" si="197"/>
        <v>6.0848530771261133</v>
      </c>
      <c r="BC715" s="20"/>
      <c r="BD715" s="20">
        <f t="shared" si="198"/>
        <v>-2.4216394193148543</v>
      </c>
      <c r="BE715" s="20">
        <f t="shared" si="199"/>
        <v>25.106181252800646</v>
      </c>
      <c r="BF715" s="20"/>
      <c r="BG715" s="54">
        <f t="shared" si="200"/>
        <v>165774.55531337851</v>
      </c>
      <c r="BH715" s="54">
        <f t="shared" si="201"/>
        <v>170343.97191757252</v>
      </c>
      <c r="BI715" s="54">
        <f t="shared" si="202"/>
        <v>143557.81581295645</v>
      </c>
      <c r="BJ715" s="20"/>
    </row>
    <row r="716" spans="37:62" x14ac:dyDescent="0.3">
      <c r="AK716">
        <v>712</v>
      </c>
      <c r="AL716">
        <v>356</v>
      </c>
      <c r="AN716" s="48">
        <f t="shared" si="203"/>
        <v>9286.0139060093734</v>
      </c>
      <c r="AO716" s="48">
        <f t="shared" si="204"/>
        <v>-159326.25793441074</v>
      </c>
      <c r="AP716" s="20"/>
      <c r="AQ716" s="50">
        <f t="shared" si="205"/>
        <v>1005.4211088044691</v>
      </c>
      <c r="AR716" s="50">
        <f t="shared" si="206"/>
        <v>-2850.736729260349</v>
      </c>
      <c r="AS716" s="20"/>
      <c r="AT716" s="52">
        <f t="shared" si="192"/>
        <v>-2.2741782029959565</v>
      </c>
      <c r="AU716" s="52">
        <f t="shared" si="193"/>
        <v>49.172006339417891</v>
      </c>
      <c r="AV716" s="20"/>
      <c r="AW716" s="20"/>
      <c r="AX716" s="20">
        <f t="shared" si="194"/>
        <v>1.1943955805944484</v>
      </c>
      <c r="AY716" s="20">
        <f t="shared" si="195"/>
        <v>18.597797631614512</v>
      </c>
      <c r="AZ716" s="20"/>
      <c r="BA716" s="20">
        <f t="shared" si="196"/>
        <v>-1.0339478850979107</v>
      </c>
      <c r="BB716" s="20">
        <f t="shared" si="197"/>
        <v>5.9780933945026478</v>
      </c>
      <c r="BC716" s="20"/>
      <c r="BD716" s="20">
        <f t="shared" si="198"/>
        <v>-2.4346258984924942</v>
      </c>
      <c r="BE716" s="20">
        <f t="shared" si="199"/>
        <v>24.596115313300729</v>
      </c>
      <c r="BF716" s="20"/>
      <c r="BG716" s="54">
        <f t="shared" si="200"/>
        <v>167169.94297546663</v>
      </c>
      <c r="BH716" s="54">
        <f t="shared" si="201"/>
        <v>171840.19389122433</v>
      </c>
      <c r="BI716" s="54">
        <f t="shared" si="202"/>
        <v>145031.57905322811</v>
      </c>
      <c r="BJ716" s="20"/>
    </row>
    <row r="717" spans="37:62" x14ac:dyDescent="0.3">
      <c r="AK717">
        <v>713</v>
      </c>
      <c r="AL717">
        <v>356.5</v>
      </c>
      <c r="AN717" s="48">
        <f t="shared" si="203"/>
        <v>9788.4401881362337</v>
      </c>
      <c r="AO717" s="48">
        <f t="shared" si="204"/>
        <v>-160745.47979824847</v>
      </c>
      <c r="AP717" s="20"/>
      <c r="AQ717" s="50">
        <f t="shared" si="205"/>
        <v>1004.2840197029711</v>
      </c>
      <c r="AR717" s="50">
        <f t="shared" si="206"/>
        <v>-2826.1507260906401</v>
      </c>
      <c r="AS717" s="20"/>
      <c r="AT717" s="52">
        <f t="shared" si="192"/>
        <v>-2.3601706454329952</v>
      </c>
      <c r="AU717" s="52">
        <f t="shared" si="193"/>
        <v>48.278913170800116</v>
      </c>
      <c r="AV717" s="20"/>
      <c r="AW717" s="20"/>
      <c r="AX717" s="20">
        <f t="shared" si="194"/>
        <v>1.1106473998987041</v>
      </c>
      <c r="AY717" s="20">
        <f t="shared" si="195"/>
        <v>18.299007020018571</v>
      </c>
      <c r="AZ717" s="20"/>
      <c r="BA717" s="20">
        <f t="shared" si="196"/>
        <v>-1.0249418167898248</v>
      </c>
      <c r="BB717" s="20">
        <f t="shared" si="197"/>
        <v>5.8749025181508348</v>
      </c>
      <c r="BC717" s="20"/>
      <c r="BD717" s="20">
        <f t="shared" si="198"/>
        <v>-2.4458762285418745</v>
      </c>
      <c r="BE717" s="20">
        <f t="shared" si="199"/>
        <v>24.105003632630712</v>
      </c>
      <c r="BF717" s="20"/>
      <c r="BG717" s="54">
        <f t="shared" si="200"/>
        <v>168555.0872158242</v>
      </c>
      <c r="BH717" s="54">
        <f t="shared" si="201"/>
        <v>173324.4646331736</v>
      </c>
      <c r="BI717" s="54">
        <f t="shared" si="202"/>
        <v>146493.83210504029</v>
      </c>
      <c r="BJ717" s="20"/>
    </row>
    <row r="718" spans="37:62" x14ac:dyDescent="0.3">
      <c r="AK718">
        <v>714</v>
      </c>
      <c r="AL718">
        <v>357</v>
      </c>
      <c r="AN718" s="48">
        <f t="shared" si="203"/>
        <v>10290.287176657041</v>
      </c>
      <c r="AO718" s="48">
        <f t="shared" si="204"/>
        <v>-162152.52029714745</v>
      </c>
      <c r="AP718" s="20"/>
      <c r="AQ718" s="50">
        <f t="shared" si="205"/>
        <v>1003.1039343802546</v>
      </c>
      <c r="AR718" s="50">
        <f t="shared" si="206"/>
        <v>-2802.0112695052399</v>
      </c>
      <c r="AS718" s="20"/>
      <c r="AT718" s="52">
        <f t="shared" si="192"/>
        <v>-2.4409436048824578</v>
      </c>
      <c r="AU718" s="52">
        <f t="shared" si="193"/>
        <v>47.416215845173014</v>
      </c>
      <c r="AV718" s="20"/>
      <c r="AW718" s="20"/>
      <c r="AX718" s="20">
        <f t="shared" si="194"/>
        <v>1.0307221262320732</v>
      </c>
      <c r="AY718" s="20">
        <f t="shared" si="195"/>
        <v>18.00924596048986</v>
      </c>
      <c r="AZ718" s="20"/>
      <c r="BA718" s="20">
        <f t="shared" si="196"/>
        <v>-1.0161324145169548</v>
      </c>
      <c r="BB718" s="20">
        <f t="shared" si="197"/>
        <v>5.7751105195703678</v>
      </c>
      <c r="BC718" s="20"/>
      <c r="BD718" s="20">
        <f t="shared" si="198"/>
        <v>-2.4555333165975761</v>
      </c>
      <c r="BE718" s="20">
        <f t="shared" si="199"/>
        <v>23.631859365112788</v>
      </c>
      <c r="BF718" s="20"/>
      <c r="BG718" s="54">
        <f t="shared" si="200"/>
        <v>169930.1508452394</v>
      </c>
      <c r="BH718" s="54">
        <f t="shared" si="201"/>
        <v>174797.00152435142</v>
      </c>
      <c r="BI718" s="54">
        <f t="shared" si="202"/>
        <v>147944.7772371402</v>
      </c>
      <c r="BJ718" s="20"/>
    </row>
    <row r="719" spans="37:62" x14ac:dyDescent="0.3">
      <c r="AK719">
        <v>715</v>
      </c>
      <c r="AL719">
        <v>357.5</v>
      </c>
      <c r="AN719" s="48">
        <f t="shared" si="203"/>
        <v>10791.534025896557</v>
      </c>
      <c r="AO719" s="48">
        <f t="shared" si="204"/>
        <v>-163547.59890491943</v>
      </c>
      <c r="AP719" s="20"/>
      <c r="AQ719" s="50">
        <f t="shared" si="205"/>
        <v>1001.8834625778134</v>
      </c>
      <c r="AR719" s="50">
        <f t="shared" si="206"/>
        <v>-2778.3031615826535</v>
      </c>
      <c r="AS719" s="20"/>
      <c r="AT719" s="52">
        <f t="shared" si="192"/>
        <v>-2.5168347036197751</v>
      </c>
      <c r="AU719" s="52">
        <f t="shared" si="193"/>
        <v>46.582449610110963</v>
      </c>
      <c r="AV719" s="20"/>
      <c r="AW719" s="20"/>
      <c r="AX719" s="20">
        <f t="shared" si="194"/>
        <v>0.95440618506827968</v>
      </c>
      <c r="AY719" s="20">
        <f t="shared" si="195"/>
        <v>17.728130482865545</v>
      </c>
      <c r="AZ719" s="20"/>
      <c r="BA719" s="20">
        <f t="shared" si="196"/>
        <v>-1.0075132726111478</v>
      </c>
      <c r="BB719" s="20">
        <f t="shared" si="197"/>
        <v>5.6785579172329346</v>
      </c>
      <c r="BC719" s="20"/>
      <c r="BD719" s="20">
        <f t="shared" si="198"/>
        <v>-2.4637276160769068</v>
      </c>
      <c r="BE719" s="20">
        <f t="shared" si="199"/>
        <v>23.175761210012482</v>
      </c>
      <c r="BF719" s="20"/>
      <c r="BG719" s="54">
        <f t="shared" si="200"/>
        <v>171295.29163621052</v>
      </c>
      <c r="BH719" s="54">
        <f t="shared" si="201"/>
        <v>176258.01443716179</v>
      </c>
      <c r="BI719" s="54">
        <f t="shared" si="202"/>
        <v>149384.60994127832</v>
      </c>
      <c r="BJ719" s="20"/>
    </row>
    <row r="720" spans="37:62" x14ac:dyDescent="0.3">
      <c r="AK720">
        <v>716</v>
      </c>
      <c r="AL720">
        <v>358</v>
      </c>
      <c r="AN720" s="48">
        <f t="shared" si="203"/>
        <v>11292.161152847511</v>
      </c>
      <c r="AO720" s="48">
        <f t="shared" si="204"/>
        <v>-164930.92767950951</v>
      </c>
      <c r="AP720" s="20"/>
      <c r="AQ720" s="50">
        <f t="shared" si="205"/>
        <v>1000.6250452260035</v>
      </c>
      <c r="AR720" s="50">
        <f t="shared" si="206"/>
        <v>-2755.0119367775978</v>
      </c>
      <c r="AS720" s="20"/>
      <c r="AT720" s="52">
        <f t="shared" si="192"/>
        <v>-2.5881562925913615</v>
      </c>
      <c r="AU720" s="52">
        <f t="shared" si="193"/>
        <v>45.776240576612835</v>
      </c>
      <c r="AV720" s="20"/>
      <c r="AW720" s="20"/>
      <c r="AX720" s="20">
        <f t="shared" si="194"/>
        <v>0.88150031995600331</v>
      </c>
      <c r="AY720" s="20">
        <f t="shared" si="195"/>
        <v>17.455297529937898</v>
      </c>
      <c r="AZ720" s="20"/>
      <c r="BA720" s="20">
        <f t="shared" si="196"/>
        <v>-0.99907827499636648</v>
      </c>
      <c r="BB720" s="20">
        <f t="shared" si="197"/>
        <v>5.5850948937623919</v>
      </c>
      <c r="BC720" s="20"/>
      <c r="BD720" s="20">
        <f t="shared" si="198"/>
        <v>-2.4705783375509984</v>
      </c>
      <c r="BE720" s="20">
        <f t="shared" si="199"/>
        <v>22.735848152912542</v>
      </c>
      <c r="BF720" s="20"/>
      <c r="BG720" s="54">
        <f t="shared" si="200"/>
        <v>172650.66254667027</v>
      </c>
      <c r="BH720" s="54">
        <f t="shared" si="201"/>
        <v>177707.70610311069</v>
      </c>
      <c r="BI720" s="54">
        <f t="shared" si="202"/>
        <v>150813.51925430514</v>
      </c>
      <c r="BJ720" s="20"/>
    </row>
    <row r="721" spans="37:62" x14ac:dyDescent="0.3">
      <c r="AK721">
        <v>717</v>
      </c>
      <c r="AL721">
        <v>358.5</v>
      </c>
      <c r="AN721" s="48">
        <f t="shared" si="203"/>
        <v>11792.150155923939</v>
      </c>
      <c r="AO721" s="48">
        <f t="shared" si="204"/>
        <v>-166302.71161782625</v>
      </c>
      <c r="AP721" s="20"/>
      <c r="AQ721" s="50">
        <f t="shared" si="205"/>
        <v>999.33096707970788</v>
      </c>
      <c r="AR721" s="50">
        <f t="shared" si="206"/>
        <v>-2732.1238164892916</v>
      </c>
      <c r="AS721" s="20"/>
      <c r="AT721" s="52">
        <f t="shared" si="192"/>
        <v>-2.65519763659838</v>
      </c>
      <c r="AU721" s="52">
        <f t="shared" si="193"/>
        <v>44.996298859150343</v>
      </c>
      <c r="AV721" s="20"/>
      <c r="AW721" s="20"/>
      <c r="AX721" s="20">
        <f t="shared" si="194"/>
        <v>0.81181846942521052</v>
      </c>
      <c r="AY721" s="20">
        <f t="shared" si="195"/>
        <v>17.190403578029617</v>
      </c>
      <c r="AZ721" s="20"/>
      <c r="BA721" s="20">
        <f t="shared" si="196"/>
        <v>-0.99082157786604574</v>
      </c>
      <c r="BB721" s="20">
        <f t="shared" si="197"/>
        <v>5.4945805820147546</v>
      </c>
      <c r="BC721" s="20"/>
      <c r="BD721" s="20">
        <f t="shared" si="198"/>
        <v>-2.4761945281575448</v>
      </c>
      <c r="BE721" s="20">
        <f t="shared" si="199"/>
        <v>22.311314699105971</v>
      </c>
      <c r="BF721" s="20"/>
      <c r="BG721" s="54">
        <f t="shared" si="200"/>
        <v>173996.41193074119</v>
      </c>
      <c r="BH721" s="54">
        <f t="shared" si="201"/>
        <v>179146.27245727225</v>
      </c>
      <c r="BI721" s="54">
        <f t="shared" si="202"/>
        <v>152231.68806055523</v>
      </c>
      <c r="BJ721" s="20"/>
    </row>
    <row r="722" spans="37:62" x14ac:dyDescent="0.3">
      <c r="AK722">
        <v>718</v>
      </c>
      <c r="AL722">
        <v>359</v>
      </c>
      <c r="AN722" s="48">
        <f t="shared" si="203"/>
        <v>12291.483739759216</v>
      </c>
      <c r="AO722" s="48">
        <f t="shared" si="204"/>
        <v>-167663.14898871351</v>
      </c>
      <c r="AP722" s="20"/>
      <c r="AQ722" s="50">
        <f t="shared" si="205"/>
        <v>998.0033682614087</v>
      </c>
      <c r="AR722" s="50">
        <f t="shared" si="206"/>
        <v>-2709.6256670597163</v>
      </c>
      <c r="AS722" s="20"/>
      <c r="AT722" s="52">
        <f t="shared" ref="AT722:AT785" si="207">AX722+BA722+BD722</f>
        <v>-2.7182268843534225</v>
      </c>
      <c r="AU722" s="52">
        <f t="shared" ref="AU722:AU785" si="208">AY722+BB722+BE722</f>
        <v>44.241412323614291</v>
      </c>
      <c r="AV722" s="20"/>
      <c r="AW722" s="20"/>
      <c r="AX722" s="20">
        <f t="shared" si="194"/>
        <v>0.74518674470427393</v>
      </c>
      <c r="AY722" s="20">
        <f t="shared" si="195"/>
        <v>16.933123363869242</v>
      </c>
      <c r="AZ722" s="20"/>
      <c r="BA722" s="20">
        <f t="shared" si="196"/>
        <v>-0.98273759369772706</v>
      </c>
      <c r="BB722" s="20">
        <f t="shared" si="197"/>
        <v>5.4068824131161151</v>
      </c>
      <c r="BC722" s="20"/>
      <c r="BD722" s="20">
        <f t="shared" si="198"/>
        <v>-2.4806760353599695</v>
      </c>
      <c r="BE722" s="20">
        <f t="shared" si="199"/>
        <v>21.901406546628934</v>
      </c>
      <c r="BF722" s="20"/>
      <c r="BG722" s="54">
        <f t="shared" si="200"/>
        <v>175332.68373744993</v>
      </c>
      <c r="BH722" s="54">
        <f t="shared" si="201"/>
        <v>180573.90296136634</v>
      </c>
      <c r="BI722" s="54">
        <f t="shared" si="202"/>
        <v>153639.29337598666</v>
      </c>
      <c r="BJ722" s="20"/>
    </row>
    <row r="723" spans="37:62" x14ac:dyDescent="0.3">
      <c r="AK723">
        <v>719</v>
      </c>
      <c r="AL723">
        <v>359.5</v>
      </c>
      <c r="AN723" s="48">
        <f t="shared" si="203"/>
        <v>12790.145645529377</v>
      </c>
      <c r="AO723" s="48">
        <f t="shared" si="204"/>
        <v>-169012.43164570292</v>
      </c>
      <c r="AP723" s="20"/>
      <c r="AQ723" s="50">
        <f t="shared" si="205"/>
        <v>996.64425481923195</v>
      </c>
      <c r="AR723" s="50">
        <f t="shared" si="206"/>
        <v>-2687.5049608979093</v>
      </c>
      <c r="AS723" s="20"/>
      <c r="AT723" s="52">
        <f t="shared" si="207"/>
        <v>-2.7774928471744591</v>
      </c>
      <c r="AU723" s="52">
        <f t="shared" si="208"/>
        <v>43.5104408815182</v>
      </c>
      <c r="AV723" s="20"/>
      <c r="AW723" s="20"/>
      <c r="AX723" s="20">
        <f t="shared" si="194"/>
        <v>0.68144249807410606</v>
      </c>
      <c r="AY723" s="20">
        <f t="shared" si="195"/>
        <v>16.683148708433844</v>
      </c>
      <c r="AZ723" s="20"/>
      <c r="BA723" s="20">
        <f t="shared" si="196"/>
        <v>-0.97482097647549404</v>
      </c>
      <c r="BB723" s="20">
        <f t="shared" si="197"/>
        <v>5.3218755203031201</v>
      </c>
      <c r="BC723" s="20"/>
      <c r="BD723" s="20">
        <f t="shared" si="198"/>
        <v>-2.4841143687730711</v>
      </c>
      <c r="BE723" s="20">
        <f t="shared" si="199"/>
        <v>21.505416652781236</v>
      </c>
      <c r="BF723" s="20"/>
      <c r="BG723" s="54">
        <f t="shared" si="200"/>
        <v>176659.61769824938</v>
      </c>
      <c r="BH723" s="54">
        <f t="shared" si="201"/>
        <v>181990.78090706267</v>
      </c>
      <c r="BI723" s="54">
        <f t="shared" si="202"/>
        <v>155036.50661541449</v>
      </c>
      <c r="BJ723" s="20"/>
    </row>
    <row r="724" spans="37:62" x14ac:dyDescent="0.3">
      <c r="AK724">
        <v>720</v>
      </c>
      <c r="AL724">
        <v>360</v>
      </c>
      <c r="AN724" s="48">
        <f t="shared" si="203"/>
        <v>13288.120586333096</v>
      </c>
      <c r="AO724" s="48">
        <f t="shared" si="204"/>
        <v>-170350.74532104167</v>
      </c>
      <c r="AP724" s="20"/>
      <c r="AQ724" s="50">
        <f t="shared" si="205"/>
        <v>995.25550839564471</v>
      </c>
      <c r="AR724" s="50">
        <f t="shared" si="206"/>
        <v>-2665.7497404571504</v>
      </c>
      <c r="AS724" s="20"/>
      <c r="AT724" s="52">
        <f t="shared" si="207"/>
        <v>-2.8332266071720289</v>
      </c>
      <c r="AU724" s="52">
        <f t="shared" si="208"/>
        <v>42.802311275841333</v>
      </c>
      <c r="AV724" s="20"/>
      <c r="AW724" s="20"/>
      <c r="AX724" s="20">
        <f t="shared" si="194"/>
        <v>0.62043347282385986</v>
      </c>
      <c r="AY724" s="20">
        <f t="shared" si="195"/>
        <v>16.440187429344942</v>
      </c>
      <c r="AZ724" s="20"/>
      <c r="BA724" s="20">
        <f t="shared" si="196"/>
        <v>-0.96706660800588939</v>
      </c>
      <c r="BB724" s="20">
        <f t="shared" si="197"/>
        <v>5.239442193097581</v>
      </c>
      <c r="BC724" s="20"/>
      <c r="BD724" s="20">
        <f t="shared" si="198"/>
        <v>-2.4865934719899996</v>
      </c>
      <c r="BE724" s="20">
        <f t="shared" si="199"/>
        <v>21.122681653398814</v>
      </c>
      <c r="BF724" s="20"/>
      <c r="BG724" s="54">
        <f t="shared" si="200"/>
        <v>177977.34950412548</v>
      </c>
      <c r="BH724" s="54">
        <f t="shared" si="201"/>
        <v>183397.08370098335</v>
      </c>
      <c r="BI724" s="54">
        <f t="shared" si="202"/>
        <v>156423.49384406235</v>
      </c>
      <c r="BJ724" s="20"/>
    </row>
    <row r="725" spans="37:62" x14ac:dyDescent="0.3">
      <c r="AK725">
        <v>721</v>
      </c>
      <c r="AL725">
        <v>360.5</v>
      </c>
      <c r="AN725" s="48">
        <f t="shared" si="203"/>
        <v>13785.394187205022</v>
      </c>
      <c r="AO725" s="48">
        <f t="shared" si="204"/>
        <v>-171678.26990236077</v>
      </c>
      <c r="AP725" s="20"/>
      <c r="AQ725" s="50">
        <f t="shared" si="205"/>
        <v>993.83889509205869</v>
      </c>
      <c r="AR725" s="50">
        <f t="shared" si="206"/>
        <v>-2644.3485848192299</v>
      </c>
      <c r="AS725" s="20"/>
      <c r="AT725" s="52">
        <f t="shared" si="207"/>
        <v>-2.8856429732673137</v>
      </c>
      <c r="AU725" s="52">
        <f t="shared" si="208"/>
        <v>42.116012310022711</v>
      </c>
      <c r="AV725" s="20"/>
      <c r="AW725" s="20"/>
      <c r="AX725" s="20">
        <f t="shared" si="194"/>
        <v>0.56201702677126308</v>
      </c>
      <c r="AY725" s="20">
        <f t="shared" si="195"/>
        <v>16.203962334218261</v>
      </c>
      <c r="AZ725" s="20"/>
      <c r="BA725" s="20">
        <f t="shared" si="196"/>
        <v>-0.95946958522603054</v>
      </c>
      <c r="BB725" s="20">
        <f t="shared" si="197"/>
        <v>5.1594713769483338</v>
      </c>
      <c r="BC725" s="20"/>
      <c r="BD725" s="20">
        <f t="shared" si="198"/>
        <v>-2.488190414812546</v>
      </c>
      <c r="BE725" s="20">
        <f t="shared" si="199"/>
        <v>20.752578598856122</v>
      </c>
      <c r="BF725" s="20"/>
      <c r="BG725" s="54">
        <f t="shared" si="200"/>
        <v>179286.01097300276</v>
      </c>
      <c r="BH725" s="54">
        <f t="shared" si="201"/>
        <v>184792.98313274741</v>
      </c>
      <c r="BI725" s="54">
        <f t="shared" si="202"/>
        <v>157800.41601455203</v>
      </c>
      <c r="BJ725" s="20"/>
    </row>
    <row r="726" spans="37:62" x14ac:dyDescent="0.3">
      <c r="AK726">
        <v>722</v>
      </c>
      <c r="AL726">
        <v>361</v>
      </c>
      <c r="AN726" s="48">
        <f t="shared" si="203"/>
        <v>14281.952929379393</v>
      </c>
      <c r="AO726" s="48">
        <f t="shared" si="204"/>
        <v>-172995.17969323165</v>
      </c>
      <c r="AP726" s="20"/>
      <c r="AQ726" s="50">
        <f t="shared" si="205"/>
        <v>992.39607360542504</v>
      </c>
      <c r="AR726" s="50">
        <f t="shared" si="206"/>
        <v>-2623.2905786642186</v>
      </c>
      <c r="AS726" s="20"/>
      <c r="AT726" s="52">
        <f t="shared" si="207"/>
        <v>-2.9349418011936934</v>
      </c>
      <c r="AU726" s="52">
        <f t="shared" si="208"/>
        <v>41.450590476989902</v>
      </c>
      <c r="AV726" s="20"/>
      <c r="AW726" s="20"/>
      <c r="AX726" s="20">
        <f t="shared" si="194"/>
        <v>0.50605942218832534</v>
      </c>
      <c r="AY726" s="20">
        <f t="shared" si="195"/>
        <v>15.974210288097726</v>
      </c>
      <c r="AZ726" s="20"/>
      <c r="BA726" s="20">
        <f t="shared" si="196"/>
        <v>-0.95202520841391136</v>
      </c>
      <c r="BB726" s="20">
        <f t="shared" si="197"/>
        <v>5.0818582140018087</v>
      </c>
      <c r="BC726" s="20"/>
      <c r="BD726" s="20">
        <f t="shared" si="198"/>
        <v>-2.4889760149681073</v>
      </c>
      <c r="BE726" s="20">
        <f t="shared" si="199"/>
        <v>20.394521974890367</v>
      </c>
      <c r="BF726" s="20"/>
      <c r="BG726" s="54">
        <f t="shared" si="200"/>
        <v>180585.73020810314</v>
      </c>
      <c r="BH726" s="54">
        <f t="shared" si="201"/>
        <v>186178.64562728544</v>
      </c>
      <c r="BI726" s="54">
        <f t="shared" si="202"/>
        <v>159167.42919035716</v>
      </c>
      <c r="BJ726" s="20"/>
    </row>
    <row r="727" spans="37:62" x14ac:dyDescent="0.3">
      <c r="AK727">
        <v>723</v>
      </c>
      <c r="AL727">
        <v>361.5</v>
      </c>
      <c r="AN727" s="48">
        <f t="shared" si="203"/>
        <v>14777.784098456956</v>
      </c>
      <c r="AO727" s="48">
        <f t="shared" si="204"/>
        <v>-174301.64365875412</v>
      </c>
      <c r="AP727" s="20"/>
      <c r="AQ727" s="50">
        <f t="shared" si="205"/>
        <v>990.92860270482822</v>
      </c>
      <c r="AR727" s="50">
        <f t="shared" si="206"/>
        <v>-2602.5652834257235</v>
      </c>
      <c r="AS727" s="20"/>
      <c r="AT727" s="52">
        <f t="shared" si="207"/>
        <v>-2.9813091917347201</v>
      </c>
      <c r="AU727" s="52">
        <f t="shared" si="208"/>
        <v>40.805145949818041</v>
      </c>
      <c r="AV727" s="20"/>
      <c r="AW727" s="20"/>
      <c r="AX727" s="20">
        <f t="shared" si="194"/>
        <v>0.45243517574576092</v>
      </c>
      <c r="AY727" s="20">
        <f t="shared" si="195"/>
        <v>15.75068134875707</v>
      </c>
      <c r="AZ727" s="20"/>
      <c r="BA727" s="20">
        <f t="shared" si="196"/>
        <v>-0.94472897022101909</v>
      </c>
      <c r="BB727" s="20">
        <f t="shared" si="197"/>
        <v>5.0065036211292497</v>
      </c>
      <c r="BC727" s="20"/>
      <c r="BD727" s="20">
        <f t="shared" si="198"/>
        <v>-2.489015397259462</v>
      </c>
      <c r="BE727" s="20">
        <f t="shared" si="199"/>
        <v>20.04796097993172</v>
      </c>
      <c r="BF727" s="20"/>
      <c r="BG727" s="54">
        <f t="shared" si="200"/>
        <v>181876.63174786072</v>
      </c>
      <c r="BH727" s="54">
        <f t="shared" si="201"/>
        <v>187554.23248254697</v>
      </c>
      <c r="BI727" s="54">
        <f t="shared" si="202"/>
        <v>160524.68475666243</v>
      </c>
      <c r="BJ727" s="20"/>
    </row>
    <row r="728" spans="37:62" x14ac:dyDescent="0.3">
      <c r="AK728">
        <v>724</v>
      </c>
      <c r="AL728">
        <v>362</v>
      </c>
      <c r="AN728" s="48">
        <f t="shared" si="203"/>
        <v>15272.875736160404</v>
      </c>
      <c r="AO728" s="48">
        <f t="shared" si="204"/>
        <v>-175597.82565722326</v>
      </c>
      <c r="AP728" s="20"/>
      <c r="AQ728" s="50">
        <f t="shared" si="205"/>
        <v>989.43794810896088</v>
      </c>
      <c r="AR728" s="50">
        <f t="shared" si="206"/>
        <v>-2582.1627104508143</v>
      </c>
      <c r="AS728" s="20"/>
      <c r="AT728" s="52">
        <f t="shared" si="207"/>
        <v>-3.024918579796736</v>
      </c>
      <c r="AU728" s="52">
        <f t="shared" si="208"/>
        <v>40.178828899756788</v>
      </c>
      <c r="AV728" s="20"/>
      <c r="AW728" s="20"/>
      <c r="AX728" s="20">
        <f t="shared" si="194"/>
        <v>0.40102646277059723</v>
      </c>
      <c r="AY728" s="20">
        <f t="shared" si="195"/>
        <v>15.533137964235104</v>
      </c>
      <c r="AZ728" s="20"/>
      <c r="BA728" s="20">
        <f t="shared" si="196"/>
        <v>-0.93757654545571822</v>
      </c>
      <c r="BB728" s="20">
        <f t="shared" si="197"/>
        <v>4.9333139017469279</v>
      </c>
      <c r="BC728" s="20"/>
      <c r="BD728" s="20">
        <f t="shared" si="198"/>
        <v>-2.4883684971116149</v>
      </c>
      <c r="BE728" s="20">
        <f t="shared" si="199"/>
        <v>19.712377033774757</v>
      </c>
      <c r="BF728" s="20"/>
      <c r="BG728" s="54">
        <f t="shared" si="200"/>
        <v>183158.83670794786</v>
      </c>
      <c r="BH728" s="54">
        <f t="shared" si="201"/>
        <v>188919.90009363135</v>
      </c>
      <c r="BI728" s="54">
        <f t="shared" si="202"/>
        <v>161872.32961949264</v>
      </c>
      <c r="BJ728" s="20"/>
    </row>
    <row r="729" spans="37:62" x14ac:dyDescent="0.3">
      <c r="AK729">
        <v>725</v>
      </c>
      <c r="AL729">
        <v>362.5</v>
      </c>
      <c r="AN729" s="48">
        <f t="shared" si="203"/>
        <v>15767.216595392409</v>
      </c>
      <c r="AO729" s="48">
        <f t="shared" si="204"/>
        <v>-176883.88465883621</v>
      </c>
      <c r="AP729" s="20"/>
      <c r="AQ729" s="50">
        <f t="shared" si="205"/>
        <v>987.92548881906248</v>
      </c>
      <c r="AR729" s="50">
        <f t="shared" si="206"/>
        <v>-2562.0732960009359</v>
      </c>
      <c r="AS729" s="20"/>
      <c r="AT729" s="52">
        <f t="shared" si="207"/>
        <v>-3.065931725470378</v>
      </c>
      <c r="AU729" s="52">
        <f t="shared" si="208"/>
        <v>39.570836111013023</v>
      </c>
      <c r="AV729" s="20"/>
      <c r="AW729" s="20"/>
      <c r="AX729" s="20">
        <f t="shared" si="194"/>
        <v>0.35172257071301816</v>
      </c>
      <c r="AY729" s="20">
        <f t="shared" si="195"/>
        <v>15.32135422749578</v>
      </c>
      <c r="AZ729" s="20"/>
      <c r="BA729" s="20">
        <f t="shared" si="196"/>
        <v>-0.93056378155344055</v>
      </c>
      <c r="BB729" s="20">
        <f t="shared" si="197"/>
        <v>4.8622003883278593</v>
      </c>
      <c r="BC729" s="20"/>
      <c r="BD729" s="20">
        <f t="shared" si="198"/>
        <v>-2.4870905146299553</v>
      </c>
      <c r="BE729" s="20">
        <f t="shared" si="199"/>
        <v>19.387281495189388</v>
      </c>
      <c r="BF729" s="20"/>
      <c r="BG729" s="54">
        <f t="shared" si="200"/>
        <v>184432.46291592307</v>
      </c>
      <c r="BH729" s="54">
        <f t="shared" si="201"/>
        <v>190275.80016428497</v>
      </c>
      <c r="BI729" s="54">
        <f t="shared" si="202"/>
        <v>163210.50639390628</v>
      </c>
      <c r="BJ729" s="20"/>
    </row>
    <row r="730" spans="37:62" x14ac:dyDescent="0.3">
      <c r="AK730">
        <v>726</v>
      </c>
      <c r="AL730">
        <v>363</v>
      </c>
      <c r="AN730" s="48">
        <f t="shared" si="203"/>
        <v>16260.796098336255</v>
      </c>
      <c r="AO730" s="48">
        <f t="shared" si="204"/>
        <v>-178159.97495232281</v>
      </c>
      <c r="AP730" s="20"/>
      <c r="AQ730" s="50">
        <f t="shared" si="205"/>
        <v>986.3925229563273</v>
      </c>
      <c r="AR730" s="50">
        <f t="shared" si="206"/>
        <v>-2542.2878779454295</v>
      </c>
      <c r="AS730" s="20"/>
      <c r="AT730" s="52">
        <f t="shared" si="207"/>
        <v>-3.1044996169722912</v>
      </c>
      <c r="AU730" s="52">
        <f t="shared" si="208"/>
        <v>38.980407864888377</v>
      </c>
      <c r="AV730" s="20"/>
      <c r="AW730" s="20"/>
      <c r="AX730" s="20">
        <f t="shared" si="194"/>
        <v>0.30441939725036882</v>
      </c>
      <c r="AY730" s="20">
        <f t="shared" si="195"/>
        <v>15.115115183570756</v>
      </c>
      <c r="AZ730" s="20"/>
      <c r="BA730" s="20">
        <f t="shared" si="196"/>
        <v>-0.92368668967650958</v>
      </c>
      <c r="BB730" s="20">
        <f t="shared" si="197"/>
        <v>4.7930791128245653</v>
      </c>
      <c r="BC730" s="20"/>
      <c r="BD730" s="20">
        <f t="shared" si="198"/>
        <v>-2.4852323245461503</v>
      </c>
      <c r="BE730" s="20">
        <f t="shared" si="199"/>
        <v>19.072213568493051</v>
      </c>
      <c r="BF730" s="20"/>
      <c r="BG730" s="54">
        <f t="shared" si="200"/>
        <v>185697.6250389739</v>
      </c>
      <c r="BH730" s="54">
        <f t="shared" si="201"/>
        <v>191622.07990663254</v>
      </c>
      <c r="BI730" s="54">
        <f t="shared" si="202"/>
        <v>164539.35358198549</v>
      </c>
      <c r="BJ730" s="20"/>
    </row>
    <row r="731" spans="37:62" x14ac:dyDescent="0.3">
      <c r="AK731">
        <v>727</v>
      </c>
      <c r="AL731">
        <v>363.5</v>
      </c>
      <c r="AN731" s="48">
        <f t="shared" si="203"/>
        <v>16753.604297362297</v>
      </c>
      <c r="AO731" s="48">
        <f t="shared" si="204"/>
        <v>-179426.24634031241</v>
      </c>
      <c r="AP731" s="20"/>
      <c r="AQ731" s="50">
        <f t="shared" si="205"/>
        <v>984.84027314784112</v>
      </c>
      <c r="AR731" s="50">
        <f t="shared" si="206"/>
        <v>-2522.7976740129852</v>
      </c>
      <c r="AS731" s="20"/>
      <c r="AT731" s="52">
        <f t="shared" si="207"/>
        <v>-3.1407632942526877</v>
      </c>
      <c r="AU731" s="52">
        <f t="shared" si="208"/>
        <v>38.406825068722029</v>
      </c>
      <c r="AV731" s="20"/>
      <c r="AW731" s="20"/>
      <c r="AX731" s="20">
        <f t="shared" si="194"/>
        <v>0.25901898892756681</v>
      </c>
      <c r="AY731" s="20">
        <f t="shared" si="195"/>
        <v>14.914216184968991</v>
      </c>
      <c r="AZ731" s="20"/>
      <c r="BA731" s="20">
        <f t="shared" si="196"/>
        <v>-0.91694143639191195</v>
      </c>
      <c r="BB731" s="20">
        <f t="shared" si="197"/>
        <v>4.725870502504149</v>
      </c>
      <c r="BC731" s="20"/>
      <c r="BD731" s="20">
        <f t="shared" si="198"/>
        <v>-2.4828408467883425</v>
      </c>
      <c r="BE731" s="20">
        <f t="shared" si="199"/>
        <v>18.766738381248892</v>
      </c>
      <c r="BF731" s="20"/>
      <c r="BG731" s="54">
        <f t="shared" si="200"/>
        <v>186954.4347051903</v>
      </c>
      <c r="BH731" s="54">
        <f t="shared" si="201"/>
        <v>192958.88222993989</v>
      </c>
      <c r="BI731" s="54">
        <f t="shared" si="202"/>
        <v>165859.00574129619</v>
      </c>
      <c r="BJ731" s="20"/>
    </row>
    <row r="732" spans="37:62" x14ac:dyDescent="0.3">
      <c r="AK732">
        <v>728</v>
      </c>
      <c r="AL732">
        <v>364</v>
      </c>
      <c r="AN732" s="48">
        <f t="shared" si="203"/>
        <v>17245.631838524438</v>
      </c>
      <c r="AO732" s="48">
        <f t="shared" si="204"/>
        <v>-180682.84432418534</v>
      </c>
      <c r="AP732" s="20"/>
      <c r="AQ732" s="50">
        <f t="shared" si="205"/>
        <v>983.26989150071472</v>
      </c>
      <c r="AR732" s="50">
        <f t="shared" si="206"/>
        <v>-2503.594261478624</v>
      </c>
      <c r="AS732" s="20"/>
      <c r="AT732" s="52">
        <f t="shared" si="207"/>
        <v>-3.1748546010837417</v>
      </c>
      <c r="AU732" s="52">
        <f t="shared" si="208"/>
        <v>37.849406607598084</v>
      </c>
      <c r="AV732" s="20"/>
      <c r="AW732" s="20"/>
      <c r="AX732" s="20">
        <f t="shared" si="194"/>
        <v>0.21542911665095243</v>
      </c>
      <c r="AY732" s="20">
        <f t="shared" si="195"/>
        <v>14.718462291513323</v>
      </c>
      <c r="AZ732" s="20"/>
      <c r="BA732" s="20">
        <f t="shared" si="196"/>
        <v>-0.91032433588066375</v>
      </c>
      <c r="BB732" s="20">
        <f t="shared" si="197"/>
        <v>4.6604990989495549</v>
      </c>
      <c r="BC732" s="20"/>
      <c r="BD732" s="20">
        <f t="shared" si="198"/>
        <v>-2.4799593818540306</v>
      </c>
      <c r="BE732" s="20">
        <f t="shared" si="199"/>
        <v>18.470445217135204</v>
      </c>
      <c r="BF732" s="20"/>
      <c r="BG732" s="54">
        <f t="shared" si="200"/>
        <v>188203.00061877209</v>
      </c>
      <c r="BH732" s="54">
        <f t="shared" si="201"/>
        <v>194286.34591914175</v>
      </c>
      <c r="BI732" s="54">
        <f t="shared" si="202"/>
        <v>167169.59364444064</v>
      </c>
      <c r="BJ732" s="20"/>
    </row>
    <row r="733" spans="37:62" x14ac:dyDescent="0.3">
      <c r="AK733">
        <v>729</v>
      </c>
      <c r="AL733">
        <v>364.5</v>
      </c>
      <c r="AN733" s="48">
        <f t="shared" si="203"/>
        <v>17736.869927449658</v>
      </c>
      <c r="AO733" s="48">
        <f t="shared" si="204"/>
        <v>-181929.91027909869</v>
      </c>
      <c r="AP733" s="20"/>
      <c r="AQ733" s="50">
        <f t="shared" si="205"/>
        <v>981.68246420017283</v>
      </c>
      <c r="AR733" s="50">
        <f t="shared" si="206"/>
        <v>-2484.6695581748249</v>
      </c>
      <c r="AS733" s="20"/>
      <c r="AT733" s="52">
        <f t="shared" si="207"/>
        <v>-3.2068968725913845</v>
      </c>
      <c r="AU733" s="52">
        <f t="shared" si="208"/>
        <v>37.307506899012722</v>
      </c>
      <c r="AV733" s="20"/>
      <c r="AW733" s="20"/>
      <c r="AX733" s="20">
        <f t="shared" si="194"/>
        <v>0.17356288472388914</v>
      </c>
      <c r="AY733" s="20">
        <f t="shared" si="195"/>
        <v>14.527667711108334</v>
      </c>
      <c r="AZ733" s="20"/>
      <c r="BA733" s="20">
        <f t="shared" si="196"/>
        <v>-0.90383184263691996</v>
      </c>
      <c r="BB733" s="20">
        <f t="shared" si="197"/>
        <v>4.5968932982041872</v>
      </c>
      <c r="BC733" s="20"/>
      <c r="BD733" s="20">
        <f t="shared" si="198"/>
        <v>-2.4766279146783536</v>
      </c>
      <c r="BE733" s="20">
        <f t="shared" si="199"/>
        <v>18.1829458897002</v>
      </c>
      <c r="BF733" s="20"/>
      <c r="BG733" s="54">
        <f t="shared" si="200"/>
        <v>189443.42866954414</v>
      </c>
      <c r="BH733" s="54">
        <f t="shared" si="201"/>
        <v>195604.60580381058</v>
      </c>
      <c r="BI733" s="54">
        <f t="shared" si="202"/>
        <v>168471.24443027572</v>
      </c>
      <c r="BJ733" s="20"/>
    </row>
    <row r="734" spans="37:62" x14ac:dyDescent="0.3">
      <c r="AK734">
        <v>730</v>
      </c>
      <c r="AL734">
        <v>365</v>
      </c>
      <c r="AN734" s="48">
        <f t="shared" si="203"/>
        <v>18227.310297440672</v>
      </c>
      <c r="AO734" s="48">
        <f t="shared" si="204"/>
        <v>-183167.58161982373</v>
      </c>
      <c r="AP734" s="20"/>
      <c r="AQ734" s="50">
        <f t="shared" si="205"/>
        <v>980.07901576387712</v>
      </c>
      <c r="AR734" s="50">
        <f t="shared" si="206"/>
        <v>-2466.0158047253185</v>
      </c>
      <c r="AS734" s="20"/>
      <c r="AT734" s="52">
        <f t="shared" si="207"/>
        <v>-3.2370055644416871</v>
      </c>
      <c r="AU734" s="52">
        <f t="shared" si="208"/>
        <v>36.780513632673404</v>
      </c>
      <c r="AV734" s="20"/>
      <c r="AW734" s="20"/>
      <c r="AX734" s="20">
        <f t="shared" si="194"/>
        <v>0.13333837044256633</v>
      </c>
      <c r="AY734" s="20">
        <f t="shared" si="195"/>
        <v>14.341655278251636</v>
      </c>
      <c r="AZ734" s="20"/>
      <c r="BA734" s="20">
        <f t="shared" si="196"/>
        <v>-0.89746054461876823</v>
      </c>
      <c r="BB734" s="20">
        <f t="shared" si="197"/>
        <v>4.5349851102347607</v>
      </c>
      <c r="BC734" s="20"/>
      <c r="BD734" s="20">
        <f t="shared" si="198"/>
        <v>-2.4728833902654852</v>
      </c>
      <c r="BE734" s="20">
        <f t="shared" si="199"/>
        <v>17.903873244187007</v>
      </c>
      <c r="BF734" s="20"/>
      <c r="BG734" s="54">
        <f t="shared" si="200"/>
        <v>190675.82203712591</v>
      </c>
      <c r="BH734" s="54">
        <f t="shared" si="201"/>
        <v>196913.79291819068</v>
      </c>
      <c r="BI734" s="54">
        <f t="shared" si="202"/>
        <v>169764.0817473286</v>
      </c>
      <c r="BJ734" s="20"/>
    </row>
    <row r="735" spans="37:62" x14ac:dyDescent="0.3">
      <c r="AK735">
        <v>731</v>
      </c>
      <c r="AL735">
        <v>365.5</v>
      </c>
      <c r="AN735" s="48">
        <f t="shared" si="203"/>
        <v>18716.945179627055</v>
      </c>
      <c r="AO735" s="48">
        <f t="shared" si="204"/>
        <v>-184395.9919579823</v>
      </c>
      <c r="AP735" s="20"/>
      <c r="AQ735" s="50">
        <f t="shared" si="205"/>
        <v>978.46051298165628</v>
      </c>
      <c r="AR735" s="50">
        <f t="shared" si="206"/>
        <v>-2447.6255479089818</v>
      </c>
      <c r="AS735" s="20"/>
      <c r="AT735" s="52">
        <f t="shared" si="207"/>
        <v>-3.2652888292313209</v>
      </c>
      <c r="AU735" s="52">
        <f t="shared" si="208"/>
        <v>36.267845679363511</v>
      </c>
      <c r="AV735" s="20"/>
      <c r="AW735" s="20"/>
      <c r="AX735" s="20">
        <f t="shared" si="194"/>
        <v>9.4678291564513614E-2</v>
      </c>
      <c r="AY735" s="20">
        <f t="shared" si="195"/>
        <v>14.160255967378239</v>
      </c>
      <c r="AZ735" s="20"/>
      <c r="BA735" s="20">
        <f t="shared" si="196"/>
        <v>-0.89120715681646423</v>
      </c>
      <c r="BB735" s="20">
        <f t="shared" si="197"/>
        <v>4.4747099360657376</v>
      </c>
      <c r="BC735" s="20"/>
      <c r="BD735" s="20">
        <f t="shared" si="198"/>
        <v>-2.4687599639793705</v>
      </c>
      <c r="BE735" s="20">
        <f t="shared" si="199"/>
        <v>17.632879775919534</v>
      </c>
      <c r="BF735" s="20"/>
      <c r="BG735" s="54">
        <f t="shared" si="200"/>
        <v>191900.28129007548</v>
      </c>
      <c r="BH735" s="54">
        <f t="shared" si="201"/>
        <v>198214.03465287256</v>
      </c>
      <c r="BI735" s="54">
        <f t="shared" si="202"/>
        <v>171048.22588989994</v>
      </c>
      <c r="BJ735" s="20"/>
    </row>
    <row r="736" spans="37:62" x14ac:dyDescent="0.3">
      <c r="AK736">
        <v>732</v>
      </c>
      <c r="AL736">
        <v>366</v>
      </c>
      <c r="AN736" s="48">
        <f t="shared" si="203"/>
        <v>19205.76727501423</v>
      </c>
      <c r="AO736" s="48">
        <f t="shared" si="204"/>
        <v>-185615.27125122689</v>
      </c>
      <c r="AP736" s="20"/>
      <c r="AQ736" s="50">
        <f t="shared" si="205"/>
        <v>976.82786856704058</v>
      </c>
      <c r="AR736" s="50">
        <f t="shared" si="206"/>
        <v>-2429.4916250693</v>
      </c>
      <c r="AS736" s="20"/>
      <c r="AT736" s="52">
        <f t="shared" si="207"/>
        <v>-3.2918480450468888</v>
      </c>
      <c r="AU736" s="52">
        <f t="shared" si="208"/>
        <v>35.768951154375884</v>
      </c>
      <c r="AV736" s="20"/>
      <c r="AW736" s="20"/>
      <c r="AX736" s="20">
        <f t="shared" si="194"/>
        <v>5.7509699224579006E-2</v>
      </c>
      <c r="AY736" s="20">
        <f t="shared" si="195"/>
        <v>13.983308438379987</v>
      </c>
      <c r="AZ736" s="20"/>
      <c r="BA736" s="20">
        <f t="shared" si="196"/>
        <v>-0.88506851520687102</v>
      </c>
      <c r="BB736" s="20">
        <f t="shared" si="197"/>
        <v>4.4160063610960121</v>
      </c>
      <c r="BC736" s="20"/>
      <c r="BD736" s="20">
        <f t="shared" si="198"/>
        <v>-2.464289229064597</v>
      </c>
      <c r="BE736" s="20">
        <f t="shared" si="199"/>
        <v>17.369636354899882</v>
      </c>
      <c r="BF736" s="20"/>
      <c r="BG736" s="54">
        <f t="shared" si="200"/>
        <v>193116.90448030792</v>
      </c>
      <c r="BH736" s="54">
        <f t="shared" si="201"/>
        <v>199505.45489864092</v>
      </c>
      <c r="BI736" s="54">
        <f t="shared" si="202"/>
        <v>172323.79392730966</v>
      </c>
      <c r="BJ736" s="20"/>
    </row>
    <row r="737" spans="37:62" x14ac:dyDescent="0.3">
      <c r="AK737">
        <v>733</v>
      </c>
      <c r="AL737">
        <v>366.5</v>
      </c>
      <c r="AN737" s="48">
        <f t="shared" si="203"/>
        <v>19693.769728292118</v>
      </c>
      <c r="AO737" s="48">
        <f t="shared" si="204"/>
        <v>-186825.54594486725</v>
      </c>
      <c r="AP737" s="20"/>
      <c r="AQ737" s="50">
        <f t="shared" si="205"/>
        <v>975.18194454451714</v>
      </c>
      <c r="AR737" s="50">
        <f t="shared" si="206"/>
        <v>-2411.6071494921121</v>
      </c>
      <c r="AS737" s="20"/>
      <c r="AT737" s="52">
        <f t="shared" si="207"/>
        <v>-3.3167783006408089</v>
      </c>
      <c r="AU737" s="52">
        <f t="shared" si="208"/>
        <v>35.283305622417579</v>
      </c>
      <c r="AV737" s="20"/>
      <c r="AW737" s="20"/>
      <c r="AX737" s="20">
        <f t="shared" si="194"/>
        <v>2.1763694107298091E-2</v>
      </c>
      <c r="AY737" s="20">
        <f t="shared" si="195"/>
        <v>13.810658611870137</v>
      </c>
      <c r="AZ737" s="20"/>
      <c r="BA737" s="20">
        <f t="shared" si="196"/>
        <v>-0.87904157106563541</v>
      </c>
      <c r="BB737" s="20">
        <f t="shared" si="197"/>
        <v>4.3588159632494516</v>
      </c>
      <c r="BC737" s="20"/>
      <c r="BD737" s="20">
        <f t="shared" si="198"/>
        <v>-2.4595004236824716</v>
      </c>
      <c r="BE737" s="20">
        <f t="shared" si="199"/>
        <v>17.113831047297992</v>
      </c>
      <c r="BF737" s="20"/>
      <c r="BG737" s="54">
        <f t="shared" si="200"/>
        <v>194325.78723306389</v>
      </c>
      <c r="BH737" s="54">
        <f t="shared" si="201"/>
        <v>200788.17418298748</v>
      </c>
      <c r="BI737" s="54">
        <f t="shared" si="202"/>
        <v>173590.89982670636</v>
      </c>
      <c r="BJ737" s="20"/>
    </row>
    <row r="738" spans="37:62" x14ac:dyDescent="0.3">
      <c r="AK738">
        <v>734</v>
      </c>
      <c r="AL738">
        <v>367</v>
      </c>
      <c r="AN738" s="48">
        <f t="shared" si="203"/>
        <v>20180.946103276794</v>
      </c>
      <c r="AO738" s="48">
        <f t="shared" si="204"/>
        <v>-188026.93910641051</v>
      </c>
      <c r="AP738" s="20"/>
      <c r="AQ738" s="50">
        <f t="shared" si="205"/>
        <v>973.52355539419671</v>
      </c>
      <c r="AR738" s="50">
        <f t="shared" si="206"/>
        <v>-2393.9654966809035</v>
      </c>
      <c r="AS738" s="20"/>
      <c r="AT738" s="52">
        <f t="shared" si="207"/>
        <v>-3.3401688412129058</v>
      </c>
      <c r="AU738" s="52">
        <f t="shared" si="208"/>
        <v>34.810410432131981</v>
      </c>
      <c r="AV738" s="20"/>
      <c r="AW738" s="20"/>
      <c r="AX738" s="20">
        <f t="shared" si="194"/>
        <v>-1.2624836106090161E-2</v>
      </c>
      <c r="AY738" s="20">
        <f t="shared" si="195"/>
        <v>13.642159271967499</v>
      </c>
      <c r="AZ738" s="20"/>
      <c r="BA738" s="20">
        <f t="shared" si="196"/>
        <v>-0.87312338561131364</v>
      </c>
      <c r="BB738" s="20">
        <f t="shared" si="197"/>
        <v>4.3030831347381904</v>
      </c>
      <c r="BC738" s="20"/>
      <c r="BD738" s="20">
        <f t="shared" si="198"/>
        <v>-2.4544206194955023</v>
      </c>
      <c r="BE738" s="20">
        <f t="shared" si="199"/>
        <v>16.865168025426293</v>
      </c>
      <c r="BF738" s="20"/>
      <c r="BG738" s="54">
        <f t="shared" si="200"/>
        <v>195527.02283268742</v>
      </c>
      <c r="BH738" s="54">
        <f t="shared" si="201"/>
        <v>202062.30979974582</v>
      </c>
      <c r="BI738" s="54">
        <f t="shared" si="202"/>
        <v>174849.65456983214</v>
      </c>
      <c r="BJ738" s="20"/>
    </row>
    <row r="739" spans="37:62" x14ac:dyDescent="0.3">
      <c r="AK739">
        <v>735</v>
      </c>
      <c r="AL739">
        <v>367.5</v>
      </c>
      <c r="AN739" s="48">
        <f t="shared" si="203"/>
        <v>20667.290359868741</v>
      </c>
      <c r="AO739" s="48">
        <f t="shared" si="204"/>
        <v>-189219.57055344697</v>
      </c>
      <c r="AP739" s="20"/>
      <c r="AQ739" s="50">
        <f t="shared" si="205"/>
        <v>971.85347097359022</v>
      </c>
      <c r="AR739" s="50">
        <f t="shared" si="206"/>
        <v>-2376.5602914648375</v>
      </c>
      <c r="AS739" s="20"/>
      <c r="AT739" s="52">
        <f t="shared" si="207"/>
        <v>-3.3621034783815777</v>
      </c>
      <c r="AU739" s="52">
        <f t="shared" si="208"/>
        <v>34.349791169508698</v>
      </c>
      <c r="AV739" s="20"/>
      <c r="AW739" s="20"/>
      <c r="AX739" s="20">
        <f t="shared" si="194"/>
        <v>-4.5717459810293883E-2</v>
      </c>
      <c r="AY739" s="20">
        <f t="shared" si="195"/>
        <v>13.477669694560779</v>
      </c>
      <c r="AZ739" s="20"/>
      <c r="BA739" s="20">
        <f t="shared" si="196"/>
        <v>-0.86731112495773821</v>
      </c>
      <c r="BB739" s="20">
        <f t="shared" si="197"/>
        <v>4.2487549163298937</v>
      </c>
      <c r="BC739" s="20"/>
      <c r="BD739" s="20">
        <f t="shared" si="198"/>
        <v>-2.4490748936135458</v>
      </c>
      <c r="BE739" s="20">
        <f t="shared" si="199"/>
        <v>16.623366558618024</v>
      </c>
      <c r="BF739" s="20"/>
      <c r="BG739" s="54">
        <f t="shared" si="200"/>
        <v>196720.7023044524</v>
      </c>
      <c r="BH739" s="54">
        <f t="shared" si="201"/>
        <v>203327.97593226988</v>
      </c>
      <c r="BI739" s="54">
        <f t="shared" si="202"/>
        <v>176100.16626410466</v>
      </c>
      <c r="BJ739" s="20"/>
    </row>
    <row r="740" spans="37:62" x14ac:dyDescent="0.3">
      <c r="AK740">
        <v>736</v>
      </c>
      <c r="AL740">
        <v>368</v>
      </c>
      <c r="AN740" s="48">
        <f t="shared" si="203"/>
        <v>21152.79683242074</v>
      </c>
      <c r="AO740" s="48">
        <f t="shared" si="204"/>
        <v>-190403.55697528322</v>
      </c>
      <c r="AP740" s="20"/>
      <c r="AQ740" s="50">
        <f t="shared" si="205"/>
        <v>970.1724192343994</v>
      </c>
      <c r="AR740" s="50">
        <f t="shared" si="206"/>
        <v>-2359.3853958800833</v>
      </c>
      <c r="AS740" s="20"/>
      <c r="AT740" s="52">
        <f t="shared" si="207"/>
        <v>-3.3826609675659749</v>
      </c>
      <c r="AU740" s="52">
        <f t="shared" si="208"/>
        <v>33.900996220445677</v>
      </c>
      <c r="AV740" s="20"/>
      <c r="AW740" s="20"/>
      <c r="AX740" s="20">
        <f t="shared" si="194"/>
        <v>-7.7572426694647298E-2</v>
      </c>
      <c r="AY740" s="20">
        <f t="shared" si="195"/>
        <v>13.317055299187448</v>
      </c>
      <c r="AZ740" s="20"/>
      <c r="BA740" s="20">
        <f t="shared" si="196"/>
        <v>-0.8616020553531043</v>
      </c>
      <c r="BB740" s="20">
        <f t="shared" si="197"/>
        <v>4.1957808431126278</v>
      </c>
      <c r="BC740" s="20"/>
      <c r="BD740" s="20">
        <f t="shared" si="198"/>
        <v>-2.4434864855182234</v>
      </c>
      <c r="BE740" s="20">
        <f t="shared" si="199"/>
        <v>16.388160078145599</v>
      </c>
      <c r="BF740" s="20"/>
      <c r="BG740" s="54">
        <f t="shared" si="200"/>
        <v>197906.91449266247</v>
      </c>
      <c r="BH740" s="54">
        <f t="shared" si="201"/>
        <v>204585.28377054908</v>
      </c>
      <c r="BI740" s="54">
        <f t="shared" si="202"/>
        <v>177342.54024835469</v>
      </c>
      <c r="BJ740" s="20"/>
    </row>
    <row r="741" spans="37:62" x14ac:dyDescent="0.3">
      <c r="AK741">
        <v>737</v>
      </c>
      <c r="AL741">
        <v>368.5</v>
      </c>
      <c r="AN741" s="48">
        <f t="shared" si="203"/>
        <v>21637.460209416993</v>
      </c>
      <c r="AO741" s="48">
        <f t="shared" si="204"/>
        <v>-191579.0120486957</v>
      </c>
      <c r="AP741" s="20"/>
      <c r="AQ741" s="50">
        <f t="shared" si="205"/>
        <v>968.48108875061644</v>
      </c>
      <c r="AR741" s="50">
        <f t="shared" si="206"/>
        <v>-2342.4348977698605</v>
      </c>
      <c r="AS741" s="20"/>
      <c r="AT741" s="52">
        <f t="shared" si="207"/>
        <v>-3.4019153556810693</v>
      </c>
      <c r="AU741" s="52">
        <f t="shared" si="208"/>
        <v>33.463595433629052</v>
      </c>
      <c r="AV741" s="20"/>
      <c r="AW741" s="20"/>
      <c r="AX741" s="20">
        <f t="shared" si="194"/>
        <v>-0.10824487658348453</v>
      </c>
      <c r="AY741" s="20">
        <f t="shared" si="195"/>
        <v>13.160187322808639</v>
      </c>
      <c r="AZ741" s="20"/>
      <c r="BA741" s="20">
        <f t="shared" si="196"/>
        <v>-0.85599353868587413</v>
      </c>
      <c r="BB741" s="20">
        <f t="shared" si="197"/>
        <v>4.144112800841306</v>
      </c>
      <c r="BC741" s="20"/>
      <c r="BD741" s="20">
        <f t="shared" si="198"/>
        <v>-2.4376769404117109</v>
      </c>
      <c r="BE741" s="20">
        <f t="shared" si="199"/>
        <v>16.159295309979111</v>
      </c>
      <c r="BF741" s="20"/>
      <c r="BG741" s="54">
        <f t="shared" si="200"/>
        <v>199085.74613523227</v>
      </c>
      <c r="BH741" s="54">
        <f t="shared" si="201"/>
        <v>205834.34162262376</v>
      </c>
      <c r="BI741" s="54">
        <f t="shared" si="202"/>
        <v>178576.87919353304</v>
      </c>
      <c r="BJ741" s="20"/>
    </row>
    <row r="742" spans="37:62" x14ac:dyDescent="0.3">
      <c r="AK742">
        <v>738</v>
      </c>
      <c r="AL742">
        <v>369</v>
      </c>
      <c r="AN742" s="48">
        <f t="shared" si="203"/>
        <v>22121.275514372843</v>
      </c>
      <c r="AO742" s="48">
        <f t="shared" si="204"/>
        <v>-192746.04654815144</v>
      </c>
      <c r="AP742" s="20"/>
      <c r="AQ742" s="50">
        <f t="shared" si="205"/>
        <v>966.78013107277593</v>
      </c>
      <c r="AR742" s="50">
        <f t="shared" si="206"/>
        <v>-2325.703100053046</v>
      </c>
      <c r="AS742" s="20"/>
      <c r="AT742" s="52">
        <f t="shared" si="207"/>
        <v>-3.4199363017601323</v>
      </c>
      <c r="AU742" s="52">
        <f t="shared" si="208"/>
        <v>33.037178875697208</v>
      </c>
      <c r="AV742" s="20"/>
      <c r="AW742" s="20"/>
      <c r="AX742" s="20">
        <f t="shared" si="194"/>
        <v>-0.13778703323848732</v>
      </c>
      <c r="AY742" s="20">
        <f t="shared" si="195"/>
        <v>13.006942513906882</v>
      </c>
      <c r="AZ742" s="20"/>
      <c r="BA742" s="20">
        <f t="shared" si="196"/>
        <v>-0.85048302823944411</v>
      </c>
      <c r="BB742" s="20">
        <f t="shared" si="197"/>
        <v>4.0937048920327435</v>
      </c>
      <c r="BC742" s="20"/>
      <c r="BD742" s="20">
        <f t="shared" si="198"/>
        <v>-2.4316662402822007</v>
      </c>
      <c r="BE742" s="20">
        <f t="shared" si="199"/>
        <v>15.936531469757579</v>
      </c>
      <c r="BF742" s="20"/>
      <c r="BG742" s="54">
        <f t="shared" si="200"/>
        <v>200257.28193494567</v>
      </c>
      <c r="BH742" s="54">
        <f t="shared" si="201"/>
        <v>207075.25502063951</v>
      </c>
      <c r="BI742" s="54">
        <f t="shared" si="202"/>
        <v>179803.28319867837</v>
      </c>
      <c r="BJ742" s="20"/>
    </row>
    <row r="743" spans="37:62" x14ac:dyDescent="0.3">
      <c r="AK743">
        <v>739</v>
      </c>
      <c r="AL743">
        <v>369.5</v>
      </c>
      <c r="AN743" s="48">
        <f t="shared" si="203"/>
        <v>22604.238087871508</v>
      </c>
      <c r="AO743" s="48">
        <f t="shared" si="204"/>
        <v>-193904.76845081852</v>
      </c>
      <c r="AP743" s="20"/>
      <c r="AQ743" s="50">
        <f t="shared" si="205"/>
        <v>965.07016292189587</v>
      </c>
      <c r="AR743" s="50">
        <f t="shared" si="206"/>
        <v>-2309.1845106151973</v>
      </c>
      <c r="AS743" s="20"/>
      <c r="AT743" s="52">
        <f t="shared" si="207"/>
        <v>-3.4367893728652144</v>
      </c>
      <c r="AU743" s="52">
        <f t="shared" si="208"/>
        <v>32.621355671385558</v>
      </c>
      <c r="AV743" s="20"/>
      <c r="AW743" s="20"/>
      <c r="AX743" s="20">
        <f t="shared" si="194"/>
        <v>-0.16624838434155395</v>
      </c>
      <c r="AY743" s="20">
        <f t="shared" si="195"/>
        <v>12.857202845458652</v>
      </c>
      <c r="AZ743" s="20"/>
      <c r="BA743" s="20">
        <f t="shared" si="196"/>
        <v>-0.84506806467883389</v>
      </c>
      <c r="BB743" s="20">
        <f t="shared" si="197"/>
        <v>4.0445133110495135</v>
      </c>
      <c r="BC743" s="20"/>
      <c r="BD743" s="20">
        <f t="shared" si="198"/>
        <v>-2.4254729238448265</v>
      </c>
      <c r="BE743" s="20">
        <f t="shared" si="199"/>
        <v>15.719639514877391</v>
      </c>
      <c r="BF743" s="20"/>
      <c r="BG743" s="54">
        <f t="shared" si="200"/>
        <v>201421.60462757252</v>
      </c>
      <c r="BH743" s="54">
        <f t="shared" si="201"/>
        <v>208308.12682185485</v>
      </c>
      <c r="BI743" s="54">
        <f t="shared" si="202"/>
        <v>181021.84988241858</v>
      </c>
      <c r="BJ743" s="20"/>
    </row>
    <row r="744" spans="37:62" x14ac:dyDescent="0.3">
      <c r="AK744">
        <v>740</v>
      </c>
      <c r="AL744">
        <v>370</v>
      </c>
      <c r="AN744" s="48">
        <f t="shared" si="203"/>
        <v>23086.343570660847</v>
      </c>
      <c r="AO744" s="48">
        <f t="shared" si="204"/>
        <v>-195055.28303666718</v>
      </c>
      <c r="AP744" s="20"/>
      <c r="AQ744" s="50">
        <f t="shared" si="205"/>
        <v>963.35176823546328</v>
      </c>
      <c r="AR744" s="50">
        <f t="shared" si="206"/>
        <v>-2292.8738327795045</v>
      </c>
      <c r="AS744" s="20"/>
      <c r="AT744" s="52">
        <f t="shared" si="207"/>
        <v>-3.4525363174172288</v>
      </c>
      <c r="AU744" s="52">
        <f t="shared" si="208"/>
        <v>32.21575292199023</v>
      </c>
      <c r="AV744" s="20"/>
      <c r="AW744" s="20"/>
      <c r="AX744" s="20">
        <f t="shared" si="194"/>
        <v>-0.19367584876710847</v>
      </c>
      <c r="AY744" s="20">
        <f t="shared" si="195"/>
        <v>12.710855245447764</v>
      </c>
      <c r="AZ744" s="20"/>
      <c r="BA744" s="20">
        <f t="shared" si="196"/>
        <v>-0.83974627225411136</v>
      </c>
      <c r="BB744" s="20">
        <f t="shared" si="197"/>
        <v>3.996496227479994</v>
      </c>
      <c r="BC744" s="20"/>
      <c r="BD744" s="20">
        <f t="shared" si="198"/>
        <v>-2.4191141963960088</v>
      </c>
      <c r="BE744" s="20">
        <f t="shared" si="199"/>
        <v>15.508401449062468</v>
      </c>
      <c r="BF744" s="20"/>
      <c r="BG744" s="54">
        <f t="shared" si="200"/>
        <v>202578.79504701501</v>
      </c>
      <c r="BH744" s="54">
        <f t="shared" si="201"/>
        <v>209533.05730489572</v>
      </c>
      <c r="BI744" s="54">
        <f t="shared" si="202"/>
        <v>182232.6744702594</v>
      </c>
      <c r="BJ744" s="20"/>
    </row>
    <row r="745" spans="37:62" x14ac:dyDescent="0.3">
      <c r="AK745">
        <v>741</v>
      </c>
      <c r="AL745">
        <v>370.5</v>
      </c>
      <c r="AN745" s="48">
        <f t="shared" si="203"/>
        <v>23567.587887738904</v>
      </c>
      <c r="AO745" s="48">
        <f t="shared" si="204"/>
        <v>-196197.6929839417</v>
      </c>
      <c r="AP745" s="20"/>
      <c r="AQ745" s="50">
        <f t="shared" si="205"/>
        <v>961.62550007675463</v>
      </c>
      <c r="AR745" s="50">
        <f t="shared" si="206"/>
        <v>-2276.7659563185093</v>
      </c>
      <c r="AS745" s="20"/>
      <c r="AT745" s="52">
        <f t="shared" si="207"/>
        <v>-3.4672353178748527</v>
      </c>
      <c r="AU745" s="52">
        <f t="shared" si="208"/>
        <v>31.820014696088137</v>
      </c>
      <c r="AV745" s="20"/>
      <c r="AW745" s="20"/>
      <c r="AX745" s="20">
        <f t="shared" si="194"/>
        <v>-0.22011393215401209</v>
      </c>
      <c r="AY745" s="20">
        <f t="shared" si="195"/>
        <v>12.567791343695001</v>
      </c>
      <c r="AZ745" s="20"/>
      <c r="BA745" s="20">
        <f t="shared" si="196"/>
        <v>-0.83451535520637432</v>
      </c>
      <c r="BB745" s="20">
        <f t="shared" si="197"/>
        <v>3.9496136771816923</v>
      </c>
      <c r="BC745" s="20"/>
      <c r="BD745" s="20">
        <f t="shared" si="198"/>
        <v>-2.4126060305144663</v>
      </c>
      <c r="BE745" s="20">
        <f t="shared" si="199"/>
        <v>15.302609675211441</v>
      </c>
      <c r="BF745" s="20"/>
      <c r="BG745" s="54">
        <f t="shared" si="200"/>
        <v>203728.9321876422</v>
      </c>
      <c r="BH745" s="54">
        <f t="shared" si="201"/>
        <v>210750.14426153005</v>
      </c>
      <c r="BI745" s="54">
        <f t="shared" si="202"/>
        <v>183435.8498778973</v>
      </c>
      <c r="BJ745" s="20"/>
    </row>
    <row r="746" spans="37:62" x14ac:dyDescent="0.3">
      <c r="AK746">
        <v>742</v>
      </c>
      <c r="AL746">
        <v>371</v>
      </c>
      <c r="AN746" s="48">
        <f t="shared" si="203"/>
        <v>24047.967233362549</v>
      </c>
      <c r="AO746" s="48">
        <f t="shared" si="204"/>
        <v>-197332.09846026395</v>
      </c>
      <c r="AP746" s="20"/>
      <c r="AQ746" s="50">
        <f t="shared" si="205"/>
        <v>959.89188241781721</v>
      </c>
      <c r="AR746" s="50">
        <f t="shared" si="206"/>
        <v>-2260.8559489704653</v>
      </c>
      <c r="AS746" s="20"/>
      <c r="AT746" s="52">
        <f t="shared" si="207"/>
        <v>-3.4809412245079137</v>
      </c>
      <c r="AU746" s="52">
        <f t="shared" si="208"/>
        <v>31.433801086969797</v>
      </c>
      <c r="AV746" s="20"/>
      <c r="AW746" s="20"/>
      <c r="AX746" s="20">
        <f t="shared" si="194"/>
        <v>-0.24560487169810416</v>
      </c>
      <c r="AY746" s="20">
        <f t="shared" si="195"/>
        <v>12.427907233872819</v>
      </c>
      <c r="AZ746" s="20"/>
      <c r="BA746" s="20">
        <f t="shared" si="196"/>
        <v>-0.82937309436328643</v>
      </c>
      <c r="BB746" s="20">
        <f t="shared" si="197"/>
        <v>3.9038274604095928</v>
      </c>
      <c r="BC746" s="20"/>
      <c r="BD746" s="20">
        <f t="shared" si="198"/>
        <v>-2.4059632584465231</v>
      </c>
      <c r="BE746" s="20">
        <f t="shared" si="199"/>
        <v>15.102066392687387</v>
      </c>
      <c r="BF746" s="20"/>
      <c r="BG746" s="54">
        <f t="shared" si="200"/>
        <v>204872.09326396225</v>
      </c>
      <c r="BH746" s="54">
        <f t="shared" si="201"/>
        <v>211959.48308421581</v>
      </c>
      <c r="BI746" s="54">
        <f t="shared" si="202"/>
        <v>184631.46679077728</v>
      </c>
      <c r="BJ746" s="20"/>
    </row>
    <row r="747" spans="37:62" x14ac:dyDescent="0.3">
      <c r="AK747">
        <v>743</v>
      </c>
      <c r="AL747">
        <v>371.5</v>
      </c>
      <c r="AN747" s="48">
        <f t="shared" si="203"/>
        <v>24527.478056918397</v>
      </c>
      <c r="AO747" s="48">
        <f t="shared" si="204"/>
        <v>-198458.5972096133</v>
      </c>
      <c r="AP747" s="20"/>
      <c r="AQ747" s="50">
        <f t="shared" si="205"/>
        <v>958.15141180556327</v>
      </c>
      <c r="AR747" s="50">
        <f t="shared" si="206"/>
        <v>-2245.1390484269805</v>
      </c>
      <c r="AS747" s="20"/>
      <c r="AT747" s="52">
        <f t="shared" si="207"/>
        <v>-3.493705771848123</v>
      </c>
      <c r="AU747" s="52">
        <f t="shared" si="208"/>
        <v>31.056787331723733</v>
      </c>
      <c r="AV747" s="20"/>
      <c r="AW747" s="20"/>
      <c r="AX747" s="20">
        <f t="shared" si="194"/>
        <v>-0.27018877100588246</v>
      </c>
      <c r="AY747" s="20">
        <f t="shared" si="195"/>
        <v>12.291103249661536</v>
      </c>
      <c r="AZ747" s="20"/>
      <c r="BA747" s="20">
        <f t="shared" si="196"/>
        <v>-0.82431734391213651</v>
      </c>
      <c r="BB747" s="20">
        <f t="shared" si="197"/>
        <v>3.8591010465004221</v>
      </c>
      <c r="BC747" s="20"/>
      <c r="BD747" s="20">
        <f t="shared" si="198"/>
        <v>-2.399199656930104</v>
      </c>
      <c r="BE747" s="20">
        <f t="shared" si="199"/>
        <v>14.906583035561775</v>
      </c>
      <c r="BF747" s="20"/>
      <c r="BG747" s="54">
        <f t="shared" si="200"/>
        <v>206008.35376777226</v>
      </c>
      <c r="BH747" s="54">
        <f t="shared" si="201"/>
        <v>213161.16684966133</v>
      </c>
      <c r="BI747" s="54">
        <f t="shared" si="202"/>
        <v>185819.61374010259</v>
      </c>
      <c r="BJ747" s="20"/>
    </row>
    <row r="748" spans="37:62" x14ac:dyDescent="0.3">
      <c r="AK748">
        <v>744</v>
      </c>
      <c r="AL748">
        <v>372</v>
      </c>
      <c r="AN748" s="48">
        <f t="shared" si="203"/>
        <v>25006.117049599699</v>
      </c>
      <c r="AO748" s="48">
        <f t="shared" si="204"/>
        <v>-199577.28463541032</v>
      </c>
      <c r="AP748" s="20"/>
      <c r="AQ748" s="50">
        <f t="shared" si="205"/>
        <v>956.40455891963916</v>
      </c>
      <c r="AR748" s="50">
        <f t="shared" si="206"/>
        <v>-2229.6106547611184</v>
      </c>
      <c r="AS748" s="20"/>
      <c r="AT748" s="52">
        <f t="shared" si="207"/>
        <v>-3.5055777792532212</v>
      </c>
      <c r="AU748" s="52">
        <f t="shared" si="208"/>
        <v>30.688662987346337</v>
      </c>
      <c r="AV748" s="20"/>
      <c r="AW748" s="20"/>
      <c r="AX748" s="20">
        <f t="shared" si="194"/>
        <v>-0.29390372577713852</v>
      </c>
      <c r="AY748" s="20">
        <f t="shared" si="195"/>
        <v>12.157283754087743</v>
      </c>
      <c r="AZ748" s="20"/>
      <c r="BA748" s="20">
        <f t="shared" si="196"/>
        <v>-0.81934602833925863</v>
      </c>
      <c r="BB748" s="20">
        <f t="shared" si="197"/>
        <v>3.8153994846279926</v>
      </c>
      <c r="BC748" s="20"/>
      <c r="BD748" s="20">
        <f t="shared" si="198"/>
        <v>-2.3923280251368242</v>
      </c>
      <c r="BE748" s="20">
        <f t="shared" si="199"/>
        <v>14.715979748630602</v>
      </c>
      <c r="BF748" s="20"/>
      <c r="BG748" s="54">
        <f t="shared" si="200"/>
        <v>207137.78752291683</v>
      </c>
      <c r="BH748" s="54">
        <f t="shared" si="201"/>
        <v>214355.28639861921</v>
      </c>
      <c r="BI748" s="54">
        <f t="shared" si="202"/>
        <v>187000.37717549011</v>
      </c>
      <c r="BJ748" s="20"/>
    </row>
    <row r="749" spans="37:62" x14ac:dyDescent="0.3">
      <c r="AK749">
        <v>745</v>
      </c>
      <c r="AL749">
        <v>372.5</v>
      </c>
      <c r="AN749" s="48">
        <f t="shared" si="203"/>
        <v>25483.881131837112</v>
      </c>
      <c r="AO749" s="48">
        <f t="shared" si="204"/>
        <v>-200688.25387991747</v>
      </c>
      <c r="AP749" s="20"/>
      <c r="AQ749" s="50">
        <f t="shared" si="205"/>
        <v>954.65177003001259</v>
      </c>
      <c r="AR749" s="50">
        <f t="shared" si="206"/>
        <v>-2214.2663232674454</v>
      </c>
      <c r="AS749" s="20"/>
      <c r="AT749" s="52">
        <f t="shared" si="207"/>
        <v>-3.516603336888946</v>
      </c>
      <c r="AU749" s="52">
        <f t="shared" si="208"/>
        <v>30.329131159638067</v>
      </c>
      <c r="AV749" s="20"/>
      <c r="AW749" s="20"/>
      <c r="AX749" s="20">
        <f t="shared" si="194"/>
        <v>-0.31678594101841073</v>
      </c>
      <c r="AY749" s="20">
        <f t="shared" si="195"/>
        <v>12.026356941153407</v>
      </c>
      <c r="AZ749" s="20"/>
      <c r="BA749" s="20">
        <f t="shared" si="196"/>
        <v>-0.81445713952556609</v>
      </c>
      <c r="BB749" s="20">
        <f t="shared" si="197"/>
        <v>3.7726893201856138</v>
      </c>
      <c r="BC749" s="20"/>
      <c r="BD749" s="20">
        <f t="shared" si="198"/>
        <v>-2.3853602563449692</v>
      </c>
      <c r="BE749" s="20">
        <f t="shared" si="199"/>
        <v>14.530084898299044</v>
      </c>
      <c r="BF749" s="20"/>
      <c r="BG749" s="54">
        <f t="shared" si="200"/>
        <v>208260.4667377779</v>
      </c>
      <c r="BH749" s="54">
        <f t="shared" si="201"/>
        <v>215541.93041212109</v>
      </c>
      <c r="BI749" s="54">
        <f t="shared" si="202"/>
        <v>188173.84153445097</v>
      </c>
      <c r="BJ749" s="20"/>
    </row>
    <row r="750" spans="37:62" x14ac:dyDescent="0.3">
      <c r="AK750">
        <v>746</v>
      </c>
      <c r="AL750">
        <v>373</v>
      </c>
      <c r="AN750" s="48">
        <f t="shared" si="203"/>
        <v>25960.767441435004</v>
      </c>
      <c r="AO750" s="48">
        <f t="shared" si="204"/>
        <v>-201791.59590015622</v>
      </c>
      <c r="AP750" s="20"/>
      <c r="AQ750" s="50">
        <f t="shared" si="205"/>
        <v>952.89346836156813</v>
      </c>
      <c r="AR750" s="50">
        <f t="shared" si="206"/>
        <v>-2199.1017576876266</v>
      </c>
      <c r="AS750" s="20"/>
      <c r="AT750" s="52">
        <f t="shared" si="207"/>
        <v>-3.5268259783141094</v>
      </c>
      <c r="AU750" s="52">
        <f t="shared" si="208"/>
        <v>29.977907781002493</v>
      </c>
      <c r="AV750" s="20"/>
      <c r="AW750" s="20"/>
      <c r="AX750" s="20">
        <f t="shared" si="194"/>
        <v>-0.33886984042956891</v>
      </c>
      <c r="AY750" s="20">
        <f t="shared" si="195"/>
        <v>11.898234648936704</v>
      </c>
      <c r="AZ750" s="20"/>
      <c r="BA750" s="20">
        <f t="shared" si="196"/>
        <v>-0.80964873398864246</v>
      </c>
      <c r="BB750" s="20">
        <f t="shared" si="197"/>
        <v>3.7309385163878743</v>
      </c>
      <c r="BC750" s="20"/>
      <c r="BD750" s="20">
        <f t="shared" si="198"/>
        <v>-2.378307403895898</v>
      </c>
      <c r="BE750" s="20">
        <f t="shared" si="199"/>
        <v>14.348734615677916</v>
      </c>
      <c r="BF750" s="20"/>
      <c r="BG750" s="54">
        <f t="shared" si="200"/>
        <v>209376.46205561206</v>
      </c>
      <c r="BH750" s="54">
        <f t="shared" si="201"/>
        <v>216721.18548434699</v>
      </c>
      <c r="BI750" s="54">
        <f t="shared" si="202"/>
        <v>189340.08930886738</v>
      </c>
      <c r="BJ750" s="20"/>
    </row>
    <row r="751" spans="37:62" x14ac:dyDescent="0.3">
      <c r="AK751">
        <v>747</v>
      </c>
      <c r="AL751">
        <v>373.5</v>
      </c>
      <c r="AN751" s="48">
        <f t="shared" si="203"/>
        <v>26436.773322368499</v>
      </c>
      <c r="AO751" s="48">
        <f t="shared" si="204"/>
        <v>-202887.3995405274</v>
      </c>
      <c r="AP751" s="20"/>
      <c r="AQ751" s="50">
        <f t="shared" si="205"/>
        <v>951.13005537241111</v>
      </c>
      <c r="AR751" s="50">
        <f t="shared" si="206"/>
        <v>-2184.1128037971253</v>
      </c>
      <c r="AS751" s="20"/>
      <c r="AT751" s="52">
        <f t="shared" si="207"/>
        <v>-3.5362868407482817</v>
      </c>
      <c r="AU751" s="52">
        <f t="shared" si="208"/>
        <v>29.634720933589193</v>
      </c>
      <c r="AV751" s="20"/>
      <c r="AW751" s="20"/>
      <c r="AX751" s="20">
        <f t="shared" si="194"/>
        <v>-0.36018816855168517</v>
      </c>
      <c r="AY751" s="20">
        <f t="shared" si="195"/>
        <v>11.772832183403697</v>
      </c>
      <c r="AZ751" s="20"/>
      <c r="BA751" s="20">
        <f t="shared" si="196"/>
        <v>-0.8049189302624703</v>
      </c>
      <c r="BB751" s="20">
        <f t="shared" si="197"/>
        <v>3.6901163807171349</v>
      </c>
      <c r="BC751" s="20"/>
      <c r="BD751" s="20">
        <f t="shared" si="198"/>
        <v>-2.3711797419341263</v>
      </c>
      <c r="BE751" s="20">
        <f t="shared" si="199"/>
        <v>14.171772369468359</v>
      </c>
      <c r="BF751" s="20"/>
      <c r="BG751" s="54">
        <f t="shared" si="200"/>
        <v>210485.84260284362</v>
      </c>
      <c r="BH751" s="54">
        <f t="shared" si="201"/>
        <v>217893.13619231145</v>
      </c>
      <c r="BI751" s="54">
        <f t="shared" si="202"/>
        <v>190499.20110862344</v>
      </c>
      <c r="BJ751" s="20"/>
    </row>
    <row r="752" spans="37:62" x14ac:dyDescent="0.3">
      <c r="AK752">
        <v>748</v>
      </c>
      <c r="AL752">
        <v>374</v>
      </c>
      <c r="AN752" s="48">
        <f t="shared" si="203"/>
        <v>26911.896314199614</v>
      </c>
      <c r="AO752" s="48">
        <f t="shared" si="204"/>
        <v>-203975.75160230926</v>
      </c>
      <c r="AP752" s="20"/>
      <c r="AQ752" s="50">
        <f t="shared" si="205"/>
        <v>949.36191195203696</v>
      </c>
      <c r="AR752" s="50">
        <f t="shared" si="206"/>
        <v>-2169.2954433303307</v>
      </c>
      <c r="AS752" s="20"/>
      <c r="AT752" s="52">
        <f t="shared" si="207"/>
        <v>-3.545024814004857</v>
      </c>
      <c r="AU752" s="52">
        <f t="shared" si="208"/>
        <v>29.299310214511632</v>
      </c>
      <c r="AV752" s="20"/>
      <c r="AW752" s="20"/>
      <c r="AX752" s="20">
        <f t="shared" si="194"/>
        <v>-0.38077208621531999</v>
      </c>
      <c r="AY752" s="20">
        <f t="shared" si="195"/>
        <v>11.650068152228734</v>
      </c>
      <c r="AZ752" s="20"/>
      <c r="BA752" s="20">
        <f t="shared" si="196"/>
        <v>-0.80026590640673867</v>
      </c>
      <c r="BB752" s="20">
        <f t="shared" si="197"/>
        <v>3.6501934958714055</v>
      </c>
      <c r="BC752" s="20"/>
      <c r="BD752" s="20">
        <f t="shared" si="198"/>
        <v>-2.3639868213827984</v>
      </c>
      <c r="BE752" s="20">
        <f t="shared" si="199"/>
        <v>13.999048566411492</v>
      </c>
      <c r="BF752" s="20"/>
      <c r="BG752" s="54">
        <f t="shared" si="200"/>
        <v>211588.67603541512</v>
      </c>
      <c r="BH752" s="54">
        <f t="shared" si="201"/>
        <v>219057.86516253502</v>
      </c>
      <c r="BI752" s="54">
        <f t="shared" si="202"/>
        <v>191651.25572253868</v>
      </c>
      <c r="BJ752" s="20"/>
    </row>
    <row r="753" spans="37:62" x14ac:dyDescent="0.3">
      <c r="AK753">
        <v>749</v>
      </c>
      <c r="AL753">
        <v>374.5</v>
      </c>
      <c r="AN753" s="48">
        <f t="shared" si="203"/>
        <v>27386.134142073883</v>
      </c>
      <c r="AO753" s="48">
        <f t="shared" si="204"/>
        <v>-205056.73691019759</v>
      </c>
      <c r="AP753" s="20"/>
      <c r="AQ753" s="50">
        <f t="shared" si="205"/>
        <v>947.58939954503455</v>
      </c>
      <c r="AR753" s="50">
        <f t="shared" si="206"/>
        <v>-2154.6457882230748</v>
      </c>
      <c r="AS753" s="20"/>
      <c r="AT753" s="52">
        <f t="shared" si="207"/>
        <v>-3.5530766789850903</v>
      </c>
      <c r="AU753" s="52">
        <f t="shared" si="208"/>
        <v>28.971426140133467</v>
      </c>
      <c r="AV753" s="20"/>
      <c r="AW753" s="20"/>
      <c r="AX753" s="20">
        <f t="shared" si="194"/>
        <v>-0.40065125978370958</v>
      </c>
      <c r="AY753" s="20">
        <f t="shared" si="195"/>
        <v>11.529864307971206</v>
      </c>
      <c r="AZ753" s="20"/>
      <c r="BA753" s="20">
        <f t="shared" si="196"/>
        <v>-0.79568789763784764</v>
      </c>
      <c r="BB753" s="20">
        <f t="shared" si="197"/>
        <v>3.6111416548959641</v>
      </c>
      <c r="BC753" s="20"/>
      <c r="BD753" s="20">
        <f t="shared" si="198"/>
        <v>-2.3567375215635331</v>
      </c>
      <c r="BE753" s="20">
        <f t="shared" si="199"/>
        <v>13.830420177266298</v>
      </c>
      <c r="BF753" s="20"/>
      <c r="BG753" s="54">
        <f t="shared" si="200"/>
        <v>212685.02858329186</v>
      </c>
      <c r="BH753" s="54">
        <f t="shared" si="201"/>
        <v>220215.45313486192</v>
      </c>
      <c r="BI753" s="54">
        <f t="shared" si="202"/>
        <v>192796.33017674499</v>
      </c>
      <c r="BJ753" s="20"/>
    </row>
    <row r="754" spans="37:62" x14ac:dyDescent="0.3">
      <c r="AK754">
        <v>750</v>
      </c>
      <c r="AL754">
        <v>375</v>
      </c>
      <c r="AN754" s="48">
        <f t="shared" si="203"/>
        <v>27859.484707261527</v>
      </c>
      <c r="AO754" s="48">
        <f t="shared" si="204"/>
        <v>-206130.43837604162</v>
      </c>
      <c r="AP754" s="20"/>
      <c r="AQ754" s="50">
        <f t="shared" si="205"/>
        <v>945.81286120554205</v>
      </c>
      <c r="AR754" s="50">
        <f t="shared" si="206"/>
        <v>-2140.1600751530082</v>
      </c>
      <c r="AS754" s="20"/>
      <c r="AT754" s="52">
        <f t="shared" si="207"/>
        <v>-3.5604772365516411</v>
      </c>
      <c r="AU754" s="52">
        <f t="shared" si="208"/>
        <v>28.650829586667292</v>
      </c>
      <c r="AV754" s="20"/>
      <c r="AW754" s="20"/>
      <c r="AX754" s="20">
        <f t="shared" si="194"/>
        <v>-0.41985394464488451</v>
      </c>
      <c r="AY754" s="20">
        <f t="shared" si="195"/>
        <v>11.412145400006619</v>
      </c>
      <c r="AZ754" s="20"/>
      <c r="BA754" s="20">
        <f t="shared" si="196"/>
        <v>-0.79118319407475812</v>
      </c>
      <c r="BB754" s="20">
        <f t="shared" si="197"/>
        <v>3.5729338002084536</v>
      </c>
      <c r="BC754" s="20"/>
      <c r="BD754" s="20">
        <f t="shared" si="198"/>
        <v>-2.3494400978319985</v>
      </c>
      <c r="BE754" s="20">
        <f t="shared" si="199"/>
        <v>13.665750386452221</v>
      </c>
      <c r="BF754" s="20"/>
      <c r="BG754" s="54">
        <f t="shared" si="200"/>
        <v>213774.96509321057</v>
      </c>
      <c r="BH754" s="54">
        <f t="shared" si="201"/>
        <v>221365.97902357203</v>
      </c>
      <c r="BI754" s="54">
        <f t="shared" si="202"/>
        <v>193934.49979063706</v>
      </c>
      <c r="BJ754" s="20"/>
    </row>
    <row r="755" spans="37:62" x14ac:dyDescent="0.3">
      <c r="AK755">
        <v>751</v>
      </c>
      <c r="AL755">
        <v>375.5</v>
      </c>
      <c r="AN755" s="48">
        <f t="shared" si="203"/>
        <v>28331.94607820973</v>
      </c>
      <c r="AO755" s="48">
        <f t="shared" si="204"/>
        <v>-207196.93705991979</v>
      </c>
      <c r="AP755" s="20"/>
      <c r="AQ755" s="50">
        <f t="shared" si="205"/>
        <v>944.03262258726625</v>
      </c>
      <c r="AR755" s="50">
        <f t="shared" si="206"/>
        <v>-2125.8346603596747</v>
      </c>
      <c r="AS755" s="20"/>
      <c r="AT755" s="52">
        <f t="shared" si="207"/>
        <v>-3.5672594275275924</v>
      </c>
      <c r="AU755" s="52">
        <f t="shared" si="208"/>
        <v>28.337291264538337</v>
      </c>
      <c r="AV755" s="20"/>
      <c r="AW755" s="20"/>
      <c r="AX755" s="20">
        <f t="shared" si="194"/>
        <v>-0.43840706336977564</v>
      </c>
      <c r="AY755" s="20">
        <f t="shared" si="195"/>
        <v>11.296839034650759</v>
      </c>
      <c r="AZ755" s="20"/>
      <c r="BA755" s="20">
        <f t="shared" si="196"/>
        <v>-0.78675013859289744</v>
      </c>
      <c r="BB755" s="20">
        <f t="shared" si="197"/>
        <v>3.5355439662481372</v>
      </c>
      <c r="BC755" s="20"/>
      <c r="BD755" s="20">
        <f t="shared" si="198"/>
        <v>-2.3421022255649193</v>
      </c>
      <c r="BE755" s="20">
        <f t="shared" si="199"/>
        <v>13.50490826363944</v>
      </c>
      <c r="BF755" s="20"/>
      <c r="BG755" s="54">
        <f t="shared" si="200"/>
        <v>214858.5490697574</v>
      </c>
      <c r="BH755" s="54">
        <f t="shared" si="201"/>
        <v>222509.5199759276</v>
      </c>
      <c r="BI755" s="54">
        <f t="shared" si="202"/>
        <v>195065.83823052014</v>
      </c>
      <c r="BJ755" s="20"/>
    </row>
    <row r="756" spans="37:62" x14ac:dyDescent="0.3">
      <c r="AK756">
        <v>752</v>
      </c>
      <c r="AL756">
        <v>376</v>
      </c>
      <c r="AN756" s="48">
        <f t="shared" si="203"/>
        <v>28803.51648207492</v>
      </c>
      <c r="AO756" s="48">
        <f t="shared" si="204"/>
        <v>-208256.31222869156</v>
      </c>
      <c r="AP756" s="20"/>
      <c r="AQ756" s="50">
        <f t="shared" si="205"/>
        <v>942.2489928735024</v>
      </c>
      <c r="AR756" s="50">
        <f t="shared" si="206"/>
        <v>-2111.6660147274056</v>
      </c>
      <c r="AS756" s="20"/>
      <c r="AT756" s="52">
        <f t="shared" si="207"/>
        <v>-3.5734544445040717</v>
      </c>
      <c r="AU756" s="52">
        <f t="shared" si="208"/>
        <v>28.030591224175677</v>
      </c>
      <c r="AV756" s="20"/>
      <c r="AW756" s="20"/>
      <c r="AX756" s="20">
        <f t="shared" si="194"/>
        <v>-0.45633627891986395</v>
      </c>
      <c r="AY756" s="20">
        <f t="shared" si="195"/>
        <v>11.183875542958921</v>
      </c>
      <c r="AZ756" s="20"/>
      <c r="BA756" s="20">
        <f t="shared" si="196"/>
        <v>-0.78238712477997363</v>
      </c>
      <c r="BB756" s="20">
        <f t="shared" si="197"/>
        <v>3.4989472255017748</v>
      </c>
      <c r="BC756" s="20"/>
      <c r="BD756" s="20">
        <f t="shared" si="198"/>
        <v>-2.3347310408042343</v>
      </c>
      <c r="BE756" s="20">
        <f t="shared" si="199"/>
        <v>13.347768455714981</v>
      </c>
      <c r="BF756" s="20"/>
      <c r="BG756" s="54">
        <f t="shared" si="200"/>
        <v>215935.84271485548</v>
      </c>
      <c r="BH756" s="54">
        <f t="shared" si="201"/>
        <v>223646.15142828695</v>
      </c>
      <c r="BI756" s="54">
        <f t="shared" si="202"/>
        <v>196190.41756107108</v>
      </c>
      <c r="BJ756" s="20"/>
    </row>
    <row r="757" spans="37:62" x14ac:dyDescent="0.3">
      <c r="AK757">
        <v>753</v>
      </c>
      <c r="AL757">
        <v>376.5</v>
      </c>
      <c r="AN757" s="48">
        <f t="shared" si="203"/>
        <v>29274.194296706108</v>
      </c>
      <c r="AO757" s="48">
        <f t="shared" si="204"/>
        <v>-209308.64141215224</v>
      </c>
      <c r="AP757" s="20"/>
      <c r="AQ757" s="50">
        <f t="shared" si="205"/>
        <v>940.46226565125039</v>
      </c>
      <c r="AR757" s="50">
        <f t="shared" si="206"/>
        <v>-2097.6507191153178</v>
      </c>
      <c r="AS757" s="20"/>
      <c r="AT757" s="52">
        <f t="shared" si="207"/>
        <v>-3.5790918360811221</v>
      </c>
      <c r="AU757" s="52">
        <f t="shared" si="208"/>
        <v>27.730518391071271</v>
      </c>
      <c r="AV757" s="20"/>
      <c r="AW757" s="20"/>
      <c r="AX757" s="20">
        <f t="shared" si="194"/>
        <v>-0.47366606325718769</v>
      </c>
      <c r="AY757" s="20">
        <f t="shared" si="195"/>
        <v>11.073187855715652</v>
      </c>
      <c r="AZ757" s="20"/>
      <c r="BA757" s="20">
        <f t="shared" si="196"/>
        <v>-0.77809259498801342</v>
      </c>
      <c r="BB757" s="20">
        <f t="shared" si="197"/>
        <v>3.4631196376778588</v>
      </c>
      <c r="BC757" s="20"/>
      <c r="BD757" s="20">
        <f t="shared" si="198"/>
        <v>-2.327333177835921</v>
      </c>
      <c r="BE757" s="20">
        <f t="shared" si="199"/>
        <v>13.194210897677761</v>
      </c>
      <c r="BF757" s="20"/>
      <c r="BG757" s="54">
        <f t="shared" si="200"/>
        <v>217006.90696573755</v>
      </c>
      <c r="BH757" s="54">
        <f t="shared" si="201"/>
        <v>224775.94715990749</v>
      </c>
      <c r="BI757" s="54">
        <f t="shared" si="202"/>
        <v>197308.30829472115</v>
      </c>
      <c r="BJ757" s="20"/>
    </row>
    <row r="758" spans="37:62" x14ac:dyDescent="0.3">
      <c r="AK758">
        <v>754</v>
      </c>
      <c r="AL758">
        <v>377</v>
      </c>
      <c r="AN758" s="48">
        <f t="shared" si="203"/>
        <v>29743.978043052222</v>
      </c>
      <c r="AO758" s="48">
        <f t="shared" si="204"/>
        <v>-210354.00045691102</v>
      </c>
      <c r="AP758" s="20"/>
      <c r="AQ758" s="50">
        <f t="shared" si="205"/>
        <v>938.67271973320987</v>
      </c>
      <c r="AR758" s="50">
        <f t="shared" si="206"/>
        <v>-2083.7854599197822</v>
      </c>
      <c r="AS758" s="20"/>
      <c r="AT758" s="52">
        <f t="shared" si="207"/>
        <v>-3.5841996041133548</v>
      </c>
      <c r="AU758" s="52">
        <f t="shared" si="208"/>
        <v>27.436870128115423</v>
      </c>
      <c r="AV758" s="20"/>
      <c r="AW758" s="20"/>
      <c r="AX758" s="20">
        <f t="shared" si="194"/>
        <v>-0.49041976168172774</v>
      </c>
      <c r="AY758" s="20">
        <f t="shared" si="195"/>
        <v>10.964711385168778</v>
      </c>
      <c r="AZ758" s="20"/>
      <c r="BA758" s="20">
        <f t="shared" si="196"/>
        <v>-0.77386503847615651</v>
      </c>
      <c r="BB758" s="20">
        <f t="shared" si="197"/>
        <v>3.4280382018176709</v>
      </c>
      <c r="BC758" s="20"/>
      <c r="BD758" s="20">
        <f t="shared" si="198"/>
        <v>-2.3199148039554705</v>
      </c>
      <c r="BE758" s="20">
        <f t="shared" si="199"/>
        <v>13.044120541128972</v>
      </c>
      <c r="BF758" s="20"/>
      <c r="BG758" s="54">
        <f t="shared" si="200"/>
        <v>218071.80153147559</v>
      </c>
      <c r="BH758" s="54">
        <f t="shared" si="201"/>
        <v>225898.9793445557</v>
      </c>
      <c r="BI758" s="54">
        <f t="shared" si="202"/>
        <v>198419.57943906364</v>
      </c>
      <c r="BJ758" s="20"/>
    </row>
    <row r="759" spans="37:62" x14ac:dyDescent="0.3">
      <c r="AK759">
        <v>755</v>
      </c>
      <c r="AL759">
        <v>377.5</v>
      </c>
      <c r="AN759" s="48">
        <f t="shared" si="203"/>
        <v>30212.866377968312</v>
      </c>
      <c r="AO759" s="48">
        <f t="shared" si="204"/>
        <v>-211392.46357810489</v>
      </c>
      <c r="AP759" s="20"/>
      <c r="AQ759" s="50">
        <f t="shared" si="205"/>
        <v>936.88061993115321</v>
      </c>
      <c r="AR759" s="50">
        <f t="shared" si="206"/>
        <v>-2070.0670248557244</v>
      </c>
      <c r="AS759" s="20"/>
      <c r="AT759" s="52">
        <f t="shared" si="207"/>
        <v>-3.5888042944849046</v>
      </c>
      <c r="AU759" s="52">
        <f t="shared" si="208"/>
        <v>27.14945182337172</v>
      </c>
      <c r="AV759" s="20"/>
      <c r="AW759" s="20"/>
      <c r="AX759" s="20">
        <f t="shared" si="194"/>
        <v>-0.50661965319559077</v>
      </c>
      <c r="AY759" s="20">
        <f t="shared" si="195"/>
        <v>10.858383913089915</v>
      </c>
      <c r="AZ759" s="20"/>
      <c r="BA759" s="20">
        <f t="shared" si="196"/>
        <v>-0.7697029896392853</v>
      </c>
      <c r="BB759" s="20">
        <f t="shared" si="197"/>
        <v>3.3936808111484829</v>
      </c>
      <c r="BC759" s="20"/>
      <c r="BD759" s="20">
        <f t="shared" si="198"/>
        <v>-2.3124816516500286</v>
      </c>
      <c r="BE759" s="20">
        <f t="shared" si="199"/>
        <v>12.897387099133324</v>
      </c>
      <c r="BF759" s="20"/>
      <c r="BG759" s="54">
        <f t="shared" si="200"/>
        <v>219130.58492813414</v>
      </c>
      <c r="BH759" s="54">
        <f t="shared" si="201"/>
        <v>227015.31860003236</v>
      </c>
      <c r="BI759" s="54">
        <f t="shared" si="202"/>
        <v>199524.29854238281</v>
      </c>
      <c r="BJ759" s="20"/>
    </row>
    <row r="760" spans="37:62" x14ac:dyDescent="0.3">
      <c r="AK760">
        <v>756</v>
      </c>
      <c r="AL760">
        <v>378</v>
      </c>
      <c r="AN760" s="48">
        <f t="shared" si="203"/>
        <v>30680.858087397079</v>
      </c>
      <c r="AO760" s="48">
        <f t="shared" si="204"/>
        <v>-212424.10340905481</v>
      </c>
      <c r="AP760" s="20"/>
      <c r="AQ760" s="50">
        <f t="shared" si="205"/>
        <v>935.0862177839108</v>
      </c>
      <c r="AR760" s="50">
        <f t="shared" si="206"/>
        <v>-2056.4922989440383</v>
      </c>
      <c r="AS760" s="20"/>
      <c r="AT760" s="52">
        <f t="shared" si="207"/>
        <v>-3.5929310818940743</v>
      </c>
      <c r="AU760" s="52">
        <f t="shared" si="208"/>
        <v>26.868076501590352</v>
      </c>
      <c r="AV760" s="20"/>
      <c r="AW760" s="20"/>
      <c r="AX760" s="20">
        <f t="shared" si="194"/>
        <v>-0.52228700717006549</v>
      </c>
      <c r="AY760" s="20">
        <f t="shared" si="195"/>
        <v>10.754145484772321</v>
      </c>
      <c r="AZ760" s="20"/>
      <c r="BA760" s="20">
        <f t="shared" si="196"/>
        <v>-0.7656050263176386</v>
      </c>
      <c r="BB760" s="20">
        <f t="shared" si="197"/>
        <v>3.3600262104976619</v>
      </c>
      <c r="BC760" s="20"/>
      <c r="BD760" s="20">
        <f t="shared" si="198"/>
        <v>-2.3050390484063703</v>
      </c>
      <c r="BE760" s="20">
        <f t="shared" si="199"/>
        <v>12.753904806320367</v>
      </c>
      <c r="BF760" s="20"/>
      <c r="BG760" s="54">
        <f t="shared" si="200"/>
        <v>220183.31451261186</v>
      </c>
      <c r="BH760" s="54">
        <f t="shared" si="201"/>
        <v>228125.03403571647</v>
      </c>
      <c r="BI760" s="54">
        <f t="shared" si="202"/>
        <v>200622.53173739515</v>
      </c>
      <c r="BJ760" s="20"/>
    </row>
    <row r="761" spans="37:62" x14ac:dyDescent="0.3">
      <c r="AK761">
        <v>757</v>
      </c>
      <c r="AL761">
        <v>378.5</v>
      </c>
      <c r="AN761" s="48">
        <f t="shared" si="203"/>
        <v>31147.952079903796</v>
      </c>
      <c r="AO761" s="48">
        <f t="shared" si="204"/>
        <v>-213448.99104896412</v>
      </c>
      <c r="AP761" s="20"/>
      <c r="AQ761" s="50">
        <f t="shared" si="205"/>
        <v>933.2897522429638</v>
      </c>
      <c r="AR761" s="50">
        <f t="shared" si="206"/>
        <v>-2043.0582606932433</v>
      </c>
      <c r="AS761" s="20"/>
      <c r="AT761" s="52">
        <f t="shared" si="207"/>
        <v>-3.5966038490889334</v>
      </c>
      <c r="AU761" s="52">
        <f t="shared" si="208"/>
        <v>26.592564457891193</v>
      </c>
      <c r="AV761" s="20"/>
      <c r="AW761" s="20"/>
      <c r="AX761" s="20">
        <f t="shared" si="194"/>
        <v>-0.537442136570489</v>
      </c>
      <c r="AY761" s="20">
        <f t="shared" si="195"/>
        <v>10.65193830860761</v>
      </c>
      <c r="AZ761" s="20"/>
      <c r="BA761" s="20">
        <f t="shared" si="196"/>
        <v>-0.76156976818322131</v>
      </c>
      <c r="BB761" s="20">
        <f t="shared" si="197"/>
        <v>3.3270539561015076</v>
      </c>
      <c r="BC761" s="20"/>
      <c r="BD761" s="20">
        <f t="shared" si="198"/>
        <v>-2.2975919443352231</v>
      </c>
      <c r="BE761" s="20">
        <f t="shared" si="199"/>
        <v>12.613572193182074</v>
      </c>
      <c r="BF761" s="20"/>
      <c r="BG761" s="54">
        <f t="shared" si="200"/>
        <v>221230.04651523053</v>
      </c>
      <c r="BH761" s="54">
        <f t="shared" si="201"/>
        <v>229228.19329822451</v>
      </c>
      <c r="BI761" s="54">
        <f t="shared" si="202"/>
        <v>201714.3437832889</v>
      </c>
      <c r="BJ761" s="20"/>
    </row>
    <row r="762" spans="37:62" x14ac:dyDescent="0.3">
      <c r="AK762">
        <v>758</v>
      </c>
      <c r="AL762">
        <v>379</v>
      </c>
      <c r="AN762" s="48">
        <f t="shared" si="203"/>
        <v>31614.147380544142</v>
      </c>
      <c r="AO762" s="48">
        <f t="shared" si="204"/>
        <v>-214467.1961087535</v>
      </c>
      <c r="AP762" s="20"/>
      <c r="AQ762" s="50">
        <f t="shared" si="205"/>
        <v>931.49145031841931</v>
      </c>
      <c r="AR762" s="50">
        <f t="shared" si="206"/>
        <v>-2029.7619784642977</v>
      </c>
      <c r="AS762" s="20"/>
      <c r="AT762" s="52">
        <f t="shared" si="207"/>
        <v>-3.5998452609591958</v>
      </c>
      <c r="AU762" s="52">
        <f t="shared" si="208"/>
        <v>26.322742912161434</v>
      </c>
      <c r="AV762" s="20"/>
      <c r="AW762" s="20"/>
      <c r="AX762" s="20">
        <f t="shared" si="194"/>
        <v>-0.55210444797411096</v>
      </c>
      <c r="AY762" s="20">
        <f t="shared" si="195"/>
        <v>10.551706660901953</v>
      </c>
      <c r="AZ762" s="20"/>
      <c r="BA762" s="20">
        <f t="shared" si="196"/>
        <v>-0.75759587519867122</v>
      </c>
      <c r="BB762" s="20">
        <f t="shared" si="197"/>
        <v>3.2947443776530339</v>
      </c>
      <c r="BC762" s="20"/>
      <c r="BD762" s="20">
        <f t="shared" si="198"/>
        <v>-2.2901449377864136</v>
      </c>
      <c r="BE762" s="20">
        <f t="shared" si="199"/>
        <v>12.476291873606447</v>
      </c>
      <c r="BF762" s="20"/>
      <c r="BG762" s="54">
        <f t="shared" si="200"/>
        <v>222270.83607112931</v>
      </c>
      <c r="BH762" s="54">
        <f t="shared" si="201"/>
        <v>230324.86261527683</v>
      </c>
      <c r="BI762" s="54">
        <f t="shared" si="202"/>
        <v>202799.79810614244</v>
      </c>
      <c r="BJ762" s="20"/>
    </row>
    <row r="763" spans="37:62" x14ac:dyDescent="0.3">
      <c r="AK763">
        <v>759</v>
      </c>
      <c r="AL763">
        <v>379.5</v>
      </c>
      <c r="AN763" s="48">
        <f t="shared" si="203"/>
        <v>32079.443125045731</v>
      </c>
      <c r="AO763" s="48">
        <f t="shared" si="204"/>
        <v>-215478.78675512163</v>
      </c>
      <c r="AP763" s="20"/>
      <c r="AQ763" s="50">
        <f t="shared" si="205"/>
        <v>929.6915276879397</v>
      </c>
      <c r="AR763" s="50">
        <f t="shared" si="206"/>
        <v>-2016.6006070082169</v>
      </c>
      <c r="AS763" s="20"/>
      <c r="AT763" s="52">
        <f t="shared" si="207"/>
        <v>-3.6026768338567785</v>
      </c>
      <c r="AU763" s="52">
        <f t="shared" si="208"/>
        <v>26.058445682822018</v>
      </c>
      <c r="AV763" s="20"/>
      <c r="AW763" s="20"/>
      <c r="AX763" s="20">
        <f t="shared" si="194"/>
        <v>-0.56629248859848469</v>
      </c>
      <c r="AY763" s="20">
        <f t="shared" si="195"/>
        <v>10.453396795620131</v>
      </c>
      <c r="AZ763" s="20"/>
      <c r="BA763" s="20">
        <f t="shared" si="196"/>
        <v>-0.75368204614490064</v>
      </c>
      <c r="BB763" s="20">
        <f t="shared" si="197"/>
        <v>3.263078542445927</v>
      </c>
      <c r="BC763" s="20"/>
      <c r="BD763" s="20">
        <f t="shared" si="198"/>
        <v>-2.2827022991133932</v>
      </c>
      <c r="BE763" s="20">
        <f t="shared" si="199"/>
        <v>12.341970344755962</v>
      </c>
      <c r="BF763" s="20"/>
      <c r="BG763" s="54">
        <f t="shared" si="200"/>
        <v>223305.73725051762</v>
      </c>
      <c r="BH763" s="54">
        <f t="shared" si="201"/>
        <v>231415.10683785641</v>
      </c>
      <c r="BI763" s="54">
        <f t="shared" si="202"/>
        <v>203878.95683779882</v>
      </c>
      <c r="BJ763" s="20"/>
    </row>
    <row r="764" spans="37:62" x14ac:dyDescent="0.3">
      <c r="AK764">
        <v>760</v>
      </c>
      <c r="AL764">
        <v>380</v>
      </c>
      <c r="AN764" s="48">
        <f t="shared" si="203"/>
        <v>32543.838554285467</v>
      </c>
      <c r="AO764" s="48">
        <f t="shared" si="204"/>
        <v>-216483.82975291539</v>
      </c>
      <c r="AP764" s="20"/>
      <c r="AQ764" s="50">
        <f t="shared" si="205"/>
        <v>927.89018927101131</v>
      </c>
      <c r="AR764" s="50">
        <f t="shared" si="206"/>
        <v>-2003.571384166806</v>
      </c>
      <c r="AS764" s="20"/>
      <c r="AT764" s="52">
        <f t="shared" si="207"/>
        <v>-3.6051190004879556</v>
      </c>
      <c r="AU764" s="52">
        <f t="shared" si="208"/>
        <v>25.799512878716317</v>
      </c>
      <c r="AV764" s="20"/>
      <c r="AW764" s="20"/>
      <c r="AX764" s="20">
        <f t="shared" si="194"/>
        <v>-0.58002399054143472</v>
      </c>
      <c r="AY764" s="20">
        <f t="shared" si="195"/>
        <v>10.356956858764331</v>
      </c>
      <c r="AZ764" s="20"/>
      <c r="BA764" s="20">
        <f t="shared" si="196"/>
        <v>-0.74982701721379263</v>
      </c>
      <c r="BB764" s="20">
        <f t="shared" si="197"/>
        <v>3.2320382214811403</v>
      </c>
      <c r="BC764" s="20"/>
      <c r="BD764" s="20">
        <f t="shared" si="198"/>
        <v>-2.2752679927327284</v>
      </c>
      <c r="BE764" s="20">
        <f t="shared" si="199"/>
        <v>12.210517798470846</v>
      </c>
      <c r="BF764" s="20"/>
      <c r="BG764" s="54">
        <f t="shared" si="200"/>
        <v>224334.80308783782</v>
      </c>
      <c r="BH764" s="54">
        <f t="shared" si="201"/>
        <v>232498.98948074243</v>
      </c>
      <c r="BI764" s="54">
        <f t="shared" si="202"/>
        <v>204951.88085326771</v>
      </c>
      <c r="BJ764" s="20"/>
    </row>
    <row r="765" spans="37:62" x14ac:dyDescent="0.3">
      <c r="AK765">
        <v>761</v>
      </c>
      <c r="AL765">
        <v>380.5</v>
      </c>
      <c r="AN765" s="48">
        <f t="shared" si="203"/>
        <v>33007.333009045913</v>
      </c>
      <c r="AO765" s="48">
        <f t="shared" si="204"/>
        <v>-217482.39050588896</v>
      </c>
      <c r="AP765" s="20"/>
      <c r="AQ765" s="50">
        <f t="shared" si="205"/>
        <v>926.08762977076731</v>
      </c>
      <c r="AR765" s="50">
        <f t="shared" si="206"/>
        <v>-1990.6716277274477</v>
      </c>
      <c r="AS765" s="20"/>
      <c r="AT765" s="52">
        <f t="shared" si="207"/>
        <v>-3.6071911706923823</v>
      </c>
      <c r="AU765" s="52">
        <f t="shared" si="208"/>
        <v>25.545790607962413</v>
      </c>
      <c r="AV765" s="20"/>
      <c r="AW765" s="20"/>
      <c r="AX765" s="20">
        <f t="shared" si="194"/>
        <v>-0.5933159124186318</v>
      </c>
      <c r="AY765" s="20">
        <f t="shared" si="195"/>
        <v>10.262336807114435</v>
      </c>
      <c r="AZ765" s="20"/>
      <c r="BA765" s="20">
        <f t="shared" si="196"/>
        <v>-0.74602956066258952</v>
      </c>
      <c r="BB765" s="20">
        <f t="shared" si="197"/>
        <v>3.2016058574126443</v>
      </c>
      <c r="BC765" s="20"/>
      <c r="BD765" s="20">
        <f t="shared" si="198"/>
        <v>-2.2678456976111607</v>
      </c>
      <c r="BE765" s="20">
        <f t="shared" si="199"/>
        <v>12.081847943435333</v>
      </c>
      <c r="BF765" s="20"/>
      <c r="BG765" s="54">
        <f t="shared" si="200"/>
        <v>225358.0856098856</v>
      </c>
      <c r="BH765" s="54">
        <f t="shared" si="201"/>
        <v>233576.57276149432</v>
      </c>
      <c r="BI765" s="54">
        <f t="shared" si="202"/>
        <v>206018.62980672362</v>
      </c>
      <c r="BJ765" s="20"/>
    </row>
    <row r="766" spans="37:62" x14ac:dyDescent="0.3">
      <c r="AK766">
        <v>762</v>
      </c>
      <c r="AL766">
        <v>381</v>
      </c>
      <c r="AN766" s="48">
        <f t="shared" si="203"/>
        <v>33469.925925034964</v>
      </c>
      <c r="AO766" s="48">
        <f t="shared" si="204"/>
        <v>-218474.53309592669</v>
      </c>
      <c r="AP766" s="20"/>
      <c r="AQ766" s="50">
        <f t="shared" si="205"/>
        <v>924.28403418542109</v>
      </c>
      <c r="AR766" s="50">
        <f t="shared" si="206"/>
        <v>-1977.8987324234665</v>
      </c>
      <c r="AS766" s="20"/>
      <c r="AT766" s="52">
        <f t="shared" si="207"/>
        <v>-3.6089117883996922</v>
      </c>
      <c r="AU766" s="52">
        <f t="shared" si="208"/>
        <v>25.297130702696276</v>
      </c>
      <c r="AV766" s="20"/>
      <c r="AW766" s="20"/>
      <c r="AX766" s="20">
        <f t="shared" si="194"/>
        <v>-0.60618447857105495</v>
      </c>
      <c r="AY766" s="20">
        <f t="shared" si="195"/>
        <v>10.169488331075314</v>
      </c>
      <c r="AZ766" s="20"/>
      <c r="BA766" s="20">
        <f t="shared" si="196"/>
        <v>-0.74228848352672716</v>
      </c>
      <c r="BB766" s="20">
        <f t="shared" si="197"/>
        <v>3.1717645342173078</v>
      </c>
      <c r="BC766" s="20"/>
      <c r="BD766" s="20">
        <f t="shared" si="198"/>
        <v>-2.2604388263019102</v>
      </c>
      <c r="BE766" s="20">
        <f t="shared" si="199"/>
        <v>11.955877837403653</v>
      </c>
      <c r="BF766" s="20"/>
      <c r="BG766" s="54">
        <f t="shared" si="200"/>
        <v>226375.63586293467</v>
      </c>
      <c r="BH766" s="54">
        <f t="shared" si="201"/>
        <v>234647.91763795906</v>
      </c>
      <c r="BI766" s="54">
        <f t="shared" si="202"/>
        <v>207079.26216616438</v>
      </c>
      <c r="BJ766" s="20"/>
    </row>
    <row r="767" spans="37:62" x14ac:dyDescent="0.3">
      <c r="AK767">
        <v>763</v>
      </c>
      <c r="AL767">
        <v>381.5</v>
      </c>
      <c r="AN767" s="48">
        <f t="shared" si="203"/>
        <v>33931.616828154125</v>
      </c>
      <c r="AO767" s="48">
        <f t="shared" si="204"/>
        <v>-219460.32032080059</v>
      </c>
      <c r="AP767" s="20"/>
      <c r="AQ767" s="50">
        <f t="shared" si="205"/>
        <v>922.47957829122129</v>
      </c>
      <c r="AR767" s="50">
        <f t="shared" si="206"/>
        <v>-1965.2501670721183</v>
      </c>
      <c r="AS767" s="20"/>
      <c r="AT767" s="52">
        <f t="shared" si="207"/>
        <v>-3.6102983850318737</v>
      </c>
      <c r="AU767" s="52">
        <f t="shared" si="208"/>
        <v>25.053390458709565</v>
      </c>
      <c r="AV767" s="20"/>
      <c r="AW767" s="20"/>
      <c r="AX767" s="20">
        <f t="shared" si="194"/>
        <v>-0.61864521600192468</v>
      </c>
      <c r="AY767" s="20">
        <f t="shared" si="195"/>
        <v>10.078364781392795</v>
      </c>
      <c r="AZ767" s="20"/>
      <c r="BA767" s="20">
        <f t="shared" si="196"/>
        <v>-0.73860262638826812</v>
      </c>
      <c r="BB767" s="20">
        <f t="shared" si="197"/>
        <v>3.1424979484828341</v>
      </c>
      <c r="BC767" s="20"/>
      <c r="BD767" s="20">
        <f t="shared" si="198"/>
        <v>-2.2530505426416809</v>
      </c>
      <c r="BE767" s="20">
        <f t="shared" si="199"/>
        <v>11.832527728833936</v>
      </c>
      <c r="BF767" s="20"/>
      <c r="BG767" s="54">
        <f t="shared" si="200"/>
        <v>227387.50393890805</v>
      </c>
      <c r="BH767" s="54">
        <f t="shared" si="201"/>
        <v>235713.08384437053</v>
      </c>
      <c r="BI767" s="54">
        <f t="shared" si="202"/>
        <v>208133.8352467916</v>
      </c>
      <c r="BJ767" s="20"/>
    </row>
    <row r="768" spans="37:62" x14ac:dyDescent="0.3">
      <c r="AK768">
        <v>764</v>
      </c>
      <c r="AL768">
        <v>382</v>
      </c>
      <c r="AN768" s="48">
        <f t="shared" si="203"/>
        <v>34392.405330001609</v>
      </c>
      <c r="AO768" s="48">
        <f t="shared" si="204"/>
        <v>-220439.81373052931</v>
      </c>
      <c r="AP768" s="20"/>
      <c r="AQ768" s="50">
        <f t="shared" si="205"/>
        <v>920.67442909870533</v>
      </c>
      <c r="AR768" s="50">
        <f t="shared" si="206"/>
        <v>-1952.7234718427635</v>
      </c>
      <c r="AS768" s="20"/>
      <c r="AT768" s="52">
        <f t="shared" si="207"/>
        <v>-3.6113676295982056</v>
      </c>
      <c r="AU768" s="52">
        <f t="shared" si="208"/>
        <v>24.814432389054069</v>
      </c>
      <c r="AV768" s="20"/>
      <c r="AW768" s="20"/>
      <c r="AX768" s="20">
        <f t="shared" si="194"/>
        <v>-0.63071298919107766</v>
      </c>
      <c r="AY768" s="20">
        <f t="shared" si="195"/>
        <v>9.9889210995159985</v>
      </c>
      <c r="AZ768" s="20"/>
      <c r="BA768" s="20">
        <f t="shared" si="196"/>
        <v>-0.73497086219687258</v>
      </c>
      <c r="BB768" s="20">
        <f t="shared" si="197"/>
        <v>3.1137903822134363</v>
      </c>
      <c r="BC768" s="20"/>
      <c r="BD768" s="20">
        <f t="shared" si="198"/>
        <v>-2.2456837782102554</v>
      </c>
      <c r="BE768" s="20">
        <f t="shared" si="199"/>
        <v>11.711720907324633</v>
      </c>
      <c r="BF768" s="20"/>
      <c r="BG768" s="54">
        <f t="shared" si="200"/>
        <v>228393.73900063781</v>
      </c>
      <c r="BH768" s="54">
        <f t="shared" si="201"/>
        <v>236772.12992610477</v>
      </c>
      <c r="BI768" s="54">
        <f t="shared" si="202"/>
        <v>209182.40524316981</v>
      </c>
      <c r="BJ768" s="20"/>
    </row>
    <row r="769" spans="37:62" x14ac:dyDescent="0.3">
      <c r="AK769">
        <v>765</v>
      </c>
      <c r="AL769">
        <v>382.5</v>
      </c>
      <c r="AN769" s="48">
        <f t="shared" si="203"/>
        <v>34852.291123597264</v>
      </c>
      <c r="AO769" s="48">
        <f t="shared" si="204"/>
        <v>-221413.07366240205</v>
      </c>
      <c r="AP769" s="20"/>
      <c r="AQ769" s="50">
        <f t="shared" si="205"/>
        <v>918.86874528390626</v>
      </c>
      <c r="AR769" s="50">
        <f t="shared" si="206"/>
        <v>-1940.3162556482364</v>
      </c>
      <c r="AS769" s="20"/>
      <c r="AT769" s="52">
        <f t="shared" si="207"/>
        <v>-3.6121353757112962</v>
      </c>
      <c r="AU769" s="52">
        <f t="shared" si="208"/>
        <v>24.580123990752632</v>
      </c>
      <c r="AV769" s="20"/>
      <c r="AW769" s="20"/>
      <c r="AX769" s="20">
        <f t="shared" si="194"/>
        <v>-0.64240203292401366</v>
      </c>
      <c r="AY769" s="20">
        <f t="shared" si="195"/>
        <v>9.9011137513977463</v>
      </c>
      <c r="AZ769" s="20"/>
      <c r="BA769" s="20">
        <f t="shared" si="196"/>
        <v>-0.7313920951409052</v>
      </c>
      <c r="BB769" s="20">
        <f t="shared" si="197"/>
        <v>3.0856266770619634</v>
      </c>
      <c r="BC769" s="20"/>
      <c r="BD769" s="20">
        <f t="shared" si="198"/>
        <v>-2.2383412476463773</v>
      </c>
      <c r="BE769" s="20">
        <f t="shared" si="199"/>
        <v>11.593383562292921</v>
      </c>
      <c r="BF769" s="20"/>
      <c r="BG769" s="54">
        <f t="shared" si="200"/>
        <v>229394.38930625221</v>
      </c>
      <c r="BH769" s="54">
        <f t="shared" si="201"/>
        <v>237825.11327315326</v>
      </c>
      <c r="BI769" s="54">
        <f t="shared" si="202"/>
        <v>210225.02726021982</v>
      </c>
      <c r="BJ769" s="20"/>
    </row>
    <row r="770" spans="37:62" x14ac:dyDescent="0.3">
      <c r="AK770">
        <v>766</v>
      </c>
      <c r="AL770">
        <v>383</v>
      </c>
      <c r="AN770" s="48">
        <f t="shared" si="203"/>
        <v>35311.273979317251</v>
      </c>
      <c r="AO770" s="48">
        <f t="shared" si="204"/>
        <v>-222380.15927472731</v>
      </c>
      <c r="AP770" s="20"/>
      <c r="AQ770" s="50">
        <f t="shared" si="205"/>
        <v>917.06267759605066</v>
      </c>
      <c r="AR770" s="50">
        <f t="shared" si="206"/>
        <v>-1928.02619365286</v>
      </c>
      <c r="AS770" s="20"/>
      <c r="AT770" s="52">
        <f t="shared" si="207"/>
        <v>-3.6126167057349008</v>
      </c>
      <c r="AU770" s="52">
        <f t="shared" si="208"/>
        <v>24.350337523814389</v>
      </c>
      <c r="AV770" s="20"/>
      <c r="AW770" s="20"/>
      <c r="AX770" s="20">
        <f t="shared" si="194"/>
        <v>-0.6537259832629746</v>
      </c>
      <c r="AY770" s="20">
        <f t="shared" si="195"/>
        <v>9.8149006645377419</v>
      </c>
      <c r="AZ770" s="20"/>
      <c r="BA770" s="20">
        <f t="shared" si="196"/>
        <v>-0.72786525956596582</v>
      </c>
      <c r="BB770" s="20">
        <f t="shared" si="197"/>
        <v>3.0579922099015033</v>
      </c>
      <c r="BC770" s="20"/>
      <c r="BD770" s="20">
        <f t="shared" si="198"/>
        <v>-2.2310254629059605</v>
      </c>
      <c r="BE770" s="20">
        <f t="shared" si="199"/>
        <v>11.477444649375144</v>
      </c>
      <c r="BF770" s="20"/>
      <c r="BG770" s="54">
        <f t="shared" si="200"/>
        <v>230389.50223272698</v>
      </c>
      <c r="BH770" s="54">
        <f t="shared" si="201"/>
        <v>238872.09015237156</v>
      </c>
      <c r="BI770" s="54">
        <f t="shared" si="202"/>
        <v>211261.75534309764</v>
      </c>
      <c r="BJ770" s="20"/>
    </row>
    <row r="771" spans="37:62" x14ac:dyDescent="0.3">
      <c r="AK771">
        <v>767</v>
      </c>
      <c r="AL771">
        <v>383.5</v>
      </c>
      <c r="AN771" s="48">
        <f t="shared" si="203"/>
        <v>35769.353741027066</v>
      </c>
      <c r="AO771" s="48">
        <f t="shared" si="204"/>
        <v>-223341.12857936329</v>
      </c>
      <c r="AP771" s="20"/>
      <c r="AQ771" s="50">
        <f t="shared" si="205"/>
        <v>915.25636924318326</v>
      </c>
      <c r="AR771" s="50">
        <f t="shared" si="206"/>
        <v>-1915.8510248909529</v>
      </c>
      <c r="AS771" s="20"/>
      <c r="AT771" s="52">
        <f t="shared" si="207"/>
        <v>-3.6128259722583462</v>
      </c>
      <c r="AU771" s="52">
        <f t="shared" si="208"/>
        <v>24.124949801808711</v>
      </c>
      <c r="AV771" s="20"/>
      <c r="AW771" s="20"/>
      <c r="AX771" s="20">
        <f t="shared" si="194"/>
        <v>-0.6646979067784613</v>
      </c>
      <c r="AY771" s="20">
        <f t="shared" si="195"/>
        <v>9.730241168087769</v>
      </c>
      <c r="AZ771" s="20"/>
      <c r="BA771" s="20">
        <f t="shared" si="196"/>
        <v>-0.72438931893866221</v>
      </c>
      <c r="BB771" s="20">
        <f t="shared" si="197"/>
        <v>3.0308728696570135</v>
      </c>
      <c r="BC771" s="20"/>
      <c r="BD771" s="20">
        <f t="shared" si="198"/>
        <v>-2.2237387465412226</v>
      </c>
      <c r="BE771" s="20">
        <f t="shared" si="199"/>
        <v>11.36383576406393</v>
      </c>
      <c r="BF771" s="20"/>
      <c r="BG771" s="54">
        <f t="shared" si="200"/>
        <v>231379.12429863628</v>
      </c>
      <c r="BH771" s="54">
        <f t="shared" si="201"/>
        <v>239913.11573855806</v>
      </c>
      <c r="BI771" s="54">
        <f t="shared" si="202"/>
        <v>212292.64250600815</v>
      </c>
      <c r="BJ771" s="20"/>
    </row>
    <row r="772" spans="37:62" x14ac:dyDescent="0.3">
      <c r="AK772">
        <v>768</v>
      </c>
      <c r="AL772">
        <v>384</v>
      </c>
      <c r="AN772" s="48">
        <f t="shared" si="203"/>
        <v>36226.530322402126</v>
      </c>
      <c r="AO772" s="48">
        <f t="shared" si="204"/>
        <v>-224296.03847308355</v>
      </c>
      <c r="AP772" s="20"/>
      <c r="AQ772" s="50">
        <f t="shared" si="205"/>
        <v>913.44995625705405</v>
      </c>
      <c r="AR772" s="50">
        <f t="shared" si="206"/>
        <v>-1903.7885499900485</v>
      </c>
      <c r="AS772" s="20"/>
      <c r="AT772" s="52">
        <f t="shared" si="207"/>
        <v>-3.612776837077885</v>
      </c>
      <c r="AU772" s="52">
        <f t="shared" si="208"/>
        <v>23.903841993301857</v>
      </c>
      <c r="AV772" s="20"/>
      <c r="AW772" s="20"/>
      <c r="AX772" s="20">
        <f t="shared" ref="AX772:AX835" si="209">Masse_1*(q_1x-AN772)/($BG772^2+Aarseth_1^2)^(3/2)</f>
        <v>-0.67533032815097915</v>
      </c>
      <c r="AY772" s="20">
        <f t="shared" ref="AY772:AY835" si="210">Masse_1*(q_1y-AO772)/($BG772^2+Aarseth_1^2)^(3/2)</f>
        <v>9.6470959358458206</v>
      </c>
      <c r="AZ772" s="20"/>
      <c r="BA772" s="20">
        <f t="shared" ref="BA772:BA835" si="211">Masse_2*(q_2x-AN772)/($BH772^2+Aarseth_2^2)^(3/2)</f>
        <v>-0.72096326485325934</v>
      </c>
      <c r="BB772" s="20">
        <f t="shared" ref="BB772:BB835" si="212">Masse_2*(q_2y-AO772)/($BH772^2+Aarseth_2^2)^(3/2)</f>
        <v>3.0042550353215995</v>
      </c>
      <c r="BC772" s="20"/>
      <c r="BD772" s="20">
        <f t="shared" ref="BD772:BD835" si="213">Masse_3*(q_3x-AN772)/($BI772^2+Aarseth_3^2)^(3/2)</f>
        <v>-2.2164832440736464</v>
      </c>
      <c r="BE772" s="20">
        <f t="shared" ref="BE772:BE835" si="214">Masse_3*(q_3y-AO772)/($BI772^2+Aarseth_3^2)^(3/2)</f>
        <v>11.252491022134436</v>
      </c>
      <c r="BF772" s="20"/>
      <c r="BG772" s="54">
        <f t="shared" ref="BG772:BG835" si="215">SQRT((q_1x-AN772)^2+(q_1y-AO772)^2)</f>
        <v>232363.30118613623</v>
      </c>
      <c r="BH772" s="54">
        <f t="shared" ref="BH772:BH835" si="216">SQRT((q_2x-AN772)^2+(q_2y-AO772)^2)</f>
        <v>240948.24414441508</v>
      </c>
      <c r="BI772" s="54">
        <f t="shared" ref="BI772:BI835" si="217">SQRT((q_3x-AN772)^2+(q_3y-AO772)^2)</f>
        <v>213317.74075999964</v>
      </c>
      <c r="BJ772" s="20"/>
    </row>
    <row r="773" spans="37:62" x14ac:dyDescent="0.3">
      <c r="AK773">
        <v>769</v>
      </c>
      <c r="AL773">
        <v>384.5</v>
      </c>
      <c r="AN773" s="48">
        <f t="shared" ref="AN773:AN836" si="218">AN772+(AQ772*bt)+(0.5*AT772)*bt^2</f>
        <v>36682.80370342602</v>
      </c>
      <c r="AO773" s="48">
        <f t="shared" ref="AO773:AO836" si="219">AO772+(AR772*bt)+(0.5*AU772)*bt^2</f>
        <v>-225244.94476782941</v>
      </c>
      <c r="AP773" s="20"/>
      <c r="AQ773" s="50">
        <f t="shared" ref="AQ773:AQ836" si="220">AQ772+(AT772*bt)</f>
        <v>911.64356783851508</v>
      </c>
      <c r="AR773" s="50">
        <f t="shared" ref="AR773:AR836" si="221">AR772+(AU772*bt)</f>
        <v>-1891.8366289933977</v>
      </c>
      <c r="AS773" s="20"/>
      <c r="AT773" s="52">
        <f t="shared" si="207"/>
        <v>-3.6124823078517845</v>
      </c>
      <c r="AU773" s="52">
        <f t="shared" si="208"/>
        <v>23.686899433509602</v>
      </c>
      <c r="AV773" s="20"/>
      <c r="AW773" s="20"/>
      <c r="AX773" s="20">
        <f t="shared" si="209"/>
        <v>-0.68563525624539312</v>
      </c>
      <c r="AY773" s="20">
        <f t="shared" si="210"/>
        <v>9.5654269319814187</v>
      </c>
      <c r="AZ773" s="20"/>
      <c r="BA773" s="20">
        <f t="shared" si="211"/>
        <v>-0.71758611607924239</v>
      </c>
      <c r="BB773" s="20">
        <f t="shared" si="212"/>
        <v>2.978125555088226</v>
      </c>
      <c r="BC773" s="20"/>
      <c r="BD773" s="20">
        <f t="shared" si="213"/>
        <v>-2.2092609355271491</v>
      </c>
      <c r="BE773" s="20">
        <f t="shared" si="214"/>
        <v>11.143346946439959</v>
      </c>
      <c r="BF773" s="20"/>
      <c r="BG773" s="54">
        <f t="shared" si="215"/>
        <v>233342.07776221374</v>
      </c>
      <c r="BH773" s="54">
        <f t="shared" si="216"/>
        <v>241977.52844944142</v>
      </c>
      <c r="BI773" s="54">
        <f t="shared" si="217"/>
        <v>214337.10113978398</v>
      </c>
      <c r="BJ773" s="20"/>
    </row>
    <row r="774" spans="37:62" x14ac:dyDescent="0.3">
      <c r="AK774">
        <v>770</v>
      </c>
      <c r="AL774">
        <v>385</v>
      </c>
      <c r="AN774" s="48">
        <f t="shared" si="218"/>
        <v>37138.1739270568</v>
      </c>
      <c r="AO774" s="48">
        <f t="shared" si="219"/>
        <v>-226187.9022198969</v>
      </c>
      <c r="AP774" s="20"/>
      <c r="AQ774" s="50">
        <f t="shared" si="220"/>
        <v>909.83732668458924</v>
      </c>
      <c r="AR774" s="50">
        <f t="shared" si="221"/>
        <v>-1879.9931792766429</v>
      </c>
      <c r="AS774" s="20"/>
      <c r="AT774" s="52">
        <f t="shared" si="207"/>
        <v>-3.6119547725835432</v>
      </c>
      <c r="AU774" s="52">
        <f t="shared" si="208"/>
        <v>23.474011445559874</v>
      </c>
      <c r="AV774" s="20"/>
      <c r="AW774" s="20"/>
      <c r="AX774" s="20">
        <f t="shared" si="209"/>
        <v>-0.69562420875284292</v>
      </c>
      <c r="AY774" s="20">
        <f t="shared" si="210"/>
        <v>9.4851973593399244</v>
      </c>
      <c r="AZ774" s="20"/>
      <c r="BA774" s="20">
        <f t="shared" si="211"/>
        <v>-0.71425691764770793</v>
      </c>
      <c r="BB774" s="20">
        <f t="shared" si="212"/>
        <v>2.9524717265312774</v>
      </c>
      <c r="BC774" s="20"/>
      <c r="BD774" s="20">
        <f t="shared" si="213"/>
        <v>-2.2020736461829924</v>
      </c>
      <c r="BE774" s="20">
        <f t="shared" si="214"/>
        <v>11.036342359688671</v>
      </c>
      <c r="BF774" s="20"/>
      <c r="BG774" s="54">
        <f t="shared" si="215"/>
        <v>234315.49809922976</v>
      </c>
      <c r="BH774" s="54">
        <f t="shared" si="216"/>
        <v>243001.02072780309</v>
      </c>
      <c r="BI774" s="54">
        <f t="shared" si="217"/>
        <v>215350.77372962379</v>
      </c>
      <c r="BJ774" s="20"/>
    </row>
    <row r="775" spans="37:62" x14ac:dyDescent="0.3">
      <c r="AK775">
        <v>771</v>
      </c>
      <c r="AL775">
        <v>385.5</v>
      </c>
      <c r="AN775" s="48">
        <f t="shared" si="218"/>
        <v>37592.641096052517</v>
      </c>
      <c r="AO775" s="48">
        <f t="shared" si="219"/>
        <v>-227124.96455810452</v>
      </c>
      <c r="AP775" s="20"/>
      <c r="AQ775" s="50">
        <f t="shared" si="220"/>
        <v>908.03134929829753</v>
      </c>
      <c r="AR775" s="50">
        <f t="shared" si="221"/>
        <v>-1868.2561735538629</v>
      </c>
      <c r="AS775" s="20"/>
      <c r="AT775" s="52">
        <f t="shared" si="207"/>
        <v>-3.6112060320765722</v>
      </c>
      <c r="AU775" s="52">
        <f t="shared" si="208"/>
        <v>23.265071170803139</v>
      </c>
      <c r="AV775" s="20"/>
      <c r="AW775" s="20"/>
      <c r="AX775" s="20">
        <f t="shared" si="209"/>
        <v>-0.70530823548887112</v>
      </c>
      <c r="AY775" s="20">
        <f t="shared" si="210"/>
        <v>9.4063716101868931</v>
      </c>
      <c r="AZ775" s="20"/>
      <c r="BA775" s="20">
        <f t="shared" si="211"/>
        <v>-0.71097473997478799</v>
      </c>
      <c r="BB775" s="20">
        <f t="shared" si="212"/>
        <v>2.9272812777774235</v>
      </c>
      <c r="BC775" s="20"/>
      <c r="BD775" s="20">
        <f t="shared" si="213"/>
        <v>-2.1949230566129132</v>
      </c>
      <c r="BE775" s="20">
        <f t="shared" si="214"/>
        <v>10.931418282838822</v>
      </c>
      <c r="BF775" s="20"/>
      <c r="BG775" s="54">
        <f t="shared" si="215"/>
        <v>235283.60549478646</v>
      </c>
      <c r="BH775" s="54">
        <f t="shared" si="216"/>
        <v>244018.77207522589</v>
      </c>
      <c r="BI775" s="54">
        <f t="shared" si="217"/>
        <v>216358.80768832649</v>
      </c>
      <c r="BJ775" s="20"/>
    </row>
    <row r="776" spans="37:62" x14ac:dyDescent="0.3">
      <c r="AK776">
        <v>772</v>
      </c>
      <c r="AL776">
        <v>386</v>
      </c>
      <c r="AN776" s="48">
        <f t="shared" si="218"/>
        <v>38046.205369947653</v>
      </c>
      <c r="AO776" s="48">
        <f t="shared" si="219"/>
        <v>-228056.1845109851</v>
      </c>
      <c r="AP776" s="20"/>
      <c r="AQ776" s="50">
        <f t="shared" si="220"/>
        <v>906.22574628225925</v>
      </c>
      <c r="AR776" s="50">
        <f t="shared" si="221"/>
        <v>-1856.6236379684615</v>
      </c>
      <c r="AS776" s="20"/>
      <c r="AT776" s="52">
        <f t="shared" si="207"/>
        <v>-3.6102473304929266</v>
      </c>
      <c r="AU776" s="52">
        <f t="shared" si="208"/>
        <v>23.059975407642586</v>
      </c>
      <c r="AV776" s="20"/>
      <c r="AW776" s="20"/>
      <c r="AX776" s="20">
        <f t="shared" si="209"/>
        <v>-0.71469794043013413</v>
      </c>
      <c r="AY776" s="20">
        <f t="shared" si="210"/>
        <v>9.3289152192591978</v>
      </c>
      <c r="AZ776" s="20"/>
      <c r="BA776" s="20">
        <f t="shared" si="211"/>
        <v>-0.70773867802033075</v>
      </c>
      <c r="BB776" s="20">
        <f t="shared" si="212"/>
        <v>2.9025423496088987</v>
      </c>
      <c r="BC776" s="20"/>
      <c r="BD776" s="20">
        <f t="shared" si="213"/>
        <v>-2.1878107120424617</v>
      </c>
      <c r="BE776" s="20">
        <f t="shared" si="214"/>
        <v>10.82851783877449</v>
      </c>
      <c r="BF776" s="20"/>
      <c r="BG776" s="54">
        <f t="shared" si="215"/>
        <v>236246.44249094542</v>
      </c>
      <c r="BH776" s="54">
        <f t="shared" si="216"/>
        <v>245030.83263495294</v>
      </c>
      <c r="BI776" s="54">
        <f t="shared" si="217"/>
        <v>217361.25127338275</v>
      </c>
      <c r="BJ776" s="20"/>
    </row>
    <row r="777" spans="37:62" x14ac:dyDescent="0.3">
      <c r="AK777">
        <v>773</v>
      </c>
      <c r="AL777">
        <v>386.5</v>
      </c>
      <c r="AN777" s="48">
        <f t="shared" si="218"/>
        <v>38498.866962172469</v>
      </c>
      <c r="AO777" s="48">
        <f t="shared" si="219"/>
        <v>-228981.61383304338</v>
      </c>
      <c r="AP777" s="20"/>
      <c r="AQ777" s="50">
        <f t="shared" si="220"/>
        <v>904.42062261701278</v>
      </c>
      <c r="AR777" s="50">
        <f t="shared" si="221"/>
        <v>-1845.0936502646402</v>
      </c>
      <c r="AS777" s="20"/>
      <c r="AT777" s="52">
        <f t="shared" si="207"/>
        <v>-3.6090893841393497</v>
      </c>
      <c r="AU777" s="52">
        <f t="shared" si="208"/>
        <v>22.858624458392455</v>
      </c>
      <c r="AV777" s="20"/>
      <c r="AW777" s="20"/>
      <c r="AX777" s="20">
        <f t="shared" si="209"/>
        <v>-0.72380350256651438</v>
      </c>
      <c r="AY777" s="20">
        <f t="shared" si="210"/>
        <v>9.2527948189988631</v>
      </c>
      <c r="AZ777" s="20"/>
      <c r="BA777" s="20">
        <f t="shared" si="211"/>
        <v>-0.70454785048017154</v>
      </c>
      <c r="BB777" s="20">
        <f t="shared" si="212"/>
        <v>2.8782434784460014</v>
      </c>
      <c r="BC777" s="20"/>
      <c r="BD777" s="20">
        <f t="shared" si="213"/>
        <v>-2.1807380310926638</v>
      </c>
      <c r="BE777" s="20">
        <f t="shared" si="214"/>
        <v>10.72758616094759</v>
      </c>
      <c r="BF777" s="20"/>
      <c r="BG777" s="54">
        <f t="shared" si="215"/>
        <v>237204.05089282268</v>
      </c>
      <c r="BH777" s="54">
        <f t="shared" si="216"/>
        <v>246037.25162280572</v>
      </c>
      <c r="BI777" s="54">
        <f t="shared" si="217"/>
        <v>218358.15186428576</v>
      </c>
      <c r="BJ777" s="20"/>
    </row>
    <row r="778" spans="37:62" x14ac:dyDescent="0.3">
      <c r="AK778">
        <v>774</v>
      </c>
      <c r="AL778">
        <v>387</v>
      </c>
      <c r="AN778" s="48">
        <f t="shared" si="218"/>
        <v>38950.626137307954</v>
      </c>
      <c r="AO778" s="48">
        <f t="shared" si="219"/>
        <v>-229901.30333011842</v>
      </c>
      <c r="AP778" s="20"/>
      <c r="AQ778" s="50">
        <f t="shared" si="220"/>
        <v>902.61607792494306</v>
      </c>
      <c r="AR778" s="50">
        <f t="shared" si="221"/>
        <v>-1833.664338035444</v>
      </c>
      <c r="AS778" s="20"/>
      <c r="AT778" s="52">
        <f t="shared" si="207"/>
        <v>-3.6077424085948966</v>
      </c>
      <c r="AU778" s="52">
        <f t="shared" si="208"/>
        <v>22.660921983704895</v>
      </c>
      <c r="AV778" s="20"/>
      <c r="AW778" s="20"/>
      <c r="AX778" s="20">
        <f t="shared" si="209"/>
        <v>-0.73263469564033923</v>
      </c>
      <c r="AY778" s="20">
        <f t="shared" si="210"/>
        <v>9.177978096853991</v>
      </c>
      <c r="AZ778" s="20"/>
      <c r="BA778" s="20">
        <f t="shared" si="211"/>
        <v>-0.70140139901038123</v>
      </c>
      <c r="BB778" s="20">
        <f t="shared" si="212"/>
        <v>2.8543735801589398</v>
      </c>
      <c r="BC778" s="20"/>
      <c r="BD778" s="20">
        <f t="shared" si="213"/>
        <v>-2.1737063139441761</v>
      </c>
      <c r="BE778" s="20">
        <f t="shared" si="214"/>
        <v>10.628570306691962</v>
      </c>
      <c r="BF778" s="20"/>
      <c r="BG778" s="54">
        <f t="shared" si="215"/>
        <v>238156.47178658596</v>
      </c>
      <c r="BH778" s="54">
        <f t="shared" si="216"/>
        <v>247038.07735138756</v>
      </c>
      <c r="BI778" s="54">
        <f t="shared" si="217"/>
        <v>219349.5559850646</v>
      </c>
      <c r="BJ778" s="20"/>
    </row>
    <row r="779" spans="37:62" x14ac:dyDescent="0.3">
      <c r="AK779">
        <v>775</v>
      </c>
      <c r="AL779">
        <v>387.5</v>
      </c>
      <c r="AN779" s="48">
        <f t="shared" si="218"/>
        <v>39401.483208469355</v>
      </c>
      <c r="AO779" s="48">
        <f t="shared" si="219"/>
        <v>-230815.30288388819</v>
      </c>
      <c r="AP779" s="20"/>
      <c r="AQ779" s="50">
        <f t="shared" si="220"/>
        <v>900.81220672064558</v>
      </c>
      <c r="AR779" s="50">
        <f t="shared" si="221"/>
        <v>-1822.3338770435914</v>
      </c>
      <c r="AS779" s="20"/>
      <c r="AT779" s="52">
        <f t="shared" si="207"/>
        <v>-3.6062161442864067</v>
      </c>
      <c r="AU779" s="52">
        <f t="shared" si="208"/>
        <v>22.466774864134752</v>
      </c>
      <c r="AV779" s="20"/>
      <c r="AW779" s="20"/>
      <c r="AX779" s="20">
        <f t="shared" si="209"/>
        <v>-0.74120090683944995</v>
      </c>
      <c r="AY779" s="20">
        <f t="shared" si="210"/>
        <v>9.1044337545362222</v>
      </c>
      <c r="AZ779" s="20"/>
      <c r="BA779" s="20">
        <f t="shared" si="211"/>
        <v>-0.69829848748211909</v>
      </c>
      <c r="BB779" s="20">
        <f t="shared" si="212"/>
        <v>2.830921934662928</v>
      </c>
      <c r="BC779" s="20"/>
      <c r="BD779" s="20">
        <f t="shared" si="213"/>
        <v>-2.1667167499648379</v>
      </c>
      <c r="BE779" s="20">
        <f t="shared" si="214"/>
        <v>10.531419174935602</v>
      </c>
      <c r="BF779" s="20"/>
      <c r="BG779" s="54">
        <f t="shared" si="215"/>
        <v>239103.74555687723</v>
      </c>
      <c r="BH779" s="54">
        <f t="shared" si="216"/>
        <v>248033.35725346475</v>
      </c>
      <c r="BI779" s="54">
        <f t="shared" si="217"/>
        <v>220335.50932606478</v>
      </c>
      <c r="BJ779" s="20"/>
    </row>
    <row r="780" spans="37:62" x14ac:dyDescent="0.3">
      <c r="AK780">
        <v>776</v>
      </c>
      <c r="AL780">
        <v>388</v>
      </c>
      <c r="AN780" s="48">
        <f t="shared" si="218"/>
        <v>39851.438534811641</v>
      </c>
      <c r="AO780" s="48">
        <f t="shared" si="219"/>
        <v>-231723.66147555195</v>
      </c>
      <c r="AP780" s="20"/>
      <c r="AQ780" s="50">
        <f t="shared" si="220"/>
        <v>899.00909864850234</v>
      </c>
      <c r="AR780" s="50">
        <f t="shared" si="221"/>
        <v>-1811.1004896115242</v>
      </c>
      <c r="AS780" s="20"/>
      <c r="AT780" s="52">
        <f t="shared" si="207"/>
        <v>-3.6045198806103298</v>
      </c>
      <c r="AU780" s="52">
        <f t="shared" si="208"/>
        <v>22.276093068439145</v>
      </c>
      <c r="AV780" s="20"/>
      <c r="AW780" s="20"/>
      <c r="AX780" s="20">
        <f t="shared" si="209"/>
        <v>-0.74951115450649852</v>
      </c>
      <c r="AY780" s="20">
        <f t="shared" si="210"/>
        <v>9.0321314691320431</v>
      </c>
      <c r="AZ780" s="20"/>
      <c r="BA780" s="20">
        <f t="shared" si="211"/>
        <v>-0.69523830126550279</v>
      </c>
      <c r="BB780" s="20">
        <f t="shared" si="212"/>
        <v>2.807878171252197</v>
      </c>
      <c r="BC780" s="20"/>
      <c r="BD780" s="20">
        <f t="shared" si="213"/>
        <v>-2.1597704248383285</v>
      </c>
      <c r="BE780" s="20">
        <f t="shared" si="214"/>
        <v>10.436083428054905</v>
      </c>
      <c r="BF780" s="20"/>
      <c r="BG780" s="54">
        <f t="shared" si="215"/>
        <v>240045.9119036833</v>
      </c>
      <c r="BH780" s="54">
        <f t="shared" si="216"/>
        <v>249023.13790456014</v>
      </c>
      <c r="BI780" s="54">
        <f t="shared" si="217"/>
        <v>221316.05676500662</v>
      </c>
      <c r="BJ780" s="20"/>
    </row>
    <row r="781" spans="37:62" x14ac:dyDescent="0.3">
      <c r="AK781">
        <v>777</v>
      </c>
      <c r="AL781">
        <v>388.5</v>
      </c>
      <c r="AN781" s="48">
        <f t="shared" si="218"/>
        <v>40300.492519150815</v>
      </c>
      <c r="AO781" s="48">
        <f t="shared" si="219"/>
        <v>-232626.42720872414</v>
      </c>
      <c r="AP781" s="20"/>
      <c r="AQ781" s="50">
        <f t="shared" si="220"/>
        <v>897.20683870819721</v>
      </c>
      <c r="AR781" s="50">
        <f t="shared" si="221"/>
        <v>-1799.9624430773047</v>
      </c>
      <c r="AS781" s="20"/>
      <c r="AT781" s="52">
        <f t="shared" si="207"/>
        <v>-3.6026624786929937</v>
      </c>
      <c r="AU781" s="52">
        <f t="shared" si="208"/>
        <v>22.088789528236475</v>
      </c>
      <c r="AV781" s="20"/>
      <c r="AW781" s="20"/>
      <c r="AX781" s="20">
        <f t="shared" si="209"/>
        <v>-0.75757410492274857</v>
      </c>
      <c r="AY781" s="20">
        <f t="shared" si="210"/>
        <v>8.9610418559714979</v>
      </c>
      <c r="AZ781" s="20"/>
      <c r="BA781" s="20">
        <f t="shared" si="211"/>
        <v>-0.69222004654134228</v>
      </c>
      <c r="BB781" s="20">
        <f t="shared" si="212"/>
        <v>2.7852322546327986</v>
      </c>
      <c r="BC781" s="20"/>
      <c r="BD781" s="20">
        <f t="shared" si="213"/>
        <v>-2.1528683272289029</v>
      </c>
      <c r="BE781" s="20">
        <f t="shared" si="214"/>
        <v>10.34251541763218</v>
      </c>
      <c r="BF781" s="20"/>
      <c r="BG781" s="54">
        <f t="shared" si="215"/>
        <v>240983.00985867612</v>
      </c>
      <c r="BH781" s="54">
        <f t="shared" si="216"/>
        <v>250007.46504479117</v>
      </c>
      <c r="BI781" s="54">
        <f t="shared" si="217"/>
        <v>222291.24238735036</v>
      </c>
      <c r="BJ781" s="20"/>
    </row>
    <row r="782" spans="37:62" x14ac:dyDescent="0.3">
      <c r="AK782">
        <v>778</v>
      </c>
      <c r="AL782">
        <v>389</v>
      </c>
      <c r="AN782" s="48">
        <f t="shared" si="218"/>
        <v>40748.645605695077</v>
      </c>
      <c r="AO782" s="48">
        <f t="shared" si="219"/>
        <v>-233523.64733157176</v>
      </c>
      <c r="AP782" s="20"/>
      <c r="AQ782" s="50">
        <f t="shared" si="220"/>
        <v>895.40550746885071</v>
      </c>
      <c r="AR782" s="50">
        <f t="shared" si="221"/>
        <v>-1788.9180483131863</v>
      </c>
      <c r="AS782" s="20"/>
      <c r="AT782" s="52">
        <f t="shared" si="207"/>
        <v>-3.6006523928742933</v>
      </c>
      <c r="AU782" s="52">
        <f t="shared" si="208"/>
        <v>21.904780018669449</v>
      </c>
      <c r="AV782" s="20"/>
      <c r="AW782" s="20"/>
      <c r="AX782" s="20">
        <f t="shared" si="209"/>
        <v>-0.76539808822071653</v>
      </c>
      <c r="AY782" s="20">
        <f t="shared" si="210"/>
        <v>8.891136433162341</v>
      </c>
      <c r="AZ782" s="20"/>
      <c r="BA782" s="20">
        <f t="shared" si="211"/>
        <v>-0.68924294963935873</v>
      </c>
      <c r="BB782" s="20">
        <f t="shared" si="212"/>
        <v>2.7629744716154154</v>
      </c>
      <c r="BC782" s="20"/>
      <c r="BD782" s="20">
        <f t="shared" si="213"/>
        <v>-2.1460113550142181</v>
      </c>
      <c r="BE782" s="20">
        <f t="shared" si="214"/>
        <v>10.250669113891695</v>
      </c>
      <c r="BF782" s="20"/>
      <c r="BG782" s="54">
        <f t="shared" si="215"/>
        <v>241915.07780104282</v>
      </c>
      <c r="BH782" s="54">
        <f t="shared" si="216"/>
        <v>250986.38359998353</v>
      </c>
      <c r="BI782" s="54">
        <f t="shared" si="217"/>
        <v>223261.10950599666</v>
      </c>
      <c r="BJ782" s="20"/>
    </row>
    <row r="783" spans="37:62" x14ac:dyDescent="0.3">
      <c r="AK783">
        <v>779</v>
      </c>
      <c r="AL783">
        <v>389.5</v>
      </c>
      <c r="AN783" s="48">
        <f t="shared" si="218"/>
        <v>41195.898277880391</v>
      </c>
      <c r="AO783" s="48">
        <f t="shared" si="219"/>
        <v>-234415.36825822602</v>
      </c>
      <c r="AP783" s="20"/>
      <c r="AQ783" s="50">
        <f t="shared" si="220"/>
        <v>893.60518127241357</v>
      </c>
      <c r="AR783" s="50">
        <f t="shared" si="221"/>
        <v>-1777.9656583038516</v>
      </c>
      <c r="AS783" s="20"/>
      <c r="AT783" s="52">
        <f t="shared" si="207"/>
        <v>-3.5984976909945754</v>
      </c>
      <c r="AU783" s="52">
        <f t="shared" si="208"/>
        <v>21.723983044742987</v>
      </c>
      <c r="AV783" s="20"/>
      <c r="AW783" s="20"/>
      <c r="AX783" s="20">
        <f t="shared" si="209"/>
        <v>-0.77299111347657068</v>
      </c>
      <c r="AY783" s="20">
        <f t="shared" si="210"/>
        <v>8.8223875877045757</v>
      </c>
      <c r="AZ783" s="20"/>
      <c r="BA783" s="20">
        <f t="shared" si="211"/>
        <v>-0.68630625640172427</v>
      </c>
      <c r="BB783" s="20">
        <f t="shared" si="212"/>
        <v>2.7410954184323804</v>
      </c>
      <c r="BC783" s="20"/>
      <c r="BD783" s="20">
        <f t="shared" si="213"/>
        <v>-2.1392003211162804</v>
      </c>
      <c r="BE783" s="20">
        <f t="shared" si="214"/>
        <v>10.160500038606031</v>
      </c>
      <c r="BF783" s="20"/>
      <c r="BG783" s="54">
        <f t="shared" si="215"/>
        <v>242842.15347282556</v>
      </c>
      <c r="BH783" s="54">
        <f t="shared" si="216"/>
        <v>251959.93770208969</v>
      </c>
      <c r="BI783" s="54">
        <f t="shared" si="217"/>
        <v>224225.70068034844</v>
      </c>
      <c r="BJ783" s="20"/>
    </row>
    <row r="784" spans="37:62" x14ac:dyDescent="0.3">
      <c r="AK784">
        <v>780</v>
      </c>
      <c r="AL784">
        <v>390</v>
      </c>
      <c r="AN784" s="48">
        <f t="shared" si="218"/>
        <v>41642.251056305227</v>
      </c>
      <c r="AO784" s="48">
        <f t="shared" si="219"/>
        <v>-235301.63558949737</v>
      </c>
      <c r="AP784" s="20"/>
      <c r="AQ784" s="50">
        <f t="shared" si="220"/>
        <v>891.80593242691634</v>
      </c>
      <c r="AR784" s="50">
        <f t="shared" si="221"/>
        <v>-1767.1036667814801</v>
      </c>
      <c r="AS784" s="20"/>
      <c r="AT784" s="52">
        <f t="shared" si="207"/>
        <v>-3.5962060735587098</v>
      </c>
      <c r="AU784" s="52">
        <f t="shared" si="208"/>
        <v>21.546319733026188</v>
      </c>
      <c r="AV784" s="20"/>
      <c r="AW784" s="20"/>
      <c r="AX784" s="20">
        <f t="shared" si="209"/>
        <v>-0.78036088302980666</v>
      </c>
      <c r="AY784" s="20">
        <f t="shared" si="210"/>
        <v>8.7547685431040545</v>
      </c>
      <c r="AZ784" s="20"/>
      <c r="BA784" s="20">
        <f t="shared" si="211"/>
        <v>-0.68340923157082678</v>
      </c>
      <c r="BB784" s="20">
        <f t="shared" si="212"/>
        <v>2.7195859886453282</v>
      </c>
      <c r="BC784" s="20"/>
      <c r="BD784" s="20">
        <f t="shared" si="213"/>
        <v>-2.1324359589580761</v>
      </c>
      <c r="BE784" s="20">
        <f t="shared" si="214"/>
        <v>10.071965201276804</v>
      </c>
      <c r="BF784" s="20"/>
      <c r="BG784" s="54">
        <f t="shared" si="215"/>
        <v>243764.27399378936</v>
      </c>
      <c r="BH784" s="54">
        <f t="shared" si="216"/>
        <v>252928.17070894086</v>
      </c>
      <c r="BI784" s="54">
        <f t="shared" si="217"/>
        <v>225185.05773475979</v>
      </c>
      <c r="BJ784" s="20"/>
    </row>
    <row r="785" spans="37:62" x14ac:dyDescent="0.3">
      <c r="AK785">
        <v>781</v>
      </c>
      <c r="AL785">
        <v>390.5</v>
      </c>
      <c r="AN785" s="48">
        <f t="shared" si="218"/>
        <v>42087.704496759492</v>
      </c>
      <c r="AO785" s="48">
        <f t="shared" si="219"/>
        <v>-236182.49413292148</v>
      </c>
      <c r="AP785" s="20"/>
      <c r="AQ785" s="50">
        <f t="shared" si="220"/>
        <v>890.00782939013698</v>
      </c>
      <c r="AR785" s="50">
        <f t="shared" si="221"/>
        <v>-1756.3305069149669</v>
      </c>
      <c r="AS785" s="20"/>
      <c r="AT785" s="52">
        <f t="shared" si="207"/>
        <v>-3.5937848918459636</v>
      </c>
      <c r="AU785" s="52">
        <f t="shared" si="208"/>
        <v>21.371713728425394</v>
      </c>
      <c r="AV785" s="20"/>
      <c r="AW785" s="20"/>
      <c r="AX785" s="20">
        <f t="shared" si="209"/>
        <v>-0.78751480607467383</v>
      </c>
      <c r="AY785" s="20">
        <f t="shared" si="210"/>
        <v>8.6882533284087931</v>
      </c>
      <c r="AZ785" s="20"/>
      <c r="BA785" s="20">
        <f t="shared" si="211"/>
        <v>-0.68055115820006884</v>
      </c>
      <c r="BB785" s="20">
        <f t="shared" si="212"/>
        <v>2.6984373616113579</v>
      </c>
      <c r="BC785" s="20"/>
      <c r="BD785" s="20">
        <f t="shared" si="213"/>
        <v>-2.1257189275712212</v>
      </c>
      <c r="BE785" s="20">
        <f t="shared" si="214"/>
        <v>9.9850230384052434</v>
      </c>
      <c r="BF785" s="20"/>
      <c r="BG785" s="54">
        <f t="shared" si="215"/>
        <v>244681.47587583633</v>
      </c>
      <c r="BH785" s="54">
        <f t="shared" si="216"/>
        <v>253891.12522335799</v>
      </c>
      <c r="BI785" s="54">
        <f t="shared" si="217"/>
        <v>226139.22177639595</v>
      </c>
      <c r="BJ785" s="20"/>
    </row>
    <row r="786" spans="37:62" x14ac:dyDescent="0.3">
      <c r="AK786">
        <v>782</v>
      </c>
      <c r="AL786">
        <v>391</v>
      </c>
      <c r="AN786" s="48">
        <f t="shared" si="218"/>
        <v>42532.25918834308</v>
      </c>
      <c r="AO786" s="48">
        <f t="shared" si="219"/>
        <v>-237057.98792216292</v>
      </c>
      <c r="AP786" s="20"/>
      <c r="AQ786" s="50">
        <f t="shared" si="220"/>
        <v>888.21093694421404</v>
      </c>
      <c r="AR786" s="50">
        <f t="shared" si="221"/>
        <v>-1745.6446500507543</v>
      </c>
      <c r="AS786" s="20"/>
      <c r="AT786" s="52">
        <f t="shared" ref="AT786:AT849" si="222">AX786+BA786+BD786</f>
        <v>-3.5912411650306222</v>
      </c>
      <c r="AU786" s="52">
        <f t="shared" ref="AU786:AU849" si="223">AY786+BB786+BE786</f>
        <v>21.200091095758268</v>
      </c>
      <c r="AV786" s="20"/>
      <c r="AW786" s="20"/>
      <c r="AX786" s="20">
        <f t="shared" si="209"/>
        <v>-0.79446001156504942</v>
      </c>
      <c r="AY786" s="20">
        <f t="shared" si="210"/>
        <v>8.6228167485967084</v>
      </c>
      <c r="AZ786" s="20"/>
      <c r="BA786" s="20">
        <f t="shared" si="211"/>
        <v>-0.67773133708688083</v>
      </c>
      <c r="BB786" s="20">
        <f t="shared" si="212"/>
        <v>2.6776409914787629</v>
      </c>
      <c r="BC786" s="20"/>
      <c r="BD786" s="20">
        <f t="shared" si="213"/>
        <v>-2.1190498163786922</v>
      </c>
      <c r="BE786" s="20">
        <f t="shared" si="214"/>
        <v>9.8996333556827949</v>
      </c>
      <c r="BF786" s="20"/>
      <c r="BG786" s="54">
        <f t="shared" si="215"/>
        <v>245593.79503698269</v>
      </c>
      <c r="BH786" s="54">
        <f t="shared" si="216"/>
        <v>254848.84311164866</v>
      </c>
      <c r="BI786" s="54">
        <f t="shared" si="217"/>
        <v>227088.2332125275</v>
      </c>
      <c r="BJ786" s="20"/>
    </row>
    <row r="787" spans="37:62" x14ac:dyDescent="0.3">
      <c r="AK787">
        <v>783</v>
      </c>
      <c r="AL787">
        <v>391.5</v>
      </c>
      <c r="AN787" s="48">
        <f t="shared" si="218"/>
        <v>42975.915751669563</v>
      </c>
      <c r="AO787" s="48">
        <f t="shared" si="219"/>
        <v>-237928.1602358013</v>
      </c>
      <c r="AP787" s="20"/>
      <c r="AQ787" s="50">
        <f t="shared" si="220"/>
        <v>886.41531636169873</v>
      </c>
      <c r="AR787" s="50">
        <f t="shared" si="221"/>
        <v>-1735.0446045028752</v>
      </c>
      <c r="AS787" s="20"/>
      <c r="AT787" s="52">
        <f t="shared" si="222"/>
        <v>-3.5885815963725758</v>
      </c>
      <c r="AU787" s="52">
        <f t="shared" si="223"/>
        <v>21.031380225868446</v>
      </c>
      <c r="AV787" s="20"/>
      <c r="AW787" s="20"/>
      <c r="AX787" s="20">
        <f t="shared" si="209"/>
        <v>-0.80120336047173335</v>
      </c>
      <c r="AY787" s="20">
        <f t="shared" si="210"/>
        <v>8.5584343562467247</v>
      </c>
      <c r="AZ787" s="20"/>
      <c r="BA787" s="20">
        <f t="shared" si="211"/>
        <v>-0.67494908622671523</v>
      </c>
      <c r="BB787" s="20">
        <f t="shared" si="212"/>
        <v>2.6571885966833029</v>
      </c>
      <c r="BC787" s="20"/>
      <c r="BD787" s="20">
        <f t="shared" si="213"/>
        <v>-2.112429149674127</v>
      </c>
      <c r="BE787" s="20">
        <f t="shared" si="214"/>
        <v>9.8157572729384164</v>
      </c>
      <c r="BF787" s="20"/>
      <c r="BG787" s="54">
        <f t="shared" si="215"/>
        <v>246501.26681491514</v>
      </c>
      <c r="BH787" s="54">
        <f t="shared" si="216"/>
        <v>255801.36552151269</v>
      </c>
      <c r="BI787" s="54">
        <f t="shared" si="217"/>
        <v>228032.13176728055</v>
      </c>
      <c r="BJ787" s="20"/>
    </row>
    <row r="788" spans="37:62" x14ac:dyDescent="0.3">
      <c r="AK788">
        <v>784</v>
      </c>
      <c r="AL788">
        <v>392</v>
      </c>
      <c r="AN788" s="48">
        <f t="shared" si="218"/>
        <v>43418.674837150866</v>
      </c>
      <c r="AO788" s="48">
        <f t="shared" si="219"/>
        <v>-238793.05361552449</v>
      </c>
      <c r="AP788" s="20"/>
      <c r="AQ788" s="50">
        <f t="shared" si="220"/>
        <v>884.62102556351249</v>
      </c>
      <c r="AR788" s="50">
        <f t="shared" si="221"/>
        <v>-1724.5289143899411</v>
      </c>
      <c r="AS788" s="20"/>
      <c r="AT788" s="52">
        <f t="shared" si="222"/>
        <v>-3.5858125885345009</v>
      </c>
      <c r="AU788" s="52">
        <f t="shared" si="223"/>
        <v>20.865511746042493</v>
      </c>
      <c r="AV788" s="20"/>
      <c r="AW788" s="20"/>
      <c r="AX788" s="20">
        <f t="shared" si="209"/>
        <v>-0.80775145742867815</v>
      </c>
      <c r="AY788" s="20">
        <f t="shared" si="210"/>
        <v>8.4950824244290626</v>
      </c>
      <c r="AZ788" s="20"/>
      <c r="BA788" s="20">
        <f t="shared" si="211"/>
        <v>-0.67220374028734986</v>
      </c>
      <c r="BB788" s="20">
        <f t="shared" si="212"/>
        <v>2.6370721499197463</v>
      </c>
      <c r="BC788" s="20"/>
      <c r="BD788" s="20">
        <f t="shared" si="213"/>
        <v>-2.105857390818473</v>
      </c>
      <c r="BE788" s="20">
        <f t="shared" si="214"/>
        <v>9.7333571716936866</v>
      </c>
      <c r="BF788" s="20"/>
      <c r="BG788" s="54">
        <f t="shared" si="215"/>
        <v>247403.92598014249</v>
      </c>
      <c r="BH788" s="54">
        <f t="shared" si="216"/>
        <v>256748.73289938067</v>
      </c>
      <c r="BI788" s="54">
        <f t="shared" si="217"/>
        <v>228970.9564978641</v>
      </c>
      <c r="BJ788" s="20"/>
    </row>
    <row r="789" spans="37:62" x14ac:dyDescent="0.3">
      <c r="AK789">
        <v>785</v>
      </c>
      <c r="AL789">
        <v>392.5</v>
      </c>
      <c r="AN789" s="48">
        <f t="shared" si="218"/>
        <v>43860.537123359056</v>
      </c>
      <c r="AO789" s="48">
        <f t="shared" si="219"/>
        <v>-239652.7098837512</v>
      </c>
      <c r="AP789" s="20"/>
      <c r="AQ789" s="50">
        <f t="shared" si="220"/>
        <v>882.82811926924524</v>
      </c>
      <c r="AR789" s="50">
        <f t="shared" si="221"/>
        <v>-1714.0961585169198</v>
      </c>
      <c r="AS789" s="20"/>
      <c r="AT789" s="52">
        <f t="shared" si="222"/>
        <v>-3.5829402580774472</v>
      </c>
      <c r="AU789" s="52">
        <f t="shared" si="223"/>
        <v>20.70241843450059</v>
      </c>
      <c r="AV789" s="20"/>
      <c r="AW789" s="20"/>
      <c r="AX789" s="20">
        <f t="shared" si="209"/>
        <v>-0.81411066180246461</v>
      </c>
      <c r="AY789" s="20">
        <f t="shared" si="210"/>
        <v>8.4327379207550379</v>
      </c>
      <c r="AZ789" s="20"/>
      <c r="BA789" s="20">
        <f t="shared" si="211"/>
        <v>-0.66949465010247311</v>
      </c>
      <c r="BB789" s="20">
        <f t="shared" si="212"/>
        <v>2.6172838685633129</v>
      </c>
      <c r="BC789" s="20"/>
      <c r="BD789" s="20">
        <f t="shared" si="213"/>
        <v>-2.0993349461725095</v>
      </c>
      <c r="BE789" s="20">
        <f t="shared" si="214"/>
        <v>9.6523966451822396</v>
      </c>
      <c r="BF789" s="20"/>
      <c r="BG789" s="54">
        <f t="shared" si="215"/>
        <v>248301.80674875664</v>
      </c>
      <c r="BH789" s="54">
        <f t="shared" si="216"/>
        <v>257690.98500720659</v>
      </c>
      <c r="BI789" s="54">
        <f t="shared" si="217"/>
        <v>229904.74581029429</v>
      </c>
      <c r="BJ789" s="20"/>
    </row>
    <row r="790" spans="37:62" x14ac:dyDescent="0.3">
      <c r="AK790">
        <v>786</v>
      </c>
      <c r="AL790">
        <v>393</v>
      </c>
      <c r="AN790" s="48">
        <f t="shared" si="218"/>
        <v>44301.503315461421</v>
      </c>
      <c r="AO790" s="48">
        <f t="shared" si="219"/>
        <v>-240507.17016070537</v>
      </c>
      <c r="AP790" s="20"/>
      <c r="AQ790" s="50">
        <f t="shared" si="220"/>
        <v>881.03664914020646</v>
      </c>
      <c r="AR790" s="50">
        <f t="shared" si="221"/>
        <v>-1703.7449492996695</v>
      </c>
      <c r="AS790" s="20"/>
      <c r="AT790" s="52">
        <f t="shared" si="222"/>
        <v>-3.5799704491838709</v>
      </c>
      <c r="AU790" s="52">
        <f t="shared" si="223"/>
        <v>20.542035138748524</v>
      </c>
      <c r="AV790" s="20"/>
      <c r="AW790" s="20"/>
      <c r="AX790" s="20">
        <f t="shared" si="209"/>
        <v>-0.82028709821709311</v>
      </c>
      <c r="AY790" s="20">
        <f t="shared" si="210"/>
        <v>8.3713784825288737</v>
      </c>
      <c r="AZ790" s="20"/>
      <c r="BA790" s="20">
        <f t="shared" si="211"/>
        <v>-0.66682118218376496</v>
      </c>
      <c r="BB790" s="20">
        <f t="shared" si="212"/>
        <v>2.5978162055179386</v>
      </c>
      <c r="BC790" s="20"/>
      <c r="BD790" s="20">
        <f t="shared" si="213"/>
        <v>-2.0928621687830127</v>
      </c>
      <c r="BE790" s="20">
        <f t="shared" si="214"/>
        <v>9.5728404507017117</v>
      </c>
      <c r="BF790" s="20"/>
      <c r="BG790" s="54">
        <f t="shared" si="215"/>
        <v>249194.94279481767</v>
      </c>
      <c r="BH790" s="54">
        <f t="shared" si="216"/>
        <v>258628.16093873631</v>
      </c>
      <c r="BI790" s="54">
        <f t="shared" si="217"/>
        <v>230833.53747463512</v>
      </c>
      <c r="BJ790" s="20"/>
    </row>
    <row r="791" spans="37:62" x14ac:dyDescent="0.3">
      <c r="AK791">
        <v>787</v>
      </c>
      <c r="AL791">
        <v>393.5</v>
      </c>
      <c r="AN791" s="48">
        <f t="shared" si="218"/>
        <v>44741.574143725375</v>
      </c>
      <c r="AO791" s="48">
        <f t="shared" si="219"/>
        <v>-241356.47488096287</v>
      </c>
      <c r="AP791" s="20"/>
      <c r="AQ791" s="50">
        <f t="shared" si="220"/>
        <v>879.24666391561448</v>
      </c>
      <c r="AR791" s="50">
        <f t="shared" si="221"/>
        <v>-1693.4739317302954</v>
      </c>
      <c r="AS791" s="20"/>
      <c r="AT791" s="52">
        <f t="shared" si="222"/>
        <v>-3.5769087466535718</v>
      </c>
      <c r="AU791" s="52">
        <f t="shared" si="223"/>
        <v>20.384298697589813</v>
      </c>
      <c r="AV791" s="20"/>
      <c r="AW791" s="20"/>
      <c r="AX791" s="20">
        <f t="shared" si="209"/>
        <v>-0.82628666656425109</v>
      </c>
      <c r="AY791" s="20">
        <f t="shared" si="210"/>
        <v>8.3109823929480822</v>
      </c>
      <c r="AZ791" s="20"/>
      <c r="BA791" s="20">
        <f t="shared" si="211"/>
        <v>-0.66418271825070263</v>
      </c>
      <c r="BB791" s="20">
        <f t="shared" si="212"/>
        <v>2.5786618404695139</v>
      </c>
      <c r="BC791" s="20"/>
      <c r="BD791" s="20">
        <f t="shared" si="213"/>
        <v>-2.0864393618386181</v>
      </c>
      <c r="BE791" s="20">
        <f t="shared" si="214"/>
        <v>9.4946544641722159</v>
      </c>
      <c r="BF791" s="20"/>
      <c r="BG791" s="54">
        <f t="shared" si="215"/>
        <v>250083.36726237665</v>
      </c>
      <c r="BH791" s="54">
        <f t="shared" si="216"/>
        <v>259560.29913527146</v>
      </c>
      <c r="BI791" s="54">
        <f t="shared" si="217"/>
        <v>231757.36863977314</v>
      </c>
      <c r="BJ791" s="20"/>
    </row>
    <row r="792" spans="37:62" x14ac:dyDescent="0.3">
      <c r="AK792">
        <v>788</v>
      </c>
      <c r="AL792">
        <v>394</v>
      </c>
      <c r="AN792" s="48">
        <f t="shared" si="218"/>
        <v>45180.75036208985</v>
      </c>
      <c r="AO792" s="48">
        <f t="shared" si="219"/>
        <v>-242200.66380949083</v>
      </c>
      <c r="AP792" s="20"/>
      <c r="AQ792" s="50">
        <f t="shared" si="220"/>
        <v>877.4582095422877</v>
      </c>
      <c r="AR792" s="50">
        <f t="shared" si="221"/>
        <v>-1683.2817823815005</v>
      </c>
      <c r="AS792" s="20"/>
      <c r="AT792" s="52">
        <f t="shared" si="222"/>
        <v>-3.5737604882154699</v>
      </c>
      <c r="AU792" s="52">
        <f t="shared" si="223"/>
        <v>20.229147866609875</v>
      </c>
      <c r="AV792" s="20"/>
      <c r="AW792" s="20"/>
      <c r="AX792" s="20">
        <f t="shared" si="209"/>
        <v>-0.83211505152727427</v>
      </c>
      <c r="AY792" s="20">
        <f t="shared" si="210"/>
        <v>8.2515285583008566</v>
      </c>
      <c r="AZ792" s="20"/>
      <c r="BA792" s="20">
        <f t="shared" si="211"/>
        <v>-0.66157865477730671</v>
      </c>
      <c r="BB792" s="20">
        <f t="shared" si="212"/>
        <v>2.5598136715233282</v>
      </c>
      <c r="BC792" s="20"/>
      <c r="BD792" s="20">
        <f t="shared" si="213"/>
        <v>-2.0800667819108889</v>
      </c>
      <c r="BE792" s="20">
        <f t="shared" si="214"/>
        <v>9.4178056367856904</v>
      </c>
      <c r="BF792" s="20"/>
      <c r="BG792" s="54">
        <f t="shared" si="215"/>
        <v>250967.11277714904</v>
      </c>
      <c r="BH792" s="54">
        <f t="shared" si="216"/>
        <v>260487.43740094817</v>
      </c>
      <c r="BI792" s="54">
        <f t="shared" si="217"/>
        <v>232676.27584774443</v>
      </c>
      <c r="BJ792" s="20"/>
    </row>
    <row r="793" spans="37:62" x14ac:dyDescent="0.3">
      <c r="AK793">
        <v>789</v>
      </c>
      <c r="AL793">
        <v>394.5</v>
      </c>
      <c r="AN793" s="48">
        <f t="shared" si="218"/>
        <v>45619.032746799967</v>
      </c>
      <c r="AO793" s="48">
        <f t="shared" si="219"/>
        <v>-243039.77605719827</v>
      </c>
      <c r="AP793" s="20"/>
      <c r="AQ793" s="50">
        <f t="shared" si="220"/>
        <v>875.67132929818001</v>
      </c>
      <c r="AR793" s="50">
        <f t="shared" si="221"/>
        <v>-1673.1672084481957</v>
      </c>
      <c r="AS793" s="20"/>
      <c r="AT793" s="52">
        <f t="shared" si="222"/>
        <v>-3.5705307761945821</v>
      </c>
      <c r="AU793" s="52">
        <f t="shared" si="223"/>
        <v>20.076523246952878</v>
      </c>
      <c r="AV793" s="20"/>
      <c r="AW793" s="20"/>
      <c r="AX793" s="20">
        <f t="shared" si="209"/>
        <v>-0.83777773164548042</v>
      </c>
      <c r="AY793" s="20">
        <f t="shared" si="210"/>
        <v>8.1929964861137883</v>
      </c>
      <c r="AZ793" s="20"/>
      <c r="BA793" s="20">
        <f t="shared" si="211"/>
        <v>-0.65900840255512194</v>
      </c>
      <c r="BB793" s="20">
        <f t="shared" si="212"/>
        <v>2.5412648072062933</v>
      </c>
      <c r="BC793" s="20"/>
      <c r="BD793" s="20">
        <f t="shared" si="213"/>
        <v>-2.0737446419939798</v>
      </c>
      <c r="BE793" s="20">
        <f t="shared" si="214"/>
        <v>9.3422619536327964</v>
      </c>
      <c r="BF793" s="20"/>
      <c r="BG793" s="54">
        <f t="shared" si="215"/>
        <v>251846.21145785111</v>
      </c>
      <c r="BH793" s="54">
        <f t="shared" si="216"/>
        <v>261409.61291754871</v>
      </c>
      <c r="BI793" s="54">
        <f t="shared" si="217"/>
        <v>233590.2950476298</v>
      </c>
      <c r="BJ793" s="20"/>
    </row>
    <row r="794" spans="37:62" x14ac:dyDescent="0.3">
      <c r="AK794">
        <v>790</v>
      </c>
      <c r="AL794">
        <v>395</v>
      </c>
      <c r="AN794" s="48">
        <f t="shared" si="218"/>
        <v>46056.422095102032</v>
      </c>
      <c r="AO794" s="48">
        <f t="shared" si="219"/>
        <v>-243873.85009601648</v>
      </c>
      <c r="AP794" s="20"/>
      <c r="AQ794" s="50">
        <f t="shared" si="220"/>
        <v>873.88606391008273</v>
      </c>
      <c r="AR794" s="50">
        <f t="shared" si="221"/>
        <v>-1663.1289468247192</v>
      </c>
      <c r="AS794" s="20"/>
      <c r="AT794" s="52">
        <f t="shared" si="222"/>
        <v>-3.5672244885722737</v>
      </c>
      <c r="AU794" s="52">
        <f t="shared" si="223"/>
        <v>19.926367217225973</v>
      </c>
      <c r="AV794" s="20"/>
      <c r="AW794" s="20"/>
      <c r="AX794" s="20">
        <f t="shared" si="209"/>
        <v>-0.84327998794367709</v>
      </c>
      <c r="AY794" s="20">
        <f t="shared" si="210"/>
        <v>8.1353662642029132</v>
      </c>
      <c r="AZ794" s="20"/>
      <c r="BA794" s="20">
        <f t="shared" si="211"/>
        <v>-0.65647138627180401</v>
      </c>
      <c r="BB794" s="20">
        <f t="shared" si="212"/>
        <v>2.5230085588158091</v>
      </c>
      <c r="BC794" s="20"/>
      <c r="BD794" s="20">
        <f t="shared" si="213"/>
        <v>-2.0674731143567926</v>
      </c>
      <c r="BE794" s="20">
        <f t="shared" si="214"/>
        <v>9.2679923942072531</v>
      </c>
      <c r="BF794" s="20"/>
      <c r="BG794" s="54">
        <f t="shared" si="215"/>
        <v>252720.69492721147</v>
      </c>
      <c r="BH794" s="54">
        <f t="shared" si="216"/>
        <v>262326.86225886387</v>
      </c>
      <c r="BI794" s="54">
        <f t="shared" si="217"/>
        <v>234499.46160903451</v>
      </c>
      <c r="BJ794" s="20"/>
    </row>
    <row r="795" spans="37:62" x14ac:dyDescent="0.3">
      <c r="AK795">
        <v>791</v>
      </c>
      <c r="AL795">
        <v>395.5</v>
      </c>
      <c r="AN795" s="48">
        <f t="shared" si="218"/>
        <v>46492.919223996003</v>
      </c>
      <c r="AO795" s="48">
        <f t="shared" si="219"/>
        <v>-244702.92377352668</v>
      </c>
      <c r="AP795" s="20"/>
      <c r="AQ795" s="50">
        <f t="shared" si="220"/>
        <v>872.10245166579659</v>
      </c>
      <c r="AR795" s="50">
        <f t="shared" si="221"/>
        <v>-1653.1657632161061</v>
      </c>
      <c r="AS795" s="20"/>
      <c r="AT795" s="52">
        <f t="shared" si="222"/>
        <v>-3.5638462894738816</v>
      </c>
      <c r="AU795" s="52">
        <f t="shared" si="223"/>
        <v>19.77862386837003</v>
      </c>
      <c r="AV795" s="20"/>
      <c r="AW795" s="20"/>
      <c r="AX795" s="20">
        <f t="shared" si="209"/>
        <v>-0.84862691215039454</v>
      </c>
      <c r="AY795" s="20">
        <f t="shared" si="210"/>
        <v>8.078618540586298</v>
      </c>
      <c r="AZ795" s="20"/>
      <c r="BA795" s="20">
        <f t="shared" si="211"/>
        <v>-0.65396704410454021</v>
      </c>
      <c r="BB795" s="20">
        <f t="shared" si="212"/>
        <v>2.505038433097496</v>
      </c>
      <c r="BC795" s="20"/>
      <c r="BD795" s="20">
        <f t="shared" si="213"/>
        <v>-2.0612523332189467</v>
      </c>
      <c r="BE795" s="20">
        <f t="shared" si="214"/>
        <v>9.1949668946862353</v>
      </c>
      <c r="BF795" s="20"/>
      <c r="BG795" s="54">
        <f t="shared" si="215"/>
        <v>253590.594322669</v>
      </c>
      <c r="BH795" s="54">
        <f t="shared" si="216"/>
        <v>263239.22140462237</v>
      </c>
      <c r="BI795" s="54">
        <f t="shared" si="217"/>
        <v>235403.81033516765</v>
      </c>
      <c r="BJ795" s="20"/>
    </row>
    <row r="796" spans="37:62" x14ac:dyDescent="0.3">
      <c r="AK796">
        <v>792</v>
      </c>
      <c r="AL796">
        <v>396</v>
      </c>
      <c r="AN796" s="48">
        <f t="shared" si="218"/>
        <v>46928.524969042715</v>
      </c>
      <c r="AO796" s="48">
        <f t="shared" si="219"/>
        <v>-245527.03432715117</v>
      </c>
      <c r="AP796" s="20"/>
      <c r="AQ796" s="50">
        <f t="shared" si="220"/>
        <v>870.3205285210596</v>
      </c>
      <c r="AR796" s="50">
        <f t="shared" si="221"/>
        <v>-1643.276451281921</v>
      </c>
      <c r="AS796" s="20"/>
      <c r="AT796" s="52">
        <f t="shared" si="222"/>
        <v>-3.5604006391173004</v>
      </c>
      <c r="AU796" s="52">
        <f t="shared" si="223"/>
        <v>19.633238941350964</v>
      </c>
      <c r="AV796" s="20"/>
      <c r="AW796" s="20"/>
      <c r="AX796" s="20">
        <f t="shared" si="209"/>
        <v>-0.85382341452678756</v>
      </c>
      <c r="AY796" s="20">
        <f t="shared" si="210"/>
        <v>8.0227345042165119</v>
      </c>
      <c r="AZ796" s="20"/>
      <c r="BA796" s="20">
        <f t="shared" si="211"/>
        <v>-0.65149482732784736</v>
      </c>
      <c r="BB796" s="20">
        <f t="shared" si="212"/>
        <v>2.4873481252360756</v>
      </c>
      <c r="BC796" s="20"/>
      <c r="BD796" s="20">
        <f t="shared" si="213"/>
        <v>-2.0550823972626655</v>
      </c>
      <c r="BE796" s="20">
        <f t="shared" si="214"/>
        <v>9.1231563118983772</v>
      </c>
      <c r="BF796" s="20"/>
      <c r="BG796" s="54">
        <f t="shared" si="215"/>
        <v>254455.9403067684</v>
      </c>
      <c r="BH796" s="54">
        <f t="shared" si="216"/>
        <v>264146.72575400374</v>
      </c>
      <c r="BI796" s="54">
        <f t="shared" si="217"/>
        <v>236303.37547553575</v>
      </c>
      <c r="BJ796" s="20"/>
    </row>
    <row r="797" spans="37:62" x14ac:dyDescent="0.3">
      <c r="AK797">
        <v>793</v>
      </c>
      <c r="AL797">
        <v>396.5</v>
      </c>
      <c r="AN797" s="48">
        <f t="shared" si="218"/>
        <v>47363.240183223352</v>
      </c>
      <c r="AO797" s="48">
        <f t="shared" si="219"/>
        <v>-246346.21839792444</v>
      </c>
      <c r="AP797" s="20"/>
      <c r="AQ797" s="50">
        <f t="shared" si="220"/>
        <v>868.54032820150098</v>
      </c>
      <c r="AR797" s="50">
        <f t="shared" si="221"/>
        <v>-1633.4598318112455</v>
      </c>
      <c r="AS797" s="20"/>
      <c r="AT797" s="52">
        <f t="shared" si="222"/>
        <v>-3.5568918032525403</v>
      </c>
      <c r="AU797" s="52">
        <f t="shared" si="223"/>
        <v>19.490159767529029</v>
      </c>
      <c r="AV797" s="20"/>
      <c r="AW797" s="20"/>
      <c r="AX797" s="20">
        <f t="shared" si="209"/>
        <v>-0.85887423132704155</v>
      </c>
      <c r="AY797" s="20">
        <f t="shared" si="210"/>
        <v>7.9676958664955517</v>
      </c>
      <c r="AZ797" s="20"/>
      <c r="BA797" s="20">
        <f t="shared" si="211"/>
        <v>-0.64905419993505431</v>
      </c>
      <c r="BB797" s="20">
        <f t="shared" si="212"/>
        <v>2.4699315121436025</v>
      </c>
      <c r="BC797" s="20"/>
      <c r="BD797" s="20">
        <f t="shared" si="213"/>
        <v>-2.0489633719904443</v>
      </c>
      <c r="BE797" s="20">
        <f t="shared" si="214"/>
        <v>9.0525323888898725</v>
      </c>
      <c r="BF797" s="20"/>
      <c r="BG797" s="54">
        <f t="shared" si="215"/>
        <v>255316.76307726355</v>
      </c>
      <c r="BH797" s="54">
        <f t="shared" si="216"/>
        <v>265049.41013874946</v>
      </c>
      <c r="BI797" s="54">
        <f t="shared" si="217"/>
        <v>237198.19073826447</v>
      </c>
      <c r="BJ797" s="20"/>
    </row>
    <row r="798" spans="37:62" x14ac:dyDescent="0.3">
      <c r="AK798">
        <v>794</v>
      </c>
      <c r="AL798">
        <v>397</v>
      </c>
      <c r="AN798" s="48">
        <f t="shared" si="218"/>
        <v>47797.065735848693</v>
      </c>
      <c r="AO798" s="48">
        <f t="shared" si="219"/>
        <v>-247160.51204385914</v>
      </c>
      <c r="AP798" s="20"/>
      <c r="AQ798" s="50">
        <f t="shared" si="220"/>
        <v>866.76188229987474</v>
      </c>
      <c r="AR798" s="50">
        <f t="shared" si="221"/>
        <v>-1623.7147519274811</v>
      </c>
      <c r="AS798" s="20"/>
      <c r="AT798" s="52">
        <f t="shared" si="222"/>
        <v>-3.5533238621213257</v>
      </c>
      <c r="AU798" s="52">
        <f t="shared" si="223"/>
        <v>19.349335211573937</v>
      </c>
      <c r="AV798" s="20"/>
      <c r="AW798" s="20"/>
      <c r="AX798" s="20">
        <f t="shared" si="209"/>
        <v>-0.86378393190963576</v>
      </c>
      <c r="AY798" s="20">
        <f t="shared" si="210"/>
        <v>7.9134848435343192</v>
      </c>
      <c r="AZ798" s="20"/>
      <c r="BA798" s="20">
        <f t="shared" si="211"/>
        <v>-0.64664463827288809</v>
      </c>
      <c r="BB798" s="20">
        <f t="shared" si="212"/>
        <v>2.4527826460304007</v>
      </c>
      <c r="BC798" s="20"/>
      <c r="BD798" s="20">
        <f t="shared" si="213"/>
        <v>-2.0428952919388017</v>
      </c>
      <c r="BE798" s="20">
        <f t="shared" si="214"/>
        <v>8.9830677220092188</v>
      </c>
      <c r="BF798" s="20"/>
      <c r="BG798" s="54">
        <f t="shared" si="215"/>
        <v>256173.09237693882</v>
      </c>
      <c r="BH798" s="54">
        <f t="shared" si="216"/>
        <v>265947.30883588729</v>
      </c>
      <c r="BI798" s="54">
        <f t="shared" si="217"/>
        <v>238088.28930206204</v>
      </c>
      <c r="BJ798" s="20"/>
    </row>
    <row r="799" spans="37:62" x14ac:dyDescent="0.3">
      <c r="AK799">
        <v>795</v>
      </c>
      <c r="AL799">
        <v>397.5</v>
      </c>
      <c r="AN799" s="48">
        <f t="shared" si="218"/>
        <v>48230.002511515864</v>
      </c>
      <c r="AO799" s="48">
        <f t="shared" si="219"/>
        <v>-247969.95075292143</v>
      </c>
      <c r="AP799" s="20"/>
      <c r="AQ799" s="50">
        <f t="shared" si="220"/>
        <v>864.98522036881411</v>
      </c>
      <c r="AR799" s="50">
        <f t="shared" si="221"/>
        <v>-1614.0400843216942</v>
      </c>
      <c r="AS799" s="20"/>
      <c r="AT799" s="52">
        <f t="shared" si="222"/>
        <v>-3.549700718963674</v>
      </c>
      <c r="AU799" s="52">
        <f t="shared" si="223"/>
        <v>19.210715616801622</v>
      </c>
      <c r="AV799" s="20"/>
      <c r="AW799" s="20"/>
      <c r="AX799" s="20">
        <f t="shared" si="209"/>
        <v>-0.86855692551800812</v>
      </c>
      <c r="AY799" s="20">
        <f t="shared" si="210"/>
        <v>7.8600841391239236</v>
      </c>
      <c r="AZ799" s="20"/>
      <c r="BA799" s="20">
        <f t="shared" si="211"/>
        <v>-0.64426563068875131</v>
      </c>
      <c r="BB799" s="20">
        <f t="shared" si="212"/>
        <v>2.435895748245438</v>
      </c>
      <c r="BC799" s="20"/>
      <c r="BD799" s="20">
        <f t="shared" si="213"/>
        <v>-2.0368781627569148</v>
      </c>
      <c r="BE799" s="20">
        <f t="shared" si="214"/>
        <v>8.9147357294322624</v>
      </c>
      <c r="BF799" s="20"/>
      <c r="BG799" s="54">
        <f t="shared" si="215"/>
        <v>257024.95750315825</v>
      </c>
      <c r="BH799" s="54">
        <f t="shared" si="216"/>
        <v>266840.45558008284</v>
      </c>
      <c r="BI799" s="54">
        <f t="shared" si="217"/>
        <v>238973.70382783673</v>
      </c>
      <c r="BJ799" s="20"/>
    </row>
    <row r="800" spans="37:62" x14ac:dyDescent="0.3">
      <c r="AK800">
        <v>796</v>
      </c>
      <c r="AL800">
        <v>398</v>
      </c>
      <c r="AN800" s="48">
        <f t="shared" si="218"/>
        <v>48662.051409110405</v>
      </c>
      <c r="AO800" s="48">
        <f t="shared" si="219"/>
        <v>-248774.56945563018</v>
      </c>
      <c r="AP800" s="20"/>
      <c r="AQ800" s="50">
        <f t="shared" si="220"/>
        <v>863.21037000933222</v>
      </c>
      <c r="AR800" s="50">
        <f t="shared" si="221"/>
        <v>-1604.4347265132933</v>
      </c>
      <c r="AS800" s="20"/>
      <c r="AT800" s="52">
        <f t="shared" si="222"/>
        <v>-3.5460261080967612</v>
      </c>
      <c r="AU800" s="52">
        <f t="shared" si="223"/>
        <v>19.074252752813294</v>
      </c>
      <c r="AV800" s="20"/>
      <c r="AW800" s="20"/>
      <c r="AX800" s="20">
        <f t="shared" si="209"/>
        <v>-0.87319746774770723</v>
      </c>
      <c r="AY800" s="20">
        <f t="shared" si="210"/>
        <v>7.8074769283841592</v>
      </c>
      <c r="AZ800" s="20"/>
      <c r="BA800" s="20">
        <f t="shared" si="211"/>
        <v>-0.64191667719006562</v>
      </c>
      <c r="BB800" s="20">
        <f t="shared" si="212"/>
        <v>2.4192652033726958</v>
      </c>
      <c r="BC800" s="20"/>
      <c r="BD800" s="20">
        <f t="shared" si="213"/>
        <v>-2.0309119631589883</v>
      </c>
      <c r="BE800" s="20">
        <f t="shared" si="214"/>
        <v>8.8475106210564416</v>
      </c>
      <c r="BF800" s="20"/>
      <c r="BG800" s="54">
        <f t="shared" si="215"/>
        <v>257872.3873171517</v>
      </c>
      <c r="BH800" s="54">
        <f t="shared" si="216"/>
        <v>267728.8835756316</v>
      </c>
      <c r="BI800" s="54">
        <f t="shared" si="217"/>
        <v>239854.46646998107</v>
      </c>
      <c r="BJ800" s="20"/>
    </row>
    <row r="801" spans="37:62" x14ac:dyDescent="0.3">
      <c r="AK801">
        <v>797</v>
      </c>
      <c r="AL801">
        <v>398.5</v>
      </c>
      <c r="AN801" s="48">
        <f t="shared" si="218"/>
        <v>49093.213340851558</v>
      </c>
      <c r="AO801" s="48">
        <f t="shared" si="219"/>
        <v>-249574.40253729271</v>
      </c>
      <c r="AP801" s="20"/>
      <c r="AQ801" s="50">
        <f t="shared" si="220"/>
        <v>861.4373569552838</v>
      </c>
      <c r="AR801" s="50">
        <f t="shared" si="221"/>
        <v>-1594.8976001368867</v>
      </c>
      <c r="AS801" s="20"/>
      <c r="AT801" s="52">
        <f t="shared" si="222"/>
        <v>-3.5423036025896932</v>
      </c>
      <c r="AU801" s="52">
        <f t="shared" si="223"/>
        <v>18.939899765325265</v>
      </c>
      <c r="AV801" s="20"/>
      <c r="AW801" s="20"/>
      <c r="AX801" s="20">
        <f t="shared" si="209"/>
        <v>-0.87770966671641315</v>
      </c>
      <c r="AY801" s="20">
        <f t="shared" si="210"/>
        <v>7.7556468420591402</v>
      </c>
      <c r="AZ801" s="20"/>
      <c r="BA801" s="20">
        <f t="shared" si="211"/>
        <v>-0.6395972891152516</v>
      </c>
      <c r="BB801" s="20">
        <f t="shared" si="212"/>
        <v>2.4028855535714655</v>
      </c>
      <c r="BC801" s="20"/>
      <c r="BD801" s="20">
        <f t="shared" si="213"/>
        <v>-2.0249966467580287</v>
      </c>
      <c r="BE801" s="20">
        <f t="shared" si="214"/>
        <v>8.7813673696946601</v>
      </c>
      <c r="BF801" s="20"/>
      <c r="BG801" s="54">
        <f t="shared" si="215"/>
        <v>258715.41025304681</v>
      </c>
      <c r="BH801" s="54">
        <f t="shared" si="216"/>
        <v>268612.62550810399</v>
      </c>
      <c r="BI801" s="54">
        <f t="shared" si="217"/>
        <v>240730.6088873343</v>
      </c>
      <c r="BJ801" s="20"/>
    </row>
    <row r="802" spans="37:62" x14ac:dyDescent="0.3">
      <c r="AK802">
        <v>798</v>
      </c>
      <c r="AL802">
        <v>399</v>
      </c>
      <c r="AN802" s="48">
        <f t="shared" si="218"/>
        <v>49523.489231378873</v>
      </c>
      <c r="AO802" s="48">
        <f t="shared" si="219"/>
        <v>-250369.48384989047</v>
      </c>
      <c r="AP802" s="20"/>
      <c r="AQ802" s="50">
        <f t="shared" si="220"/>
        <v>859.66620515398893</v>
      </c>
      <c r="AR802" s="50">
        <f t="shared" si="221"/>
        <v>-1585.4276502542241</v>
      </c>
      <c r="AS802" s="20"/>
      <c r="AT802" s="52">
        <f t="shared" si="222"/>
        <v>-3.5385366215565903</v>
      </c>
      <c r="AU802" s="52">
        <f t="shared" si="223"/>
        <v>18.807611128084584</v>
      </c>
      <c r="AV802" s="20"/>
      <c r="AW802" s="20"/>
      <c r="AX802" s="20">
        <f t="shared" si="209"/>
        <v>-0.88209748895224771</v>
      </c>
      <c r="AY802" s="20">
        <f t="shared" si="210"/>
        <v>7.7045779514312835</v>
      </c>
      <c r="AZ802" s="20"/>
      <c r="BA802" s="20">
        <f t="shared" si="211"/>
        <v>-0.63730698881584558</v>
      </c>
      <c r="BB802" s="20">
        <f t="shared" si="212"/>
        <v>2.386751493148823</v>
      </c>
      <c r="BC802" s="20"/>
      <c r="BD802" s="20">
        <f t="shared" si="213"/>
        <v>-2.019132143788497</v>
      </c>
      <c r="BE802" s="20">
        <f t="shared" si="214"/>
        <v>8.7162816835044783</v>
      </c>
      <c r="BF802" s="20"/>
      <c r="BG802" s="54">
        <f t="shared" si="215"/>
        <v>259554.0543266552</v>
      </c>
      <c r="BH802" s="54">
        <f t="shared" si="216"/>
        <v>269491.71355565655</v>
      </c>
      <c r="BI802" s="54">
        <f t="shared" si="217"/>
        <v>241602.16225383442</v>
      </c>
      <c r="BJ802" s="20"/>
    </row>
    <row r="803" spans="37:62" x14ac:dyDescent="0.3">
      <c r="AK803">
        <v>799</v>
      </c>
      <c r="AL803">
        <v>399.5</v>
      </c>
      <c r="AN803" s="48">
        <f t="shared" si="218"/>
        <v>49952.880016878175</v>
      </c>
      <c r="AO803" s="48">
        <f t="shared" si="219"/>
        <v>-251159.84672362657</v>
      </c>
      <c r="AP803" s="20"/>
      <c r="AQ803" s="50">
        <f t="shared" si="220"/>
        <v>857.8969368432106</v>
      </c>
      <c r="AR803" s="50">
        <f t="shared" si="221"/>
        <v>-1576.0238446901817</v>
      </c>
      <c r="AS803" s="20"/>
      <c r="AT803" s="52">
        <f t="shared" si="222"/>
        <v>-3.5347284370890786</v>
      </c>
      <c r="AU803" s="52">
        <f t="shared" si="223"/>
        <v>18.677342596770494</v>
      </c>
      <c r="AV803" s="20"/>
      <c r="AW803" s="20"/>
      <c r="AX803" s="20">
        <f t="shared" si="209"/>
        <v>-0.88636476501462047</v>
      </c>
      <c r="AY803" s="20">
        <f t="shared" si="210"/>
        <v>7.6542547538238441</v>
      </c>
      <c r="AZ803" s="20"/>
      <c r="BA803" s="20">
        <f t="shared" si="211"/>
        <v>-0.63504530934939984</v>
      </c>
      <c r="BB803" s="20">
        <f t="shared" si="212"/>
        <v>2.3708578633536108</v>
      </c>
      <c r="BC803" s="20"/>
      <c r="BD803" s="20">
        <f t="shared" si="213"/>
        <v>-2.0133183627250584</v>
      </c>
      <c r="BE803" s="20">
        <f t="shared" si="214"/>
        <v>8.6522299795930397</v>
      </c>
      <c r="BF803" s="20"/>
      <c r="BG803" s="54">
        <f t="shared" si="215"/>
        <v>260388.34714402157</v>
      </c>
      <c r="BH803" s="54">
        <f t="shared" si="216"/>
        <v>270366.17940002016</v>
      </c>
      <c r="BI803" s="54">
        <f t="shared" si="217"/>
        <v>242469.15726887039</v>
      </c>
      <c r="BJ803" s="20"/>
    </row>
    <row r="804" spans="37:62" x14ac:dyDescent="0.3">
      <c r="AK804">
        <v>800</v>
      </c>
      <c r="AL804">
        <v>400</v>
      </c>
      <c r="AN804" s="48">
        <f t="shared" si="218"/>
        <v>50381.386644245147</v>
      </c>
      <c r="AO804" s="48">
        <f t="shared" si="219"/>
        <v>-251945.52397814707</v>
      </c>
      <c r="AP804" s="20"/>
      <c r="AQ804" s="50">
        <f t="shared" si="220"/>
        <v>856.12957262466603</v>
      </c>
      <c r="AR804" s="50">
        <f t="shared" si="221"/>
        <v>-1566.6851733917965</v>
      </c>
      <c r="AS804" s="20"/>
      <c r="AT804" s="52">
        <f t="shared" si="222"/>
        <v>-3.5308821808474105</v>
      </c>
      <c r="AU804" s="52">
        <f t="shared" si="223"/>
        <v>18.549051164786107</v>
      </c>
      <c r="AV804" s="20"/>
      <c r="AW804" s="20"/>
      <c r="AX804" s="20">
        <f t="shared" si="209"/>
        <v>-0.89051519486144204</v>
      </c>
      <c r="AY804" s="20">
        <f t="shared" si="210"/>
        <v>7.6046621586672138</v>
      </c>
      <c r="AZ804" s="20"/>
      <c r="BA804" s="20">
        <f t="shared" si="211"/>
        <v>-0.63281179418258937</v>
      </c>
      <c r="BB804" s="20">
        <f t="shared" si="212"/>
        <v>2.3551996473809673</v>
      </c>
      <c r="BC804" s="20"/>
      <c r="BD804" s="20">
        <f t="shared" si="213"/>
        <v>-2.0075551918033789</v>
      </c>
      <c r="BE804" s="20">
        <f t="shared" si="214"/>
        <v>8.5891893587379275</v>
      </c>
      <c r="BF804" s="20"/>
      <c r="BG804" s="54">
        <f t="shared" si="215"/>
        <v>261218.31590974322</v>
      </c>
      <c r="BH804" s="54">
        <f t="shared" si="216"/>
        <v>271236.0542371769</v>
      </c>
      <c r="BI804" s="54">
        <f t="shared" si="217"/>
        <v>243331.62416734503</v>
      </c>
      <c r="BJ804" s="20"/>
    </row>
    <row r="805" spans="37:62" x14ac:dyDescent="0.3">
      <c r="AK805">
        <v>801</v>
      </c>
      <c r="AL805">
        <v>400.5</v>
      </c>
      <c r="AN805" s="48">
        <f t="shared" si="218"/>
        <v>50809.010070284872</v>
      </c>
      <c r="AO805" s="48">
        <f t="shared" si="219"/>
        <v>-252726.54793344735</v>
      </c>
      <c r="AP805" s="20"/>
      <c r="AQ805" s="50">
        <f t="shared" si="220"/>
        <v>854.36413153424235</v>
      </c>
      <c r="AR805" s="50">
        <f t="shared" si="221"/>
        <v>-1557.4106478094034</v>
      </c>
      <c r="AS805" s="20"/>
      <c r="AT805" s="52">
        <f t="shared" si="222"/>
        <v>-3.5270008503292796</v>
      </c>
      <c r="AU805" s="52">
        <f t="shared" si="223"/>
        <v>18.42269502085302</v>
      </c>
      <c r="AV805" s="20"/>
      <c r="AW805" s="20"/>
      <c r="AX805" s="20">
        <f t="shared" si="209"/>
        <v>-0.89455235297548719</v>
      </c>
      <c r="AY805" s="20">
        <f t="shared" si="210"/>
        <v>7.5557854741030726</v>
      </c>
      <c r="AZ805" s="20"/>
      <c r="BA805" s="20">
        <f t="shared" si="211"/>
        <v>-0.6306059969042892</v>
      </c>
      <c r="BB805" s="20">
        <f t="shared" si="212"/>
        <v>2.339771965578159</v>
      </c>
      <c r="BC805" s="20"/>
      <c r="BD805" s="20">
        <f t="shared" si="213"/>
        <v>-2.0018425004495031</v>
      </c>
      <c r="BE805" s="20">
        <f t="shared" si="214"/>
        <v>8.5271375811717878</v>
      </c>
      <c r="BF805" s="20"/>
      <c r="BG805" s="54">
        <f t="shared" si="215"/>
        <v>262043.98743506728</v>
      </c>
      <c r="BH805" s="54">
        <f t="shared" si="216"/>
        <v>272101.36878773634</v>
      </c>
      <c r="BI805" s="54">
        <f t="shared" si="217"/>
        <v>244189.59272945847</v>
      </c>
      <c r="BJ805" s="20"/>
    </row>
    <row r="806" spans="37:62" x14ac:dyDescent="0.3">
      <c r="AK806">
        <v>802</v>
      </c>
      <c r="AL806">
        <v>401</v>
      </c>
      <c r="AN806" s="48">
        <f t="shared" si="218"/>
        <v>51235.751260945697</v>
      </c>
      <c r="AO806" s="48">
        <f t="shared" si="219"/>
        <v>-253502.95042047443</v>
      </c>
      <c r="AP806" s="20"/>
      <c r="AQ806" s="50">
        <f t="shared" si="220"/>
        <v>852.60063110907765</v>
      </c>
      <c r="AR806" s="50">
        <f t="shared" si="221"/>
        <v>-1548.1993002989768</v>
      </c>
      <c r="AS806" s="20"/>
      <c r="AT806" s="52">
        <f t="shared" si="222"/>
        <v>-3.5230873148333082</v>
      </c>
      <c r="AU806" s="52">
        <f t="shared" si="223"/>
        <v>18.298233508322518</v>
      </c>
      <c r="AV806" s="20"/>
      <c r="AW806" s="20"/>
      <c r="AX806" s="20">
        <f t="shared" si="209"/>
        <v>-0.89847969326206134</v>
      </c>
      <c r="AY806" s="20">
        <f t="shared" si="210"/>
        <v>7.5076103941026497</v>
      </c>
      <c r="AZ806" s="20"/>
      <c r="BA806" s="20">
        <f t="shared" si="211"/>
        <v>-0.62842748094813505</v>
      </c>
      <c r="BB806" s="20">
        <f t="shared" si="212"/>
        <v>2.3245700708420061</v>
      </c>
      <c r="BC806" s="20"/>
      <c r="BD806" s="20">
        <f t="shared" si="213"/>
        <v>-1.9961801406231114</v>
      </c>
      <c r="BE806" s="20">
        <f t="shared" si="214"/>
        <v>8.46605304337786</v>
      </c>
      <c r="BF806" s="20"/>
      <c r="BG806" s="54">
        <f t="shared" si="215"/>
        <v>262865.38814577379</v>
      </c>
      <c r="BH806" s="54">
        <f t="shared" si="216"/>
        <v>272962.15330702224</v>
      </c>
      <c r="BI806" s="54">
        <f t="shared" si="217"/>
        <v>245043.09229022198</v>
      </c>
      <c r="BJ806" s="20"/>
    </row>
    <row r="807" spans="37:62" x14ac:dyDescent="0.3">
      <c r="AK807">
        <v>803</v>
      </c>
      <c r="AL807">
        <v>401.5</v>
      </c>
      <c r="AN807" s="48">
        <f t="shared" si="218"/>
        <v>51661.611190585878</v>
      </c>
      <c r="AO807" s="48">
        <f t="shared" si="219"/>
        <v>-254274.76279143538</v>
      </c>
      <c r="AP807" s="20"/>
      <c r="AQ807" s="50">
        <f t="shared" si="220"/>
        <v>850.83908745166104</v>
      </c>
      <c r="AR807" s="50">
        <f t="shared" si="221"/>
        <v>-1539.0501835448156</v>
      </c>
      <c r="AS807" s="20"/>
      <c r="AT807" s="52">
        <f t="shared" si="222"/>
        <v>-3.5191443211337177</v>
      </c>
      <c r="AU807" s="52">
        <f t="shared" si="223"/>
        <v>18.175627086123882</v>
      </c>
      <c r="AV807" s="20"/>
      <c r="AW807" s="20"/>
      <c r="AX807" s="20">
        <f t="shared" si="209"/>
        <v>-0.90230055372941176</v>
      </c>
      <c r="AY807" s="20">
        <f t="shared" si="210"/>
        <v>7.4601229860762128</v>
      </c>
      <c r="AZ807" s="20"/>
      <c r="BA807" s="20">
        <f t="shared" si="211"/>
        <v>-0.62627581932420973</v>
      </c>
      <c r="BB807" s="20">
        <f t="shared" si="212"/>
        <v>2.3095893441991171</v>
      </c>
      <c r="BC807" s="20"/>
      <c r="BD807" s="20">
        <f t="shared" si="213"/>
        <v>-1.9905679480800964</v>
      </c>
      <c r="BE807" s="20">
        <f t="shared" si="214"/>
        <v>8.4059147558485545</v>
      </c>
      <c r="BF807" s="20"/>
      <c r="BG807" s="54">
        <f t="shared" si="215"/>
        <v>263682.54408985074</v>
      </c>
      <c r="BH807" s="54">
        <f t="shared" si="216"/>
        <v>273818.43759487808</v>
      </c>
      <c r="BI807" s="54">
        <f t="shared" si="217"/>
        <v>245892.15174871034</v>
      </c>
      <c r="BJ807" s="20"/>
    </row>
    <row r="808" spans="37:62" x14ac:dyDescent="0.3">
      <c r="AK808">
        <v>804</v>
      </c>
      <c r="AL808">
        <v>402</v>
      </c>
      <c r="AN808" s="48">
        <f t="shared" si="218"/>
        <v>52086.590841271565</v>
      </c>
      <c r="AO808" s="48">
        <f t="shared" si="219"/>
        <v>-255042.01592982202</v>
      </c>
      <c r="AP808" s="20"/>
      <c r="AQ808" s="50">
        <f t="shared" si="220"/>
        <v>849.07951529109414</v>
      </c>
      <c r="AR808" s="50">
        <f t="shared" si="221"/>
        <v>-1529.9623700017537</v>
      </c>
      <c r="AS808" s="20"/>
      <c r="AT808" s="52">
        <f t="shared" si="222"/>
        <v>-3.5151744988817546</v>
      </c>
      <c r="AU808" s="52">
        <f t="shared" si="223"/>
        <v>18.054837291274659</v>
      </c>
      <c r="AV808" s="20"/>
      <c r="AW808" s="20"/>
      <c r="AX808" s="20">
        <f t="shared" si="209"/>
        <v>-0.90601816096273047</v>
      </c>
      <c r="AY808" s="20">
        <f t="shared" si="210"/>
        <v>7.41330967895244</v>
      </c>
      <c r="AZ808" s="20"/>
      <c r="BA808" s="20">
        <f t="shared" si="211"/>
        <v>-0.62415059435956821</v>
      </c>
      <c r="BB808" s="20">
        <f t="shared" si="212"/>
        <v>2.2948252905607722</v>
      </c>
      <c r="BC808" s="20"/>
      <c r="BD808" s="20">
        <f t="shared" si="213"/>
        <v>-1.9850057435594559</v>
      </c>
      <c r="BE808" s="20">
        <f t="shared" si="214"/>
        <v>8.3467023217614464</v>
      </c>
      <c r="BF808" s="20"/>
      <c r="BG808" s="54">
        <f t="shared" si="215"/>
        <v>264495.48094496829</v>
      </c>
      <c r="BH808" s="54">
        <f t="shared" si="216"/>
        <v>274670.25100520242</v>
      </c>
      <c r="BI808" s="54">
        <f t="shared" si="217"/>
        <v>246736.79957706286</v>
      </c>
      <c r="BJ808" s="20"/>
    </row>
    <row r="809" spans="37:62" x14ac:dyDescent="0.3">
      <c r="AK809">
        <v>805</v>
      </c>
      <c r="AL809">
        <v>402.5</v>
      </c>
      <c r="AN809" s="48">
        <f t="shared" si="218"/>
        <v>52510.691202104746</v>
      </c>
      <c r="AO809" s="48">
        <f t="shared" si="219"/>
        <v>-255804.74026016149</v>
      </c>
      <c r="AP809" s="20"/>
      <c r="AQ809" s="50">
        <f t="shared" si="220"/>
        <v>847.32192804165322</v>
      </c>
      <c r="AR809" s="50">
        <f t="shared" si="221"/>
        <v>-1520.9349513561165</v>
      </c>
      <c r="AS809" s="20"/>
      <c r="AT809" s="52">
        <f t="shared" si="222"/>
        <v>-3.5111803657479532</v>
      </c>
      <c r="AU809" s="52">
        <f t="shared" si="223"/>
        <v>17.935826702879439</v>
      </c>
      <c r="AV809" s="20"/>
      <c r="AW809" s="20"/>
      <c r="AX809" s="20">
        <f t="shared" si="209"/>
        <v>-0.90963563440200801</v>
      </c>
      <c r="AY809" s="20">
        <f t="shared" si="210"/>
        <v>7.3671572517074591</v>
      </c>
      <c r="AZ809" s="20"/>
      <c r="BA809" s="20">
        <f t="shared" si="211"/>
        <v>-0.622051397447137</v>
      </c>
      <c r="BB809" s="20">
        <f t="shared" si="212"/>
        <v>2.280273534644051</v>
      </c>
      <c r="BC809" s="20"/>
      <c r="BD809" s="20">
        <f t="shared" si="213"/>
        <v>-1.9794933338988083</v>
      </c>
      <c r="BE809" s="20">
        <f t="shared" si="214"/>
        <v>8.2883959165279286</v>
      </c>
      <c r="BF809" s="20"/>
      <c r="BG809" s="54">
        <f t="shared" si="215"/>
        <v>265304.22402575822</v>
      </c>
      <c r="BH809" s="54">
        <f t="shared" si="216"/>
        <v>275517.62245522317</v>
      </c>
      <c r="BI809" s="54">
        <f t="shared" si="217"/>
        <v>247577.06382924021</v>
      </c>
      <c r="BJ809" s="20"/>
    </row>
    <row r="810" spans="37:62" x14ac:dyDescent="0.3">
      <c r="AK810">
        <v>806</v>
      </c>
      <c r="AL810">
        <v>403</v>
      </c>
      <c r="AN810" s="48">
        <f t="shared" si="218"/>
        <v>52933.913268579854</v>
      </c>
      <c r="AO810" s="48">
        <f t="shared" si="219"/>
        <v>-256562.96575750166</v>
      </c>
      <c r="AP810" s="20"/>
      <c r="AQ810" s="50">
        <f t="shared" si="220"/>
        <v>845.56633785877921</v>
      </c>
      <c r="AR810" s="50">
        <f t="shared" si="221"/>
        <v>-1511.9670380046769</v>
      </c>
      <c r="AS810" s="20"/>
      <c r="AT810" s="52">
        <f t="shared" si="222"/>
        <v>-3.5071643323193822</v>
      </c>
      <c r="AU810" s="52">
        <f t="shared" si="223"/>
        <v>17.818558907550432</v>
      </c>
      <c r="AV810" s="20"/>
      <c r="AW810" s="20"/>
      <c r="AX810" s="20">
        <f t="shared" si="209"/>
        <v>-0.91315599043327189</v>
      </c>
      <c r="AY810" s="20">
        <f t="shared" si="210"/>
        <v>7.3216528223230002</v>
      </c>
      <c r="AZ810" s="20"/>
      <c r="BA810" s="20">
        <f t="shared" si="211"/>
        <v>-0.61997782880286079</v>
      </c>
      <c r="BB810" s="20">
        <f t="shared" si="212"/>
        <v>2.2659298170523785</v>
      </c>
      <c r="BC810" s="20"/>
      <c r="BD810" s="20">
        <f t="shared" si="213"/>
        <v>-1.9740305130832496</v>
      </c>
      <c r="BE810" s="20">
        <f t="shared" si="214"/>
        <v>8.230976268175052</v>
      </c>
      <c r="BF810" s="20"/>
      <c r="BG810" s="54">
        <f t="shared" si="215"/>
        <v>266108.79829090548</v>
      </c>
      <c r="BH810" s="54">
        <f t="shared" si="216"/>
        <v>276360.58043451805</v>
      </c>
      <c r="BI810" s="54">
        <f t="shared" si="217"/>
        <v>248412.97214954629</v>
      </c>
      <c r="BJ810" s="20"/>
    </row>
    <row r="811" spans="37:62" x14ac:dyDescent="0.3">
      <c r="AK811">
        <v>807</v>
      </c>
      <c r="AL811">
        <v>403.5</v>
      </c>
      <c r="AN811" s="48">
        <f t="shared" si="218"/>
        <v>53356.258041967703</v>
      </c>
      <c r="AO811" s="48">
        <f t="shared" si="219"/>
        <v>-257316.72195664054</v>
      </c>
      <c r="AP811" s="20"/>
      <c r="AQ811" s="50">
        <f t="shared" si="220"/>
        <v>843.81275569261948</v>
      </c>
      <c r="AR811" s="50">
        <f t="shared" si="221"/>
        <v>-1503.0577585509016</v>
      </c>
      <c r="AS811" s="20"/>
      <c r="AT811" s="52">
        <f t="shared" si="222"/>
        <v>-3.5031287067643695</v>
      </c>
      <c r="AU811" s="52">
        <f t="shared" si="223"/>
        <v>17.702998466184575</v>
      </c>
      <c r="AV811" s="20"/>
      <c r="AW811" s="20"/>
      <c r="AX811" s="20">
        <f t="shared" si="209"/>
        <v>-0.91658214630254353</v>
      </c>
      <c r="AY811" s="20">
        <f t="shared" si="210"/>
        <v>7.2767838371567812</v>
      </c>
      <c r="AZ811" s="20"/>
      <c r="BA811" s="20">
        <f t="shared" si="211"/>
        <v>-0.61792949723056989</v>
      </c>
      <c r="BB811" s="20">
        <f t="shared" si="212"/>
        <v>2.2517899905075374</v>
      </c>
      <c r="BC811" s="20"/>
      <c r="BD811" s="20">
        <f t="shared" si="213"/>
        <v>-1.9686170632312561</v>
      </c>
      <c r="BE811" s="20">
        <f t="shared" si="214"/>
        <v>8.1744246385202537</v>
      </c>
      <c r="BF811" s="20"/>
      <c r="BG811" s="54">
        <f t="shared" si="215"/>
        <v>266909.22835005721</v>
      </c>
      <c r="BH811" s="54">
        <f t="shared" si="216"/>
        <v>277199.15301379189</v>
      </c>
      <c r="BI811" s="54">
        <f t="shared" si="217"/>
        <v>249244.5517809217</v>
      </c>
      <c r="BJ811" s="20"/>
    </row>
    <row r="812" spans="37:62" x14ac:dyDescent="0.3">
      <c r="AK812">
        <v>808</v>
      </c>
      <c r="AL812">
        <v>404</v>
      </c>
      <c r="AN812" s="48">
        <f t="shared" si="218"/>
        <v>53777.726528725667</v>
      </c>
      <c r="AO812" s="48">
        <f t="shared" si="219"/>
        <v>-258066.03796110774</v>
      </c>
      <c r="AP812" s="20"/>
      <c r="AQ812" s="50">
        <f t="shared" si="220"/>
        <v>842.06119133923733</v>
      </c>
      <c r="AR812" s="50">
        <f t="shared" si="221"/>
        <v>-1494.2062593178093</v>
      </c>
      <c r="AS812" s="20"/>
      <c r="AT812" s="52">
        <f t="shared" si="222"/>
        <v>-3.4990756992769736</v>
      </c>
      <c r="AU812" s="52">
        <f t="shared" si="223"/>
        <v>17.589110882035399</v>
      </c>
      <c r="AV812" s="20"/>
      <c r="AW812" s="20"/>
      <c r="AX812" s="20">
        <f t="shared" si="209"/>
        <v>-0.91991692386089818</v>
      </c>
      <c r="AY812" s="20">
        <f t="shared" si="210"/>
        <v>7.2325380607054548</v>
      </c>
      <c r="AZ812" s="20"/>
      <c r="BA812" s="20">
        <f t="shared" si="211"/>
        <v>-0.61590601989444138</v>
      </c>
      <c r="BB812" s="20">
        <f t="shared" si="212"/>
        <v>2.2378500162269752</v>
      </c>
      <c r="BC812" s="20"/>
      <c r="BD812" s="20">
        <f t="shared" si="213"/>
        <v>-1.9632527555216341</v>
      </c>
      <c r="BE812" s="20">
        <f t="shared" si="214"/>
        <v>8.1187228051029692</v>
      </c>
      <c r="BF812" s="20"/>
      <c r="BG812" s="54">
        <f t="shared" si="215"/>
        <v>267705.53847055516</v>
      </c>
      <c r="BH812" s="54">
        <f t="shared" si="216"/>
        <v>278033.367853417</v>
      </c>
      <c r="BI812" s="54">
        <f t="shared" si="217"/>
        <v>250071.82957301752</v>
      </c>
      <c r="BJ812" s="20"/>
    </row>
    <row r="813" spans="37:62" x14ac:dyDescent="0.3">
      <c r="AK813">
        <v>809</v>
      </c>
      <c r="AL813">
        <v>404.5</v>
      </c>
      <c r="AN813" s="48">
        <f t="shared" si="218"/>
        <v>54198.319739932878</v>
      </c>
      <c r="AO813" s="48">
        <f t="shared" si="219"/>
        <v>-258810.94245190639</v>
      </c>
      <c r="AP813" s="20"/>
      <c r="AQ813" s="50">
        <f t="shared" si="220"/>
        <v>840.31165348959883</v>
      </c>
      <c r="AR813" s="50">
        <f t="shared" si="221"/>
        <v>-1485.4117038767915</v>
      </c>
      <c r="AS813" s="20"/>
      <c r="AT813" s="52">
        <f t="shared" si="222"/>
        <v>-3.4950074263127435</v>
      </c>
      <c r="AU813" s="52">
        <f t="shared" si="223"/>
        <v>17.476862570023094</v>
      </c>
      <c r="AV813" s="20"/>
      <c r="AW813" s="20"/>
      <c r="AX813" s="20">
        <f t="shared" si="209"/>
        <v>-0.92316305314910041</v>
      </c>
      <c r="AY813" s="20">
        <f t="shared" si="210"/>
        <v>7.1889035657457363</v>
      </c>
      <c r="AZ813" s="20"/>
      <c r="BA813" s="20">
        <f t="shared" si="211"/>
        <v>-0.61390702209869552</v>
      </c>
      <c r="BB813" s="20">
        <f t="shared" si="212"/>
        <v>2.2241059604396769</v>
      </c>
      <c r="BC813" s="20"/>
      <c r="BD813" s="20">
        <f t="shared" si="213"/>
        <v>-1.9579373510649478</v>
      </c>
      <c r="BE813" s="20">
        <f t="shared" si="214"/>
        <v>8.0638530438376819</v>
      </c>
      <c r="BF813" s="20"/>
      <c r="BG813" s="54">
        <f t="shared" si="215"/>
        <v>268497.75258399703</v>
      </c>
      <c r="BH813" s="54">
        <f t="shared" si="216"/>
        <v>278863.25221174525</v>
      </c>
      <c r="BI813" s="54">
        <f t="shared" si="217"/>
        <v>250894.83199005542</v>
      </c>
      <c r="BJ813" s="20"/>
    </row>
    <row r="814" spans="37:62" x14ac:dyDescent="0.3">
      <c r="AK814">
        <v>810</v>
      </c>
      <c r="AL814">
        <v>405</v>
      </c>
      <c r="AN814" s="48">
        <f t="shared" si="218"/>
        <v>54618.038690749388</v>
      </c>
      <c r="AO814" s="48">
        <f t="shared" si="219"/>
        <v>-259551.46369602354</v>
      </c>
      <c r="AP814" s="20"/>
      <c r="AQ814" s="50">
        <f t="shared" si="220"/>
        <v>838.56414977644249</v>
      </c>
      <c r="AR814" s="50">
        <f t="shared" si="221"/>
        <v>-1476.67327259178</v>
      </c>
      <c r="AS814" s="20"/>
      <c r="AT814" s="52">
        <f t="shared" si="222"/>
        <v>-3.4909259146262692</v>
      </c>
      <c r="AU814" s="52">
        <f t="shared" si="223"/>
        <v>17.366220827225334</v>
      </c>
      <c r="AV814" s="20"/>
      <c r="AW814" s="20"/>
      <c r="AX814" s="20">
        <f t="shared" si="209"/>
        <v>-0.92632317582926038</v>
      </c>
      <c r="AY814" s="20">
        <f t="shared" si="210"/>
        <v>7.1458687238354912</v>
      </c>
      <c r="AZ814" s="20"/>
      <c r="BA814" s="20">
        <f t="shared" si="211"/>
        <v>-0.61193213707428662</v>
      </c>
      <c r="BB814" s="20">
        <f t="shared" si="212"/>
        <v>2.2105539910345926</v>
      </c>
      <c r="BC814" s="20"/>
      <c r="BD814" s="20">
        <f t="shared" si="213"/>
        <v>-1.9526706017227222</v>
      </c>
      <c r="BE814" s="20">
        <f t="shared" si="214"/>
        <v>8.0097981123552504</v>
      </c>
      <c r="BF814" s="20"/>
      <c r="BG814" s="54">
        <f t="shared" si="215"/>
        <v>269285.89429263247</v>
      </c>
      <c r="BH814" s="54">
        <f t="shared" si="216"/>
        <v>279688.83295319974</v>
      </c>
      <c r="BI814" s="54">
        <f t="shared" si="217"/>
        <v>251713.58511848183</v>
      </c>
      <c r="BJ814" s="20"/>
    </row>
    <row r="815" spans="37:62" x14ac:dyDescent="0.3">
      <c r="AK815">
        <v>811</v>
      </c>
      <c r="AL815">
        <v>405.5</v>
      </c>
      <c r="AN815" s="48">
        <f t="shared" si="218"/>
        <v>55036.884399898285</v>
      </c>
      <c r="AO815" s="48">
        <f t="shared" si="219"/>
        <v>-260287.62955471603</v>
      </c>
      <c r="AP815" s="20"/>
      <c r="AQ815" s="50">
        <f t="shared" si="220"/>
        <v>836.81868681912931</v>
      </c>
      <c r="AR815" s="50">
        <f t="shared" si="221"/>
        <v>-1467.9901621781673</v>
      </c>
      <c r="AS815" s="20"/>
      <c r="AT815" s="52">
        <f t="shared" si="222"/>
        <v>-3.4868331051209633</v>
      </c>
      <c r="AU815" s="52">
        <f t="shared" si="223"/>
        <v>17.257153804498106</v>
      </c>
      <c r="AV815" s="20"/>
      <c r="AW815" s="20"/>
      <c r="AX815" s="20">
        <f t="shared" si="209"/>
        <v>-0.92939984847097235</v>
      </c>
      <c r="AY815" s="20">
        <f t="shared" si="210"/>
        <v>7.1034221961606976</v>
      </c>
      <c r="AZ815" s="20"/>
      <c r="BA815" s="20">
        <f t="shared" si="211"/>
        <v>-0.60998100577229175</v>
      </c>
      <c r="BB815" s="20">
        <f t="shared" si="212"/>
        <v>2.1971903743356616</v>
      </c>
      <c r="BC815" s="20"/>
      <c r="BD815" s="20">
        <f t="shared" si="213"/>
        <v>-1.947452250877699</v>
      </c>
      <c r="BE815" s="20">
        <f t="shared" si="214"/>
        <v>7.9565412340017474</v>
      </c>
      <c r="BF815" s="20"/>
      <c r="BG815" s="54">
        <f t="shared" si="215"/>
        <v>270069.98687559797</v>
      </c>
      <c r="BH815" s="54">
        <f t="shared" si="216"/>
        <v>280510.13655615214</v>
      </c>
      <c r="BI815" s="54">
        <f t="shared" si="217"/>
        <v>252528.11467442263</v>
      </c>
      <c r="BJ815" s="20"/>
    </row>
    <row r="816" spans="37:62" x14ac:dyDescent="0.3">
      <c r="AK816">
        <v>812</v>
      </c>
      <c r="AL816">
        <v>406</v>
      </c>
      <c r="AN816" s="48">
        <f t="shared" si="218"/>
        <v>55454.857889169711</v>
      </c>
      <c r="AO816" s="48">
        <f t="shared" si="219"/>
        <v>-261019.46749157956</v>
      </c>
      <c r="AP816" s="20"/>
      <c r="AQ816" s="50">
        <f t="shared" si="220"/>
        <v>835.07527026656885</v>
      </c>
      <c r="AR816" s="50">
        <f t="shared" si="221"/>
        <v>-1459.3615852759183</v>
      </c>
      <c r="AS816" s="20"/>
      <c r="AT816" s="52">
        <f t="shared" si="222"/>
        <v>-3.482730856520508</v>
      </c>
      <c r="AU816" s="52">
        <f t="shared" si="223"/>
        <v>17.149630479176288</v>
      </c>
      <c r="AV816" s="20"/>
      <c r="AW816" s="20"/>
      <c r="AX816" s="20">
        <f t="shared" si="209"/>
        <v>-0.93239554569893124</v>
      </c>
      <c r="AY816" s="20">
        <f t="shared" si="210"/>
        <v>7.0615529247143423</v>
      </c>
      <c r="AZ816" s="20"/>
      <c r="BA816" s="20">
        <f t="shared" si="211"/>
        <v>-0.60805327666381082</v>
      </c>
      <c r="BB816" s="20">
        <f t="shared" si="212"/>
        <v>2.1840114719981414</v>
      </c>
      <c r="BC816" s="20"/>
      <c r="BD816" s="20">
        <f t="shared" si="213"/>
        <v>-1.9422820341577662</v>
      </c>
      <c r="BE816" s="20">
        <f t="shared" si="214"/>
        <v>7.904066082463804</v>
      </c>
      <c r="BF816" s="20"/>
      <c r="BG816" s="54">
        <f t="shared" si="215"/>
        <v>270850.05329499696</v>
      </c>
      <c r="BH816" s="54">
        <f t="shared" si="216"/>
        <v>281327.18912059348</v>
      </c>
      <c r="BI816" s="54">
        <f t="shared" si="217"/>
        <v>253338.44601094417</v>
      </c>
      <c r="BJ816" s="20"/>
    </row>
    <row r="817" spans="37:62" x14ac:dyDescent="0.3">
      <c r="AK817">
        <v>813</v>
      </c>
      <c r="AL817">
        <v>406.5</v>
      </c>
      <c r="AN817" s="48">
        <f t="shared" si="218"/>
        <v>55871.960182945928</v>
      </c>
      <c r="AO817" s="48">
        <f t="shared" si="219"/>
        <v>-261747.00458040761</v>
      </c>
      <c r="AP817" s="20"/>
      <c r="AQ817" s="50">
        <f t="shared" si="220"/>
        <v>833.33390483830863</v>
      </c>
      <c r="AR817" s="50">
        <f t="shared" si="221"/>
        <v>-1450.7867700363302</v>
      </c>
      <c r="AS817" s="20"/>
      <c r="AT817" s="52">
        <f t="shared" si="222"/>
        <v>-3.4786209488711086</v>
      </c>
      <c r="AU817" s="52">
        <f t="shared" si="223"/>
        <v>17.043620628806146</v>
      </c>
      <c r="AV817" s="20"/>
      <c r="AW817" s="20"/>
      <c r="AX817" s="20">
        <f t="shared" si="209"/>
        <v>-0.93531266320837103</v>
      </c>
      <c r="AY817" s="20">
        <f t="shared" si="210"/>
        <v>7.0202501237917128</v>
      </c>
      <c r="AZ817" s="20"/>
      <c r="BA817" s="20">
        <f t="shared" si="211"/>
        <v>-0.60614860554607519</v>
      </c>
      <c r="BB817" s="20">
        <f t="shared" si="212"/>
        <v>2.1710137380207244</v>
      </c>
      <c r="BC817" s="20"/>
      <c r="BD817" s="20">
        <f t="shared" si="213"/>
        <v>-1.9371596801166624</v>
      </c>
      <c r="BE817" s="20">
        <f t="shared" si="214"/>
        <v>7.8523567669937071</v>
      </c>
      <c r="BF817" s="20"/>
      <c r="BG817" s="54">
        <f t="shared" si="215"/>
        <v>271626.11620182788</v>
      </c>
      <c r="BH817" s="54">
        <f t="shared" si="216"/>
        <v>282140.01637560496</v>
      </c>
      <c r="BI817" s="54">
        <f t="shared" si="217"/>
        <v>254144.60412512763</v>
      </c>
      <c r="BJ817" s="20"/>
    </row>
    <row r="818" spans="37:62" x14ac:dyDescent="0.3">
      <c r="AK818">
        <v>814</v>
      </c>
      <c r="AL818">
        <v>407</v>
      </c>
      <c r="AN818" s="48">
        <f t="shared" si="218"/>
        <v>56288.192307746474</v>
      </c>
      <c r="AO818" s="48">
        <f t="shared" si="219"/>
        <v>-262470.2675128472</v>
      </c>
      <c r="AP818" s="20"/>
      <c r="AQ818" s="50">
        <f t="shared" si="220"/>
        <v>831.59459436387306</v>
      </c>
      <c r="AR818" s="50">
        <f t="shared" si="221"/>
        <v>-1442.264959721927</v>
      </c>
      <c r="AS818" s="20"/>
      <c r="AT818" s="52">
        <f t="shared" si="222"/>
        <v>-3.4745050868830565</v>
      </c>
      <c r="AU818" s="52">
        <f t="shared" si="223"/>
        <v>16.93909480586559</v>
      </c>
      <c r="AV818" s="20"/>
      <c r="AW818" s="20"/>
      <c r="AX818" s="20">
        <f t="shared" si="209"/>
        <v>-0.93815352065480162</v>
      </c>
      <c r="AY818" s="20">
        <f t="shared" si="210"/>
        <v>6.9795032717909633</v>
      </c>
      <c r="AZ818" s="20"/>
      <c r="BA818" s="20">
        <f t="shared" si="211"/>
        <v>-0.60426665535460566</v>
      </c>
      <c r="BB818" s="20">
        <f t="shared" si="212"/>
        <v>2.1581937158687197</v>
      </c>
      <c r="BC818" s="20"/>
      <c r="BD818" s="20">
        <f t="shared" si="213"/>
        <v>-1.9320849108736491</v>
      </c>
      <c r="BE818" s="20">
        <f t="shared" si="214"/>
        <v>7.8013978182059072</v>
      </c>
      <c r="BF818" s="20"/>
      <c r="BG818" s="54">
        <f t="shared" si="215"/>
        <v>272398.19794176734</v>
      </c>
      <c r="BH818" s="54">
        <f t="shared" si="216"/>
        <v>282948.64368663484</v>
      </c>
      <c r="BI818" s="54">
        <f t="shared" si="217"/>
        <v>254946.61366496215</v>
      </c>
      <c r="BJ818" s="20"/>
    </row>
    <row r="819" spans="37:62" x14ac:dyDescent="0.3">
      <c r="AK819">
        <v>815</v>
      </c>
      <c r="AL819">
        <v>407.5</v>
      </c>
      <c r="AN819" s="48">
        <f t="shared" si="218"/>
        <v>56703.555291792552</v>
      </c>
      <c r="AO819" s="48">
        <f t="shared" si="219"/>
        <v>-263189.28260585741</v>
      </c>
      <c r="AP819" s="20"/>
      <c r="AQ819" s="50">
        <f t="shared" si="220"/>
        <v>829.85734182043154</v>
      </c>
      <c r="AR819" s="50">
        <f t="shared" si="221"/>
        <v>-1433.7954123189941</v>
      </c>
      <c r="AS819" s="20"/>
      <c r="AT819" s="52">
        <f t="shared" si="222"/>
        <v>-3.4703849031197334</v>
      </c>
      <c r="AU819" s="52">
        <f t="shared" si="223"/>
        <v>16.836024313428812</v>
      </c>
      <c r="AV819" s="20"/>
      <c r="AW819" s="20"/>
      <c r="AX819" s="20">
        <f t="shared" si="209"/>
        <v>-0.94092036442373006</v>
      </c>
      <c r="AY819" s="20">
        <f t="shared" si="210"/>
        <v>6.9393021033048354</v>
      </c>
      <c r="AZ819" s="20"/>
      <c r="BA819" s="20">
        <f t="shared" si="211"/>
        <v>-0.60240709598113451</v>
      </c>
      <c r="BB819" s="20">
        <f t="shared" si="212"/>
        <v>2.1455480357032881</v>
      </c>
      <c r="BC819" s="20"/>
      <c r="BD819" s="20">
        <f t="shared" si="213"/>
        <v>-1.9270574427148688</v>
      </c>
      <c r="BE819" s="20">
        <f t="shared" si="214"/>
        <v>7.7511741744206892</v>
      </c>
      <c r="BF819" s="20"/>
      <c r="BG819" s="54">
        <f t="shared" si="215"/>
        <v>273166.32056081039</v>
      </c>
      <c r="BH819" s="54">
        <f t="shared" si="216"/>
        <v>283753.09606258769</v>
      </c>
      <c r="BI819" s="54">
        <f t="shared" si="217"/>
        <v>255744.49893606207</v>
      </c>
      <c r="BJ819" s="20"/>
    </row>
    <row r="820" spans="37:62" x14ac:dyDescent="0.3">
      <c r="AK820">
        <v>816</v>
      </c>
      <c r="AL820">
        <v>408</v>
      </c>
      <c r="AN820" s="48">
        <f t="shared" si="218"/>
        <v>57118.050164589877</v>
      </c>
      <c r="AO820" s="48">
        <f t="shared" si="219"/>
        <v>-263904.07580897777</v>
      </c>
      <c r="AP820" s="20"/>
      <c r="AQ820" s="50">
        <f t="shared" si="220"/>
        <v>828.12214936887165</v>
      </c>
      <c r="AR820" s="50">
        <f t="shared" si="221"/>
        <v>-1425.3774001622796</v>
      </c>
      <c r="AS820" s="20"/>
      <c r="AT820" s="52">
        <f t="shared" si="222"/>
        <v>-3.466261961041603</v>
      </c>
      <c r="AU820" s="52">
        <f t="shared" si="223"/>
        <v>16.734381181734651</v>
      </c>
      <c r="AV820" s="20"/>
      <c r="AW820" s="20"/>
      <c r="AX820" s="20">
        <f t="shared" si="209"/>
        <v>-0.9436153702860538</v>
      </c>
      <c r="AY820" s="20">
        <f t="shared" si="210"/>
        <v>6.8996366014923325</v>
      </c>
      <c r="AZ820" s="20"/>
      <c r="BA820" s="20">
        <f t="shared" si="211"/>
        <v>-0.60056960409714433</v>
      </c>
      <c r="BB820" s="20">
        <f t="shared" si="212"/>
        <v>2.133073411712429</v>
      </c>
      <c r="BC820" s="20"/>
      <c r="BD820" s="20">
        <f t="shared" si="213"/>
        <v>-1.9220769866584051</v>
      </c>
      <c r="BE820" s="20">
        <f t="shared" si="214"/>
        <v>7.7016711685298889</v>
      </c>
      <c r="BF820" s="20"/>
      <c r="BG820" s="54">
        <f t="shared" si="215"/>
        <v>273930.50581077376</v>
      </c>
      <c r="BH820" s="54">
        <f t="shared" si="216"/>
        <v>284553.39816273225</v>
      </c>
      <c r="BI820" s="54">
        <f t="shared" si="217"/>
        <v>256538.28390821486</v>
      </c>
      <c r="BJ820" s="20"/>
    </row>
    <row r="821" spans="37:62" x14ac:dyDescent="0.3">
      <c r="AK821">
        <v>817</v>
      </c>
      <c r="AL821">
        <v>408.5</v>
      </c>
      <c r="AN821" s="48">
        <f t="shared" si="218"/>
        <v>57531.67795652918</v>
      </c>
      <c r="AO821" s="48">
        <f t="shared" si="219"/>
        <v>-264614.6727114112</v>
      </c>
      <c r="AP821" s="20"/>
      <c r="AQ821" s="50">
        <f t="shared" si="220"/>
        <v>826.38901838835079</v>
      </c>
      <c r="AR821" s="50">
        <f t="shared" si="221"/>
        <v>-1417.0102095714124</v>
      </c>
      <c r="AS821" s="20"/>
      <c r="AT821" s="52">
        <f t="shared" si="222"/>
        <v>-3.4621377579125712</v>
      </c>
      <c r="AU821" s="52">
        <f t="shared" si="223"/>
        <v>16.634138145620689</v>
      </c>
      <c r="AV821" s="20"/>
      <c r="AW821" s="20"/>
      <c r="AX821" s="20">
        <f t="shared" si="209"/>
        <v>-0.94624064594443047</v>
      </c>
      <c r="AY821" s="20">
        <f t="shared" si="210"/>
        <v>6.8604969907189988</v>
      </c>
      <c r="AZ821" s="20"/>
      <c r="BA821" s="20">
        <f t="shared" si="211"/>
        <v>-0.5987538629827861</v>
      </c>
      <c r="BB821" s="20">
        <f t="shared" si="212"/>
        <v>2.1207666395392915</v>
      </c>
      <c r="BC821" s="20"/>
      <c r="BD821" s="20">
        <f t="shared" si="213"/>
        <v>-1.9171432489853548</v>
      </c>
      <c r="BE821" s="20">
        <f t="shared" si="214"/>
        <v>7.6528745153623978</v>
      </c>
      <c r="BF821" s="20"/>
      <c r="BG821" s="54">
        <f t="shared" si="215"/>
        <v>274690.77515466564</v>
      </c>
      <c r="BH821" s="54">
        <f t="shared" si="216"/>
        <v>285349.57430343301</v>
      </c>
      <c r="BI821" s="54">
        <f t="shared" si="217"/>
        <v>257327.99222176356</v>
      </c>
      <c r="BJ821" s="20"/>
    </row>
    <row r="822" spans="37:62" x14ac:dyDescent="0.3">
      <c r="AK822">
        <v>818</v>
      </c>
      <c r="AL822">
        <v>409</v>
      </c>
      <c r="AN822" s="48">
        <f t="shared" si="218"/>
        <v>57944.439698503615</v>
      </c>
      <c r="AO822" s="48">
        <f t="shared" si="219"/>
        <v>-265321.09854892874</v>
      </c>
      <c r="AP822" s="20"/>
      <c r="AQ822" s="50">
        <f t="shared" si="220"/>
        <v>824.65794950939448</v>
      </c>
      <c r="AR822" s="50">
        <f t="shared" si="221"/>
        <v>-1408.6931404986019</v>
      </c>
      <c r="AS822" s="20"/>
      <c r="AT822" s="52">
        <f t="shared" si="222"/>
        <v>-3.4580137275753264</v>
      </c>
      <c r="AU822" s="52">
        <f t="shared" si="223"/>
        <v>16.535268622785352</v>
      </c>
      <c r="AV822" s="20"/>
      <c r="AW822" s="20"/>
      <c r="AX822" s="20">
        <f t="shared" si="209"/>
        <v>-0.94879823347562153</v>
      </c>
      <c r="AY822" s="20">
        <f t="shared" si="210"/>
        <v>6.821873729454758</v>
      </c>
      <c r="AZ822" s="20"/>
      <c r="BA822" s="20">
        <f t="shared" si="211"/>
        <v>-0.5969595623609727</v>
      </c>
      <c r="BB822" s="20">
        <f t="shared" si="212"/>
        <v>2.1086245938036554</v>
      </c>
      <c r="BC822" s="20"/>
      <c r="BD822" s="20">
        <f t="shared" si="213"/>
        <v>-1.9122559317387324</v>
      </c>
      <c r="BE822" s="20">
        <f t="shared" si="214"/>
        <v>7.6047702995269404</v>
      </c>
      <c r="BF822" s="20"/>
      <c r="BG822" s="54">
        <f t="shared" si="215"/>
        <v>275447.1497719257</v>
      </c>
      <c r="BH822" s="54">
        <f t="shared" si="216"/>
        <v>286141.64846471162</v>
      </c>
      <c r="BI822" s="54">
        <f t="shared" si="217"/>
        <v>258113.6471938302</v>
      </c>
      <c r="BJ822" s="20"/>
    </row>
    <row r="823" spans="37:62" x14ac:dyDescent="0.3">
      <c r="AK823">
        <v>819</v>
      </c>
      <c r="AL823">
        <v>409.5</v>
      </c>
      <c r="AN823" s="48">
        <f t="shared" si="218"/>
        <v>58356.336421542364</v>
      </c>
      <c r="AO823" s="48">
        <f t="shared" si="219"/>
        <v>-266023.37821060017</v>
      </c>
      <c r="AP823" s="20"/>
      <c r="AQ823" s="50">
        <f t="shared" si="220"/>
        <v>822.92894264560687</v>
      </c>
      <c r="AR823" s="50">
        <f t="shared" si="221"/>
        <v>-1400.4255061872093</v>
      </c>
      <c r="AS823" s="20"/>
      <c r="AT823" s="52">
        <f t="shared" si="222"/>
        <v>-3.4538912431022508</v>
      </c>
      <c r="AU823" s="52">
        <f t="shared" si="223"/>
        <v>16.437746692843174</v>
      </c>
      <c r="AV823" s="20"/>
      <c r="AW823" s="20"/>
      <c r="AX823" s="20">
        <f t="shared" si="209"/>
        <v>-0.95129011167350197</v>
      </c>
      <c r="AY823" s="20">
        <f t="shared" si="210"/>
        <v>6.7837575034183182</v>
      </c>
      <c r="AZ823" s="20"/>
      <c r="BA823" s="20">
        <f t="shared" si="211"/>
        <v>-0.59518639823652286</v>
      </c>
      <c r="BB823" s="20">
        <f t="shared" si="212"/>
        <v>2.0966442257129057</v>
      </c>
      <c r="BC823" s="20"/>
      <c r="BD823" s="20">
        <f t="shared" si="213"/>
        <v>-1.9074147331922258</v>
      </c>
      <c r="BE823" s="20">
        <f t="shared" si="214"/>
        <v>7.557344963711949</v>
      </c>
      <c r="BF823" s="20"/>
      <c r="BG823" s="54">
        <f t="shared" si="215"/>
        <v>276199.65056353994</v>
      </c>
      <c r="BH823" s="54">
        <f t="shared" si="216"/>
        <v>286929.6442966428</v>
      </c>
      <c r="BI823" s="54">
        <f t="shared" si="217"/>
        <v>258895.27182438399</v>
      </c>
      <c r="BJ823" s="20"/>
    </row>
    <row r="824" spans="37:62" x14ac:dyDescent="0.3">
      <c r="AK824">
        <v>820</v>
      </c>
      <c r="AL824">
        <v>410</v>
      </c>
      <c r="AN824" s="48">
        <f t="shared" si="218"/>
        <v>58767.369156459783</v>
      </c>
      <c r="AO824" s="48">
        <f t="shared" si="219"/>
        <v>-266721.53624535719</v>
      </c>
      <c r="AP824" s="20"/>
      <c r="AQ824" s="50">
        <f t="shared" si="220"/>
        <v>821.20199702405569</v>
      </c>
      <c r="AR824" s="50">
        <f t="shared" si="221"/>
        <v>-1392.2066328407877</v>
      </c>
      <c r="AS824" s="20"/>
      <c r="AT824" s="52">
        <f t="shared" si="222"/>
        <v>-3.4497716193281036</v>
      </c>
      <c r="AU824" s="52">
        <f t="shared" si="223"/>
        <v>16.341547077141065</v>
      </c>
      <c r="AV824" s="20"/>
      <c r="AW824" s="20"/>
      <c r="AX824" s="20">
        <f t="shared" si="209"/>
        <v>-0.95371819829749183</v>
      </c>
      <c r="AY824" s="20">
        <f t="shared" si="210"/>
        <v>6.7461392189599696</v>
      </c>
      <c r="AZ824" s="20"/>
      <c r="BA824" s="20">
        <f t="shared" si="211"/>
        <v>-0.59343407274013504</v>
      </c>
      <c r="BB824" s="20">
        <f t="shared" si="212"/>
        <v>2.0848225607586097</v>
      </c>
      <c r="BC824" s="20"/>
      <c r="BD824" s="20">
        <f t="shared" si="213"/>
        <v>-1.9026193482904765</v>
      </c>
      <c r="BE824" s="20">
        <f t="shared" si="214"/>
        <v>7.5105852974224874</v>
      </c>
      <c r="BF824" s="20"/>
      <c r="BG824" s="54">
        <f t="shared" si="215"/>
        <v>276948.29815703322</v>
      </c>
      <c r="BH824" s="54">
        <f t="shared" si="216"/>
        <v>287713.58512559073</v>
      </c>
      <c r="BI824" s="54">
        <f t="shared" si="217"/>
        <v>259672.88880215987</v>
      </c>
      <c r="BJ824" s="20"/>
    </row>
    <row r="825" spans="37:62" x14ac:dyDescent="0.3">
      <c r="AK825">
        <v>821</v>
      </c>
      <c r="AL825">
        <v>410.5</v>
      </c>
      <c r="AN825" s="48">
        <f t="shared" si="218"/>
        <v>59177.53893351939</v>
      </c>
      <c r="AO825" s="48">
        <f t="shared" si="219"/>
        <v>-267415.59686839295</v>
      </c>
      <c r="AP825" s="20"/>
      <c r="AQ825" s="50">
        <f t="shared" si="220"/>
        <v>819.47711121439158</v>
      </c>
      <c r="AR825" s="50">
        <f t="shared" si="221"/>
        <v>-1384.0358593022172</v>
      </c>
      <c r="AS825" s="20"/>
      <c r="AT825" s="52">
        <f t="shared" si="222"/>
        <v>-3.4456561152699026</v>
      </c>
      <c r="AU825" s="52">
        <f t="shared" si="223"/>
        <v>16.246645119301451</v>
      </c>
      <c r="AV825" s="20"/>
      <c r="AW825" s="20"/>
      <c r="AX825" s="20">
        <f t="shared" si="209"/>
        <v>-0.95608435223041111</v>
      </c>
      <c r="AY825" s="20">
        <f t="shared" si="210"/>
        <v>6.7090099966711376</v>
      </c>
      <c r="AZ825" s="20"/>
      <c r="BA825" s="20">
        <f t="shared" si="211"/>
        <v>-0.59170229397700336</v>
      </c>
      <c r="BB825" s="20">
        <f t="shared" si="212"/>
        <v>2.073156696495106</v>
      </c>
      <c r="BC825" s="20"/>
      <c r="BD825" s="20">
        <f t="shared" si="213"/>
        <v>-1.897869469062488</v>
      </c>
      <c r="BE825" s="20">
        <f t="shared" si="214"/>
        <v>7.4644784261352095</v>
      </c>
      <c r="BF825" s="20"/>
      <c r="BG825" s="54">
        <f t="shared" si="215"/>
        <v>277693.11291134352</v>
      </c>
      <c r="BH825" s="54">
        <f t="shared" si="216"/>
        <v>288493.49396028969</v>
      </c>
      <c r="BI825" s="54">
        <f t="shared" si="217"/>
        <v>260446.5205104312</v>
      </c>
      <c r="BJ825" s="20"/>
    </row>
    <row r="826" spans="37:62" x14ac:dyDescent="0.3">
      <c r="AK826">
        <v>822</v>
      </c>
      <c r="AL826">
        <v>411</v>
      </c>
      <c r="AN826" s="48">
        <f t="shared" si="218"/>
        <v>59586.846782112181</v>
      </c>
      <c r="AO826" s="48">
        <f t="shared" si="219"/>
        <v>-268105.58396740415</v>
      </c>
      <c r="AP826" s="20"/>
      <c r="AQ826" s="50">
        <f t="shared" si="220"/>
        <v>817.75428315675663</v>
      </c>
      <c r="AR826" s="50">
        <f t="shared" si="221"/>
        <v>-1375.9125367425665</v>
      </c>
      <c r="AS826" s="20"/>
      <c r="AT826" s="52">
        <f t="shared" si="222"/>
        <v>-3.4415459364398622</v>
      </c>
      <c r="AU826" s="52">
        <f t="shared" si="223"/>
        <v>16.15301676646413</v>
      </c>
      <c r="AV826" s="20"/>
      <c r="AW826" s="20"/>
      <c r="AX826" s="20">
        <f t="shared" si="209"/>
        <v>-0.95839037555003537</v>
      </c>
      <c r="AY826" s="20">
        <f t="shared" si="210"/>
        <v>6.6723611652131192</v>
      </c>
      <c r="AZ826" s="20"/>
      <c r="BA826" s="20">
        <f t="shared" si="211"/>
        <v>-0.58999077587995152</v>
      </c>
      <c r="BB826" s="20">
        <f t="shared" si="212"/>
        <v>2.0616438003968529</v>
      </c>
      <c r="BC826" s="20"/>
      <c r="BD826" s="20">
        <f t="shared" si="213"/>
        <v>-1.8931647850098752</v>
      </c>
      <c r="BE826" s="20">
        <f t="shared" si="214"/>
        <v>7.4190118008541575</v>
      </c>
      <c r="BF826" s="20"/>
      <c r="BG826" s="54">
        <f t="shared" si="215"/>
        <v>278434.11492158117</v>
      </c>
      <c r="BH826" s="54">
        <f t="shared" si="216"/>
        <v>289269.39349777444</v>
      </c>
      <c r="BI826" s="54">
        <f t="shared" si="217"/>
        <v>261216.18903264153</v>
      </c>
      <c r="BJ826" s="20"/>
    </row>
    <row r="827" spans="37:62" x14ac:dyDescent="0.3">
      <c r="AK827">
        <v>823</v>
      </c>
      <c r="AL827">
        <v>411.5</v>
      </c>
      <c r="AN827" s="48">
        <f t="shared" si="218"/>
        <v>59995.293730448502</v>
      </c>
      <c r="AO827" s="48">
        <f t="shared" si="219"/>
        <v>-268791.52110867959</v>
      </c>
      <c r="AP827" s="20"/>
      <c r="AQ827" s="50">
        <f t="shared" si="220"/>
        <v>816.03351018853675</v>
      </c>
      <c r="AR827" s="50">
        <f t="shared" si="221"/>
        <v>-1367.8360283593345</v>
      </c>
      <c r="AS827" s="20"/>
      <c r="AT827" s="52">
        <f t="shared" si="222"/>
        <v>-3.4374422370564317</v>
      </c>
      <c r="AU827" s="52">
        <f t="shared" si="223"/>
        <v>16.060638551197531</v>
      </c>
      <c r="AV827" s="20"/>
      <c r="AW827" s="20"/>
      <c r="AX827" s="20">
        <f t="shared" si="209"/>
        <v>-0.96063801551824346</v>
      </c>
      <c r="AY827" s="20">
        <f t="shared" si="210"/>
        <v>6.636184255356449</v>
      </c>
      <c r="AZ827" s="20"/>
      <c r="BA827" s="20">
        <f t="shared" si="211"/>
        <v>-0.5882992380669575</v>
      </c>
      <c r="BB827" s="20">
        <f t="shared" si="212"/>
        <v>2.0502811077914238</v>
      </c>
      <c r="BC827" s="20"/>
      <c r="BD827" s="20">
        <f t="shared" si="213"/>
        <v>-1.8885049834712309</v>
      </c>
      <c r="BE827" s="20">
        <f t="shared" si="214"/>
        <v>7.3741731880496593</v>
      </c>
      <c r="BF827" s="20"/>
      <c r="BG827" s="54">
        <f t="shared" si="215"/>
        <v>279171.32402367692</v>
      </c>
      <c r="BH827" s="54">
        <f t="shared" si="216"/>
        <v>290041.30612916511</v>
      </c>
      <c r="BI827" s="54">
        <f t="shared" si="217"/>
        <v>261981.9161578994</v>
      </c>
      <c r="BJ827" s="20"/>
    </row>
    <row r="828" spans="37:62" x14ac:dyDescent="0.3">
      <c r="AK828">
        <v>824</v>
      </c>
      <c r="AL828">
        <v>412</v>
      </c>
      <c r="AN828" s="48">
        <f t="shared" si="218"/>
        <v>60402.880805263143</v>
      </c>
      <c r="AO828" s="48">
        <f t="shared" si="219"/>
        <v>-269473.43154304038</v>
      </c>
      <c r="AP828" s="20"/>
      <c r="AQ828" s="50">
        <f t="shared" si="220"/>
        <v>814.31478907000849</v>
      </c>
      <c r="AR828" s="50">
        <f t="shared" si="221"/>
        <v>-1359.8057090837358</v>
      </c>
      <c r="AS828" s="20"/>
      <c r="AT828" s="52">
        <f t="shared" si="222"/>
        <v>-3.4333461221581167</v>
      </c>
      <c r="AU828" s="52">
        <f t="shared" si="223"/>
        <v>15.969487574050389</v>
      </c>
      <c r="AV828" s="20"/>
      <c r="AW828" s="20"/>
      <c r="AX828" s="20">
        <f t="shared" si="209"/>
        <v>-0.96282896649122784</v>
      </c>
      <c r="AY828" s="20">
        <f t="shared" si="210"/>
        <v>6.6004709942211628</v>
      </c>
      <c r="AZ828" s="20"/>
      <c r="BA828" s="20">
        <f t="shared" si="211"/>
        <v>-0.58662740570279515</v>
      </c>
      <c r="BB828" s="20">
        <f t="shared" si="212"/>
        <v>2.0390659198646475</v>
      </c>
      <c r="BC828" s="20"/>
      <c r="BD828" s="20">
        <f t="shared" si="213"/>
        <v>-1.8838897499640939</v>
      </c>
      <c r="BE828" s="20">
        <f t="shared" si="214"/>
        <v>7.3299506599645792</v>
      </c>
      <c r="BF828" s="20"/>
      <c r="BG828" s="54">
        <f t="shared" si="215"/>
        <v>279904.75979892089</v>
      </c>
      <c r="BH828" s="54">
        <f t="shared" si="216"/>
        <v>290809.25394531008</v>
      </c>
      <c r="BI828" s="54">
        <f t="shared" si="217"/>
        <v>262743.72338634072</v>
      </c>
      <c r="BJ828" s="20"/>
    </row>
    <row r="829" spans="37:62" x14ac:dyDescent="0.3">
      <c r="AK829">
        <v>825</v>
      </c>
      <c r="AL829">
        <v>412.5</v>
      </c>
      <c r="AN829" s="48">
        <f t="shared" si="218"/>
        <v>60809.609031532877</v>
      </c>
      <c r="AO829" s="48">
        <f t="shared" si="219"/>
        <v>-270151.33821163548</v>
      </c>
      <c r="AP829" s="20"/>
      <c r="AQ829" s="50">
        <f t="shared" si="220"/>
        <v>812.59811600892942</v>
      </c>
      <c r="AR829" s="50">
        <f t="shared" si="221"/>
        <v>-1351.8209652967107</v>
      </c>
      <c r="AS829" s="20"/>
      <c r="AT829" s="52">
        <f t="shared" si="222"/>
        <v>-3.4292586496251527</v>
      </c>
      <c r="AU829" s="52">
        <f t="shared" si="223"/>
        <v>15.879541486720075</v>
      </c>
      <c r="AV829" s="20"/>
      <c r="AW829" s="20"/>
      <c r="AX829" s="20">
        <f t="shared" si="209"/>
        <v>-0.96496487175457135</v>
      </c>
      <c r="AY829" s="20">
        <f t="shared" si="210"/>
        <v>6.5652132997122292</v>
      </c>
      <c r="AZ829" s="20"/>
      <c r="BA829" s="20">
        <f t="shared" si="211"/>
        <v>-0.58497500936481672</v>
      </c>
      <c r="BB829" s="20">
        <f t="shared" si="212"/>
        <v>2.0279956017355421</v>
      </c>
      <c r="BC829" s="20"/>
      <c r="BD829" s="20">
        <f t="shared" si="213"/>
        <v>-1.8793187685057646</v>
      </c>
      <c r="BE829" s="20">
        <f t="shared" si="214"/>
        <v>7.2863325852723051</v>
      </c>
      <c r="BF829" s="20"/>
      <c r="BG829" s="54">
        <f t="shared" si="215"/>
        <v>280634.44157839671</v>
      </c>
      <c r="BH829" s="54">
        <f t="shared" si="216"/>
        <v>291573.25874229165</v>
      </c>
      <c r="BI829" s="54">
        <f t="shared" si="217"/>
        <v>263501.6319343613</v>
      </c>
      <c r="BJ829" s="20"/>
    </row>
    <row r="830" spans="37:62" x14ac:dyDescent="0.3">
      <c r="AK830">
        <v>826</v>
      </c>
      <c r="AL830">
        <v>413</v>
      </c>
      <c r="AN830" s="48">
        <f t="shared" si="218"/>
        <v>61215.479432206135</v>
      </c>
      <c r="AO830" s="48">
        <f t="shared" si="219"/>
        <v>-270825.26375159802</v>
      </c>
      <c r="AP830" s="20"/>
      <c r="AQ830" s="50">
        <f t="shared" si="220"/>
        <v>810.88348668411686</v>
      </c>
      <c r="AR830" s="50">
        <f t="shared" si="221"/>
        <v>-1343.8811945533507</v>
      </c>
      <c r="AS830" s="20"/>
      <c r="AT830" s="52">
        <f t="shared" si="222"/>
        <v>-3.4251808321130754</v>
      </c>
      <c r="AU830" s="52">
        <f t="shared" si="223"/>
        <v>15.790778475810484</v>
      </c>
      <c r="AV830" s="20"/>
      <c r="AW830" s="20"/>
      <c r="AX830" s="20">
        <f t="shared" si="209"/>
        <v>-0.96704732528625215</v>
      </c>
      <c r="AY830" s="20">
        <f t="shared" si="210"/>
        <v>6.5304032751407108</v>
      </c>
      <c r="AZ830" s="20"/>
      <c r="BA830" s="20">
        <f t="shared" si="211"/>
        <v>-0.58334178491259225</v>
      </c>
      <c r="BB830" s="20">
        <f t="shared" si="212"/>
        <v>2.0170675805977538</v>
      </c>
      <c r="BC830" s="20"/>
      <c r="BD830" s="20">
        <f t="shared" si="213"/>
        <v>-1.8747917219142314</v>
      </c>
      <c r="BE830" s="20">
        <f t="shared" si="214"/>
        <v>7.2433076200720201</v>
      </c>
      <c r="BF830" s="20"/>
      <c r="BG830" s="54">
        <f t="shared" si="215"/>
        <v>281360.38844731363</v>
      </c>
      <c r="BH830" s="54">
        <f t="shared" si="216"/>
        <v>292333.34202679939</v>
      </c>
      <c r="BI830" s="54">
        <f t="shared" si="217"/>
        <v>264255.66273972561</v>
      </c>
      <c r="BJ830" s="20"/>
    </row>
    <row r="831" spans="37:62" x14ac:dyDescent="0.3">
      <c r="AK831">
        <v>827</v>
      </c>
      <c r="AL831">
        <v>413.5</v>
      </c>
      <c r="AN831" s="48">
        <f t="shared" si="218"/>
        <v>61620.493027944183</v>
      </c>
      <c r="AO831" s="48">
        <f t="shared" si="219"/>
        <v>-271495.23050156521</v>
      </c>
      <c r="AP831" s="20"/>
      <c r="AQ831" s="50">
        <f t="shared" si="220"/>
        <v>809.17089626806035</v>
      </c>
      <c r="AR831" s="50">
        <f t="shared" si="221"/>
        <v>-1335.9858053154455</v>
      </c>
      <c r="AS831" s="20"/>
      <c r="AT831" s="52">
        <f t="shared" si="222"/>
        <v>-3.4211136389024999</v>
      </c>
      <c r="AU831" s="52">
        <f t="shared" si="223"/>
        <v>15.703177247156473</v>
      </c>
      <c r="AV831" s="20"/>
      <c r="AW831" s="20"/>
      <c r="AX831" s="20">
        <f t="shared" si="209"/>
        <v>-0.96907787345088137</v>
      </c>
      <c r="AY831" s="20">
        <f t="shared" si="210"/>
        <v>6.4960332040244921</v>
      </c>
      <c r="AZ831" s="20"/>
      <c r="BA831" s="20">
        <f t="shared" si="211"/>
        <v>-0.58172747336136199</v>
      </c>
      <c r="BB831" s="20">
        <f t="shared" si="212"/>
        <v>2.006279343925133</v>
      </c>
      <c r="BC831" s="20"/>
      <c r="BD831" s="20">
        <f t="shared" si="213"/>
        <v>-1.8703082920902567</v>
      </c>
      <c r="BE831" s="20">
        <f t="shared" si="214"/>
        <v>7.2008646992068481</v>
      </c>
      <c r="BF831" s="20"/>
      <c r="BG831" s="54">
        <f t="shared" si="215"/>
        <v>282082.61924923811</v>
      </c>
      <c r="BH831" s="54">
        <f t="shared" si="216"/>
        <v>293089.52502137295</v>
      </c>
      <c r="BI831" s="54">
        <f t="shared" si="217"/>
        <v>265005.83646655298</v>
      </c>
      <c r="BJ831" s="20"/>
    </row>
    <row r="832" spans="37:62" x14ac:dyDescent="0.3">
      <c r="AK832">
        <v>828</v>
      </c>
      <c r="AL832">
        <v>414</v>
      </c>
      <c r="AN832" s="48">
        <f t="shared" si="218"/>
        <v>62024.650836873348</v>
      </c>
      <c r="AO832" s="48">
        <f t="shared" si="219"/>
        <v>-272161.26050706703</v>
      </c>
      <c r="AP832" s="20"/>
      <c r="AQ832" s="50">
        <f t="shared" si="220"/>
        <v>807.46033944860915</v>
      </c>
      <c r="AR832" s="50">
        <f t="shared" si="221"/>
        <v>-1328.1342166918673</v>
      </c>
      <c r="AS832" s="20"/>
      <c r="AT832" s="52">
        <f t="shared" si="222"/>
        <v>-3.4170579976690592</v>
      </c>
      <c r="AU832" s="52">
        <f t="shared" si="223"/>
        <v>15.616717010692149</v>
      </c>
      <c r="AV832" s="20"/>
      <c r="AW832" s="20"/>
      <c r="AX832" s="20">
        <f t="shared" si="209"/>
        <v>-0.97105801662818469</v>
      </c>
      <c r="AY832" s="20">
        <f t="shared" si="210"/>
        <v>6.4620955450616506</v>
      </c>
      <c r="AZ832" s="20"/>
      <c r="BA832" s="20">
        <f t="shared" si="211"/>
        <v>-0.58013182075914327</v>
      </c>
      <c r="BB832" s="20">
        <f t="shared" si="212"/>
        <v>1.9956284377387954</v>
      </c>
      <c r="BC832" s="20"/>
      <c r="BD832" s="20">
        <f t="shared" si="213"/>
        <v>-1.8658681602817313</v>
      </c>
      <c r="BE832" s="20">
        <f t="shared" si="214"/>
        <v>7.1589930278917047</v>
      </c>
      <c r="BF832" s="20"/>
      <c r="BG832" s="54">
        <f t="shared" si="215"/>
        <v>282801.15259023034</v>
      </c>
      <c r="BH832" s="54">
        <f t="shared" si="216"/>
        <v>293841.82866952068</v>
      </c>
      <c r="BI832" s="54">
        <f t="shared" si="217"/>
        <v>265752.17351018672</v>
      </c>
      <c r="BJ832" s="20"/>
    </row>
    <row r="833" spans="37:62" x14ac:dyDescent="0.3">
      <c r="AK833">
        <v>829</v>
      </c>
      <c r="AL833">
        <v>414.5</v>
      </c>
      <c r="AN833" s="48">
        <f t="shared" si="218"/>
        <v>62427.953874347942</v>
      </c>
      <c r="AO833" s="48">
        <f t="shared" si="219"/>
        <v>-272823.3755257866</v>
      </c>
      <c r="AP833" s="20"/>
      <c r="AQ833" s="50">
        <f t="shared" si="220"/>
        <v>805.75181044977467</v>
      </c>
      <c r="AR833" s="50">
        <f t="shared" si="221"/>
        <v>-1320.3258581865211</v>
      </c>
      <c r="AS833" s="20"/>
      <c r="AT833" s="52">
        <f t="shared" si="222"/>
        <v>-3.413014796177321</v>
      </c>
      <c r="AU833" s="52">
        <f t="shared" si="223"/>
        <v>15.531377465841121</v>
      </c>
      <c r="AV833" s="20"/>
      <c r="AW833" s="20"/>
      <c r="AX833" s="20">
        <f t="shared" si="209"/>
        <v>-0.97298921077848621</v>
      </c>
      <c r="AY833" s="20">
        <f t="shared" si="210"/>
        <v>6.4285829272691544</v>
      </c>
      <c r="AZ833" s="20"/>
      <c r="BA833" s="20">
        <f t="shared" si="211"/>
        <v>-0.57855457806736155</v>
      </c>
      <c r="BB833" s="20">
        <f t="shared" si="212"/>
        <v>1.9851124649332181</v>
      </c>
      <c r="BC833" s="20"/>
      <c r="BD833" s="20">
        <f t="shared" si="213"/>
        <v>-1.8614710073314731</v>
      </c>
      <c r="BE833" s="20">
        <f t="shared" si="214"/>
        <v>7.1176820736387478</v>
      </c>
      <c r="BF833" s="20"/>
      <c r="BG833" s="54">
        <f t="shared" si="215"/>
        <v>283516.00684288528</v>
      </c>
      <c r="BH833" s="54">
        <f t="shared" si="216"/>
        <v>294590.27364071569</v>
      </c>
      <c r="BI833" s="54">
        <f t="shared" si="217"/>
        <v>266494.69400194811</v>
      </c>
      <c r="BJ833" s="20"/>
    </row>
    <row r="834" spans="37:62" x14ac:dyDescent="0.3">
      <c r="AK834">
        <v>830</v>
      </c>
      <c r="AL834">
        <v>415</v>
      </c>
      <c r="AN834" s="48">
        <f t="shared" si="218"/>
        <v>62830.403152723309</v>
      </c>
      <c r="AO834" s="48">
        <f t="shared" si="219"/>
        <v>-273481.59703269659</v>
      </c>
      <c r="AP834" s="20"/>
      <c r="AQ834" s="50">
        <f t="shared" si="220"/>
        <v>804.04530305168601</v>
      </c>
      <c r="AR834" s="50">
        <f t="shared" si="221"/>
        <v>-1312.5601694536006</v>
      </c>
      <c r="AS834" s="20"/>
      <c r="AT834" s="52">
        <f t="shared" si="222"/>
        <v>-3.4089848839021455</v>
      </c>
      <c r="AU834" s="52">
        <f t="shared" si="223"/>
        <v>15.447138787408193</v>
      </c>
      <c r="AV834" s="20"/>
      <c r="AW834" s="20"/>
      <c r="AX834" s="20">
        <f t="shared" si="209"/>
        <v>-0.97487286894812353</v>
      </c>
      <c r="AY834" s="20">
        <f t="shared" si="210"/>
        <v>6.3954881452819938</v>
      </c>
      <c r="AZ834" s="20"/>
      <c r="BA834" s="20">
        <f t="shared" si="211"/>
        <v>-0.57699550104490471</v>
      </c>
      <c r="BB834" s="20">
        <f t="shared" si="212"/>
        <v>1.9747290836590932</v>
      </c>
      <c r="BC834" s="20"/>
      <c r="BD834" s="20">
        <f t="shared" si="213"/>
        <v>-1.8571165139091173</v>
      </c>
      <c r="BE834" s="20">
        <f t="shared" si="214"/>
        <v>7.0769215584671068</v>
      </c>
      <c r="BF834" s="20"/>
      <c r="BG834" s="54">
        <f t="shared" si="215"/>
        <v>284227.20015028381</v>
      </c>
      <c r="BH834" s="54">
        <f t="shared" si="216"/>
        <v>295334.88033527439</v>
      </c>
      <c r="BI834" s="54">
        <f t="shared" si="217"/>
        <v>267233.41781378002</v>
      </c>
      <c r="BJ834" s="20"/>
    </row>
    <row r="835" spans="37:62" x14ac:dyDescent="0.3">
      <c r="AK835">
        <v>831</v>
      </c>
      <c r="AL835">
        <v>415.5</v>
      </c>
      <c r="AN835" s="48">
        <f t="shared" si="218"/>
        <v>63231.999681138659</v>
      </c>
      <c r="AO835" s="48">
        <f t="shared" si="219"/>
        <v>-274135.94622507499</v>
      </c>
      <c r="AP835" s="20"/>
      <c r="AQ835" s="50">
        <f t="shared" si="220"/>
        <v>802.34081060973494</v>
      </c>
      <c r="AR835" s="50">
        <f t="shared" si="221"/>
        <v>-1304.8366000598965</v>
      </c>
      <c r="AS835" s="20"/>
      <c r="AT835" s="52">
        <f t="shared" si="222"/>
        <v>-3.4049690735807276</v>
      </c>
      <c r="AU835" s="52">
        <f t="shared" si="223"/>
        <v>15.363981611951377</v>
      </c>
      <c r="AV835" s="20"/>
      <c r="AW835" s="20"/>
      <c r="AX835" s="20">
        <f t="shared" si="209"/>
        <v>-0.97671036271708833</v>
      </c>
      <c r="AY835" s="20">
        <f t="shared" si="210"/>
        <v>6.3628041548046737</v>
      </c>
      <c r="AZ835" s="20"/>
      <c r="BA835" s="20">
        <f t="shared" si="211"/>
        <v>-0.57545435013547397</v>
      </c>
      <c r="BB835" s="20">
        <f t="shared" si="212"/>
        <v>1.964476005760692</v>
      </c>
      <c r="BC835" s="20"/>
      <c r="BD835" s="20">
        <f t="shared" si="213"/>
        <v>-1.8528043607281652</v>
      </c>
      <c r="BE835" s="20">
        <f t="shared" si="214"/>
        <v>7.0367014513860111</v>
      </c>
      <c r="BF835" s="20"/>
      <c r="BG835" s="54">
        <f t="shared" si="215"/>
        <v>284934.7504298542</v>
      </c>
      <c r="BH835" s="54">
        <f t="shared" si="216"/>
        <v>296075.66888911993</v>
      </c>
      <c r="BI835" s="54">
        <f t="shared" si="217"/>
        <v>267968.36456278164</v>
      </c>
      <c r="BJ835" s="20"/>
    </row>
    <row r="836" spans="37:62" x14ac:dyDescent="0.3">
      <c r="AK836">
        <v>832</v>
      </c>
      <c r="AL836">
        <v>416</v>
      </c>
      <c r="AN836" s="48">
        <f t="shared" si="218"/>
        <v>63632.744465309326</v>
      </c>
      <c r="AO836" s="48">
        <f t="shared" si="219"/>
        <v>-274786.44402740343</v>
      </c>
      <c r="AP836" s="20"/>
      <c r="AQ836" s="50">
        <f t="shared" si="220"/>
        <v>800.63832607294455</v>
      </c>
      <c r="AR836" s="50">
        <f t="shared" si="221"/>
        <v>-1297.1546092539209</v>
      </c>
      <c r="AS836" s="20"/>
      <c r="AT836" s="52">
        <f t="shared" si="222"/>
        <v>-3.4009681426990888</v>
      </c>
      <c r="AU836" s="52">
        <f t="shared" si="223"/>
        <v>15.281887024618234</v>
      </c>
      <c r="AV836" s="20"/>
      <c r="AW836" s="20"/>
      <c r="AX836" s="20">
        <f t="shared" ref="AX836:AX899" si="224">Masse_1*(q_1x-AN836)/($BG836^2+Aarseth_1^2)^(3/2)</f>
        <v>-0.97850302359170527</v>
      </c>
      <c r="AY836" s="20">
        <f t="shared" ref="AY836:AY899" si="225">Masse_1*(q_1y-AO836)/($BG836^2+Aarseth_1^2)^(3/2)</f>
        <v>6.3305240682115489</v>
      </c>
      <c r="AZ836" s="20"/>
      <c r="BA836" s="20">
        <f t="shared" ref="BA836:BA899" si="226">Masse_2*(q_2x-AN836)/($BH836^2+Aarseth_2^2)^(3/2)</f>
        <v>-0.57393089035814504</v>
      </c>
      <c r="BB836" s="20">
        <f t="shared" ref="BB836:BB899" si="227">Masse_2*(q_2y-AO836)/($BH836^2+Aarseth_2^2)^(3/2)</f>
        <v>1.9543509952656812</v>
      </c>
      <c r="BC836" s="20"/>
      <c r="BD836" s="20">
        <f t="shared" ref="BD836:BD899" si="228">Masse_3*(q_3x-AN836)/($BI836^2+Aarseth_3^2)^(3/2)</f>
        <v>-1.8485342287492383</v>
      </c>
      <c r="BE836" s="20">
        <f t="shared" ref="BE836:BE899" si="229">Masse_3*(q_3y-AO836)/($BI836^2+Aarseth_3^2)^(3/2)</f>
        <v>6.9970119611410038</v>
      </c>
      <c r="BF836" s="20"/>
      <c r="BG836" s="54">
        <f t="shared" ref="BG836:BG899" si="230">SQRT((q_1x-AN836)^2+(q_1y-AO836)^2)</f>
        <v>285638.67537714733</v>
      </c>
      <c r="BH836" s="54">
        <f t="shared" ref="BH836:BH899" si="231">SQRT((q_2x-AN836)^2+(q_2y-AO836)^2)</f>
        <v>296812.65917843382</v>
      </c>
      <c r="BI836" s="54">
        <f t="shared" ref="BI836:BI899" si="232">SQRT((q_3x-AN836)^2+(q_3y-AO836)^2)</f>
        <v>268699.55361563904</v>
      </c>
      <c r="BJ836" s="20"/>
    </row>
    <row r="837" spans="37:62" x14ac:dyDescent="0.3">
      <c r="AK837">
        <v>833</v>
      </c>
      <c r="AL837">
        <v>416.5</v>
      </c>
      <c r="AN837" s="48">
        <f t="shared" ref="AN837:AN900" si="233">AN836+(AQ836*bt)+(0.5*AT836)*bt^2</f>
        <v>64032.63850732796</v>
      </c>
      <c r="AO837" s="48">
        <f t="shared" ref="AO837:AO900" si="234">AO836+(AR836*bt)+(0.5*AU836)*bt^2</f>
        <v>-275433.11109615228</v>
      </c>
      <c r="AP837" s="20"/>
      <c r="AQ837" s="50">
        <f t="shared" ref="AQ837:AQ900" si="235">AQ836+(AT836*bt)</f>
        <v>798.93784200159496</v>
      </c>
      <c r="AR837" s="50">
        <f t="shared" ref="AR837:AR900" si="236">AR836+(AU836*bt)</f>
        <v>-1289.5136657416117</v>
      </c>
      <c r="AS837" s="20"/>
      <c r="AT837" s="52">
        <f t="shared" si="222"/>
        <v>-3.3969828349151943</v>
      </c>
      <c r="AU837" s="52">
        <f t="shared" si="223"/>
        <v>15.200836546424476</v>
      </c>
      <c r="AV837" s="20"/>
      <c r="AW837" s="20"/>
      <c r="AX837" s="20">
        <f t="shared" si="224"/>
        <v>-0.98025214434439933</v>
      </c>
      <c r="AY837" s="20">
        <f t="shared" si="225"/>
        <v>6.2986411502885353</v>
      </c>
      <c r="AZ837" s="20"/>
      <c r="BA837" s="20">
        <f t="shared" si="226"/>
        <v>-0.5724248912009714</v>
      </c>
      <c r="BB837" s="20">
        <f t="shared" si="227"/>
        <v>1.9443518669251543</v>
      </c>
      <c r="BC837" s="20"/>
      <c r="BD837" s="20">
        <f t="shared" si="228"/>
        <v>-1.8443057993698235</v>
      </c>
      <c r="BE837" s="20">
        <f t="shared" si="229"/>
        <v>6.9578435292107867</v>
      </c>
      <c r="BF837" s="20"/>
      <c r="BG837" s="54">
        <f t="shared" si="230"/>
        <v>286338.99246952846</v>
      </c>
      <c r="BH837" s="54">
        <f t="shared" si="231"/>
        <v>297545.87082420028</v>
      </c>
      <c r="BI837" s="54">
        <f t="shared" si="232"/>
        <v>269427.00409295317</v>
      </c>
      <c r="BJ837" s="20"/>
    </row>
    <row r="838" spans="37:62" x14ac:dyDescent="0.3">
      <c r="AK838">
        <v>834</v>
      </c>
      <c r="AL838">
        <v>417</v>
      </c>
      <c r="AN838" s="48">
        <f t="shared" si="233"/>
        <v>64431.682805474396</v>
      </c>
      <c r="AO838" s="48">
        <f t="shared" si="234"/>
        <v>-276075.96782445483</v>
      </c>
      <c r="AP838" s="20"/>
      <c r="AQ838" s="50">
        <f t="shared" si="235"/>
        <v>797.23935058413736</v>
      </c>
      <c r="AR838" s="50">
        <f t="shared" si="236"/>
        <v>-1281.9132474683995</v>
      </c>
      <c r="AS838" s="20"/>
      <c r="AT838" s="52">
        <f t="shared" si="222"/>
        <v>-3.3930138614224585</v>
      </c>
      <c r="AU838" s="52">
        <f t="shared" si="223"/>
        <v>15.120812121961386</v>
      </c>
      <c r="AV838" s="20"/>
      <c r="AW838" s="20"/>
      <c r="AX838" s="20">
        <f t="shared" si="224"/>
        <v>-0.98195898030304285</v>
      </c>
      <c r="AY838" s="20">
        <f t="shared" si="225"/>
        <v>6.2671488141124669</v>
      </c>
      <c r="AZ838" s="20"/>
      <c r="BA838" s="20">
        <f t="shared" si="226"/>
        <v>-0.57093612651764458</v>
      </c>
      <c r="BB838" s="20">
        <f t="shared" si="227"/>
        <v>1.9344764848023432</v>
      </c>
      <c r="BC838" s="20"/>
      <c r="BD838" s="20">
        <f t="shared" si="228"/>
        <v>-1.8401187546017714</v>
      </c>
      <c r="BE838" s="20">
        <f t="shared" si="229"/>
        <v>6.9191868230465765</v>
      </c>
      <c r="BF838" s="20"/>
      <c r="BG838" s="54">
        <f t="shared" si="230"/>
        <v>287035.71896978695</v>
      </c>
      <c r="BH838" s="54">
        <f t="shared" si="231"/>
        <v>298275.32319664455</v>
      </c>
      <c r="BI838" s="54">
        <f t="shared" si="232"/>
        <v>270150.7348734698</v>
      </c>
      <c r="BJ838" s="20"/>
    </row>
    <row r="839" spans="37:62" x14ac:dyDescent="0.3">
      <c r="AK839">
        <v>835</v>
      </c>
      <c r="AL839">
        <v>417.5</v>
      </c>
      <c r="AN839" s="48">
        <f t="shared" si="233"/>
        <v>64829.878354033783</v>
      </c>
      <c r="AO839" s="48">
        <f t="shared" si="234"/>
        <v>-276715.03434667381</v>
      </c>
      <c r="AP839" s="20"/>
      <c r="AQ839" s="50">
        <f t="shared" si="235"/>
        <v>795.54284365342608</v>
      </c>
      <c r="AR839" s="50">
        <f t="shared" si="236"/>
        <v>-1274.3528414074187</v>
      </c>
      <c r="AS839" s="20"/>
      <c r="AT839" s="52">
        <f t="shared" si="222"/>
        <v>-3.3890619022557518</v>
      </c>
      <c r="AU839" s="52">
        <f t="shared" si="223"/>
        <v>15.04179610751256</v>
      </c>
      <c r="AV839" s="20"/>
      <c r="AW839" s="20"/>
      <c r="AX839" s="20">
        <f t="shared" si="224"/>
        <v>-0.98362475059178278</v>
      </c>
      <c r="AY839" s="20">
        <f t="shared" si="225"/>
        <v>6.2360406170615263</v>
      </c>
      <c r="AZ839" s="20"/>
      <c r="BA839" s="20">
        <f t="shared" si="226"/>
        <v>-0.56946437442696263</v>
      </c>
      <c r="BB839" s="20">
        <f t="shared" si="227"/>
        <v>1.9247227609076234</v>
      </c>
      <c r="BC839" s="20"/>
      <c r="BD839" s="20">
        <f t="shared" si="228"/>
        <v>-1.8359727772370065</v>
      </c>
      <c r="BE839" s="20">
        <f t="shared" si="229"/>
        <v>6.8810327295434099</v>
      </c>
      <c r="BF839" s="20"/>
      <c r="BG839" s="54">
        <f t="shared" si="230"/>
        <v>287728.87192966655</v>
      </c>
      <c r="BH839" s="54">
        <f t="shared" si="231"/>
        <v>299001.03541956923</v>
      </c>
      <c r="BI839" s="54">
        <f t="shared" si="232"/>
        <v>270870.76459821168</v>
      </c>
      <c r="BJ839" s="20"/>
    </row>
    <row r="840" spans="37:62" x14ac:dyDescent="0.3">
      <c r="AK840">
        <v>836</v>
      </c>
      <c r="AL840">
        <v>418</v>
      </c>
      <c r="AN840" s="48">
        <f t="shared" si="233"/>
        <v>65227.226143122716</v>
      </c>
      <c r="AO840" s="48">
        <f t="shared" si="234"/>
        <v>-277350.3305428641</v>
      </c>
      <c r="AP840" s="20"/>
      <c r="AQ840" s="50">
        <f t="shared" si="235"/>
        <v>793.84831270229824</v>
      </c>
      <c r="AR840" s="50">
        <f t="shared" si="236"/>
        <v>-1266.8319433536624</v>
      </c>
      <c r="AS840" s="20"/>
      <c r="AT840" s="52">
        <f t="shared" si="222"/>
        <v>-3.3851276075429313</v>
      </c>
      <c r="AU840" s="52">
        <f t="shared" si="223"/>
        <v>14.96377125956637</v>
      </c>
      <c r="AV840" s="20"/>
      <c r="AW840" s="20"/>
      <c r="AX840" s="20">
        <f t="shared" si="224"/>
        <v>-0.98525063932563639</v>
      </c>
      <c r="AY840" s="20">
        <f t="shared" si="225"/>
        <v>6.2053102569535179</v>
      </c>
      <c r="AZ840" s="20"/>
      <c r="BA840" s="20">
        <f t="shared" si="226"/>
        <v>-0.56800941721517684</v>
      </c>
      <c r="BB840" s="20">
        <f t="shared" si="227"/>
        <v>1.9150886538786089</v>
      </c>
      <c r="BC840" s="20"/>
      <c r="BD840" s="20">
        <f t="shared" si="228"/>
        <v>-1.8318675510021178</v>
      </c>
      <c r="BE840" s="20">
        <f t="shared" si="229"/>
        <v>6.8433723487342437</v>
      </c>
      <c r="BF840" s="20"/>
      <c r="BG840" s="54">
        <f t="shared" si="230"/>
        <v>288418.46819331823</v>
      </c>
      <c r="BH840" s="54">
        <f t="shared" si="231"/>
        <v>299723.02637459181</v>
      </c>
      <c r="BI840" s="54">
        <f t="shared" si="232"/>
        <v>271587.11167451844</v>
      </c>
      <c r="BJ840" s="20"/>
    </row>
    <row r="841" spans="37:62" x14ac:dyDescent="0.3">
      <c r="AK841">
        <v>837</v>
      </c>
      <c r="AL841">
        <v>418.5</v>
      </c>
      <c r="AN841" s="48">
        <f t="shared" si="233"/>
        <v>65623.727158522932</v>
      </c>
      <c r="AO841" s="48">
        <f t="shared" si="234"/>
        <v>-277981.8760431335</v>
      </c>
      <c r="AP841" s="20"/>
      <c r="AQ841" s="50">
        <f t="shared" si="235"/>
        <v>792.15574889852678</v>
      </c>
      <c r="AR841" s="50">
        <f t="shared" si="236"/>
        <v>-1259.3500577238792</v>
      </c>
      <c r="AS841" s="20"/>
      <c r="AT841" s="52">
        <f t="shared" si="222"/>
        <v>-3.3812115987039881</v>
      </c>
      <c r="AU841" s="52">
        <f t="shared" si="223"/>
        <v>14.886720723706976</v>
      </c>
      <c r="AV841" s="20"/>
      <c r="AW841" s="20"/>
      <c r="AX841" s="20">
        <f t="shared" si="224"/>
        <v>-0.98683779676054673</v>
      </c>
      <c r="AY841" s="20">
        <f t="shared" si="225"/>
        <v>6.1749515683057181</v>
      </c>
      <c r="AZ841" s="20"/>
      <c r="BA841" s="20">
        <f t="shared" si="226"/>
        <v>-0.56657104124096336</v>
      </c>
      <c r="BB841" s="20">
        <f t="shared" si="227"/>
        <v>1.9055721677030868</v>
      </c>
      <c r="BC841" s="20"/>
      <c r="BD841" s="20">
        <f t="shared" si="228"/>
        <v>-1.8278027607024778</v>
      </c>
      <c r="BE841" s="20">
        <f t="shared" si="229"/>
        <v>6.8061969876981703</v>
      </c>
      <c r="BF841" s="20"/>
      <c r="BG841" s="54">
        <f t="shared" si="230"/>
        <v>289104.52440067829</v>
      </c>
      <c r="BH841" s="54">
        <f t="shared" si="231"/>
        <v>300441.31470528466</v>
      </c>
      <c r="BI841" s="54">
        <f t="shared" si="232"/>
        <v>272299.79427999485</v>
      </c>
      <c r="BJ841" s="20"/>
    </row>
    <row r="842" spans="37:62" x14ac:dyDescent="0.3">
      <c r="AK842">
        <v>838</v>
      </c>
      <c r="AL842">
        <v>419</v>
      </c>
      <c r="AN842" s="48">
        <f t="shared" si="233"/>
        <v>66019.382381522344</v>
      </c>
      <c r="AO842" s="48">
        <f t="shared" si="234"/>
        <v>-278609.69023190497</v>
      </c>
      <c r="AP842" s="20"/>
      <c r="AQ842" s="50">
        <f t="shared" si="235"/>
        <v>790.46514309917484</v>
      </c>
      <c r="AR842" s="50">
        <f t="shared" si="236"/>
        <v>-1251.9066973620256</v>
      </c>
      <c r="AS842" s="20"/>
      <c r="AT842" s="52">
        <f t="shared" si="222"/>
        <v>-3.377314469600619</v>
      </c>
      <c r="AU842" s="52">
        <f t="shared" si="223"/>
        <v>14.810628023871434</v>
      </c>
      <c r="AV842" s="20"/>
      <c r="AW842" s="20"/>
      <c r="AX842" s="20">
        <f t="shared" si="224"/>
        <v>-0.98838734040091836</v>
      </c>
      <c r="AY842" s="20">
        <f t="shared" si="225"/>
        <v>6.1449585187129241</v>
      </c>
      <c r="AZ842" s="20"/>
      <c r="BA842" s="20">
        <f t="shared" si="226"/>
        <v>-0.56514903684306494</v>
      </c>
      <c r="BB842" s="20">
        <f t="shared" si="227"/>
        <v>1.8961713504836004</v>
      </c>
      <c r="BC842" s="20"/>
      <c r="BD842" s="20">
        <f t="shared" si="228"/>
        <v>-1.8237780923566358</v>
      </c>
      <c r="BE842" s="20">
        <f t="shared" si="229"/>
        <v>6.7694981546749098</v>
      </c>
      <c r="BF842" s="20"/>
      <c r="BG842" s="54">
        <f t="shared" si="230"/>
        <v>289787.05699077278</v>
      </c>
      <c r="BH842" s="54">
        <f t="shared" si="231"/>
        <v>301155.91882122244</v>
      </c>
      <c r="BI842" s="54">
        <f t="shared" si="232"/>
        <v>273008.83036637073</v>
      </c>
      <c r="BJ842" s="20"/>
    </row>
    <row r="843" spans="37:62" x14ac:dyDescent="0.3">
      <c r="AK843">
        <v>839</v>
      </c>
      <c r="AL843">
        <v>419.5</v>
      </c>
      <c r="AN843" s="48">
        <f t="shared" si="233"/>
        <v>66414.192788763234</v>
      </c>
      <c r="AO843" s="48">
        <f t="shared" si="234"/>
        <v>-279233.79225208302</v>
      </c>
      <c r="AP843" s="20"/>
      <c r="AQ843" s="50">
        <f t="shared" si="235"/>
        <v>788.77648586437454</v>
      </c>
      <c r="AR843" s="50">
        <f t="shared" si="236"/>
        <v>-1244.50138335009</v>
      </c>
      <c r="AS843" s="20"/>
      <c r="AT843" s="52">
        <f t="shared" si="222"/>
        <v>-3.3734367876380755</v>
      </c>
      <c r="AU843" s="52">
        <f t="shared" si="223"/>
        <v>14.73547705195773</v>
      </c>
      <c r="AV843" s="20"/>
      <c r="AW843" s="20"/>
      <c r="AX843" s="20">
        <f t="shared" si="224"/>
        <v>-0.98990035606640547</v>
      </c>
      <c r="AY843" s="20">
        <f t="shared" si="225"/>
        <v>6.1153252053394365</v>
      </c>
      <c r="AZ843" s="20"/>
      <c r="BA843" s="20">
        <f t="shared" si="226"/>
        <v>-0.56374319825046126</v>
      </c>
      <c r="BB843" s="20">
        <f t="shared" si="227"/>
        <v>1.8868842932419454</v>
      </c>
      <c r="BC843" s="20"/>
      <c r="BD843" s="20">
        <f t="shared" si="228"/>
        <v>-1.8197932333212086</v>
      </c>
      <c r="BE843" s="20">
        <f t="shared" si="229"/>
        <v>6.733267553376348</v>
      </c>
      <c r="BF843" s="20"/>
      <c r="BG843" s="54">
        <f t="shared" si="230"/>
        <v>290466.08220495068</v>
      </c>
      <c r="BH843" s="54">
        <f t="shared" si="231"/>
        <v>301866.85690193722</v>
      </c>
      <c r="BI843" s="54">
        <f t="shared" si="232"/>
        <v>273714.23766327463</v>
      </c>
      <c r="BJ843" s="20"/>
    </row>
    <row r="844" spans="37:62" x14ac:dyDescent="0.3">
      <c r="AK844">
        <v>840</v>
      </c>
      <c r="AL844">
        <v>420</v>
      </c>
      <c r="AN844" s="48">
        <f t="shared" si="233"/>
        <v>66808.159352096962</v>
      </c>
      <c r="AO844" s="48">
        <f t="shared" si="234"/>
        <v>-279854.20100912655</v>
      </c>
      <c r="AP844" s="20"/>
      <c r="AQ844" s="50">
        <f t="shared" si="235"/>
        <v>787.08976747055544</v>
      </c>
      <c r="AR844" s="50">
        <f t="shared" si="236"/>
        <v>-1237.1336448241111</v>
      </c>
      <c r="AS844" s="20"/>
      <c r="AT844" s="52">
        <f t="shared" si="222"/>
        <v>-3.3695790948216358</v>
      </c>
      <c r="AU844" s="52">
        <f t="shared" si="223"/>
        <v>14.661252057770852</v>
      </c>
      <c r="AV844" s="20"/>
      <c r="AW844" s="20"/>
      <c r="AX844" s="20">
        <f t="shared" si="224"/>
        <v>-0.99137789891947026</v>
      </c>
      <c r="AY844" s="20">
        <f t="shared" si="225"/>
        <v>6.0860458515198763</v>
      </c>
      <c r="AZ844" s="20"/>
      <c r="BA844" s="20">
        <f t="shared" si="226"/>
        <v>-0.56235332349496758</v>
      </c>
      <c r="BB844" s="20">
        <f t="shared" si="227"/>
        <v>1.8777091287620211</v>
      </c>
      <c r="BC844" s="20"/>
      <c r="BD844" s="20">
        <f t="shared" si="228"/>
        <v>-1.8158478724071976</v>
      </c>
      <c r="BE844" s="20">
        <f t="shared" si="229"/>
        <v>6.697497077488956</v>
      </c>
      <c r="BF844" s="20"/>
      <c r="BG844" s="54">
        <f t="shared" si="230"/>
        <v>291141.61609004787</v>
      </c>
      <c r="BH844" s="54">
        <f t="shared" si="231"/>
        <v>302574.14690078562</v>
      </c>
      <c r="BI844" s="54">
        <f t="shared" si="232"/>
        <v>274416.03368192422</v>
      </c>
      <c r="BJ844" s="20"/>
    </row>
    <row r="845" spans="37:62" x14ac:dyDescent="0.3">
      <c r="AK845">
        <v>841</v>
      </c>
      <c r="AL845">
        <v>420.5</v>
      </c>
      <c r="AN845" s="48">
        <f t="shared" si="233"/>
        <v>67201.283038445385</v>
      </c>
      <c r="AO845" s="48">
        <f t="shared" si="234"/>
        <v>-280470.93517503142</v>
      </c>
      <c r="AP845" s="20"/>
      <c r="AQ845" s="50">
        <f t="shared" si="235"/>
        <v>785.40497792314466</v>
      </c>
      <c r="AR845" s="50">
        <f t="shared" si="236"/>
        <v>-1229.8030187952256</v>
      </c>
      <c r="AS845" s="20"/>
      <c r="AT845" s="52">
        <f t="shared" si="222"/>
        <v>-3.3657419087695866</v>
      </c>
      <c r="AU845" s="52">
        <f t="shared" si="223"/>
        <v>14.587937639294081</v>
      </c>
      <c r="AV845" s="20"/>
      <c r="AW845" s="20"/>
      <c r="AX845" s="20">
        <f t="shared" si="224"/>
        <v>-0.99282099445548411</v>
      </c>
      <c r="AY845" s="20">
        <f t="shared" si="225"/>
        <v>6.0571148034658799</v>
      </c>
      <c r="AZ845" s="20"/>
      <c r="BA845" s="20">
        <f t="shared" si="226"/>
        <v>-0.56097921432621667</v>
      </c>
      <c r="BB845" s="20">
        <f t="shared" si="227"/>
        <v>1.8686440304697103</v>
      </c>
      <c r="BC845" s="20"/>
      <c r="BD845" s="20">
        <f t="shared" si="228"/>
        <v>-1.8119416999878861</v>
      </c>
      <c r="BE845" s="20">
        <f t="shared" si="229"/>
        <v>6.6621788053584909</v>
      </c>
      <c r="BF845" s="20"/>
      <c r="BG845" s="54">
        <f t="shared" si="230"/>
        <v>291813.67450148321</v>
      </c>
      <c r="BH845" s="54">
        <f t="shared" si="231"/>
        <v>303277.80654872913</v>
      </c>
      <c r="BI845" s="54">
        <f t="shared" si="232"/>
        <v>275114.23571873456</v>
      </c>
      <c r="BJ845" s="20"/>
    </row>
    <row r="846" spans="37:62" x14ac:dyDescent="0.3">
      <c r="AK846">
        <v>842</v>
      </c>
      <c r="AL846">
        <v>421</v>
      </c>
      <c r="AN846" s="48">
        <f t="shared" si="233"/>
        <v>67593.564809668358</v>
      </c>
      <c r="AO846" s="48">
        <f t="shared" si="234"/>
        <v>-281084.01319222414</v>
      </c>
      <c r="AP846" s="20"/>
      <c r="AQ846" s="50">
        <f t="shared" si="235"/>
        <v>783.72210696875982</v>
      </c>
      <c r="AR846" s="50">
        <f t="shared" si="236"/>
        <v>-1222.5090499755786</v>
      </c>
      <c r="AS846" s="20"/>
      <c r="AT846" s="52">
        <f t="shared" si="222"/>
        <v>-3.3619257236848936</v>
      </c>
      <c r="AU846" s="52">
        <f t="shared" si="223"/>
        <v>14.515518733274185</v>
      </c>
      <c r="AV846" s="20"/>
      <c r="AW846" s="20"/>
      <c r="AX846" s="20">
        <f t="shared" si="224"/>
        <v>-0.99423063945688173</v>
      </c>
      <c r="AY846" s="20">
        <f t="shared" si="225"/>
        <v>6.0285265270747743</v>
      </c>
      <c r="AZ846" s="20"/>
      <c r="BA846" s="20">
        <f t="shared" si="226"/>
        <v>-0.55962067612898136</v>
      </c>
      <c r="BB846" s="20">
        <f t="shared" si="227"/>
        <v>1.8596872113485405</v>
      </c>
      <c r="BC846" s="20"/>
      <c r="BD846" s="20">
        <f t="shared" si="228"/>
        <v>-1.8080744080990305</v>
      </c>
      <c r="BE846" s="20">
        <f t="shared" si="229"/>
        <v>6.6273049948508689</v>
      </c>
      <c r="BF846" s="20"/>
      <c r="BG846" s="54">
        <f t="shared" si="230"/>
        <v>292482.2731062891</v>
      </c>
      <c r="BH846" s="54">
        <f t="shared" si="231"/>
        <v>303977.85335803078</v>
      </c>
      <c r="BI846" s="54">
        <f t="shared" si="232"/>
        <v>275808.86085884774</v>
      </c>
      <c r="BJ846" s="20"/>
    </row>
    <row r="847" spans="37:62" x14ac:dyDescent="0.3">
      <c r="AK847">
        <v>843</v>
      </c>
      <c r="AL847">
        <v>421.5</v>
      </c>
      <c r="AN847" s="48">
        <f t="shared" si="233"/>
        <v>67985.005622437267</v>
      </c>
      <c r="AO847" s="48">
        <f t="shared" si="234"/>
        <v>-281693.45327737025</v>
      </c>
      <c r="AP847" s="20"/>
      <c r="AQ847" s="50">
        <f t="shared" si="235"/>
        <v>782.04114410691739</v>
      </c>
      <c r="AR847" s="50">
        <f t="shared" si="236"/>
        <v>-1215.2512906089414</v>
      </c>
      <c r="AS847" s="20"/>
      <c r="AT847" s="52">
        <f t="shared" si="222"/>
        <v>-3.3581310112870213</v>
      </c>
      <c r="AU847" s="52">
        <f t="shared" si="223"/>
        <v>14.443980606107395</v>
      </c>
      <c r="AV847" s="20"/>
      <c r="AW847" s="20"/>
      <c r="AX847" s="20">
        <f t="shared" si="224"/>
        <v>-0.99560780291272488</v>
      </c>
      <c r="AY847" s="20">
        <f t="shared" si="225"/>
        <v>6.0002756048359522</v>
      </c>
      <c r="AZ847" s="20"/>
      <c r="BA847" s="20">
        <f t="shared" si="226"/>
        <v>-0.55827751784265589</v>
      </c>
      <c r="BB847" s="20">
        <f t="shared" si="227"/>
        <v>1.8508369228894526</v>
      </c>
      <c r="BC847" s="20"/>
      <c r="BD847" s="20">
        <f t="shared" si="228"/>
        <v>-1.8042456905316409</v>
      </c>
      <c r="BE847" s="20">
        <f t="shared" si="229"/>
        <v>6.5928680783819908</v>
      </c>
      <c r="BF847" s="20"/>
      <c r="BG847" s="54">
        <f t="shared" si="230"/>
        <v>293147.42738607799</v>
      </c>
      <c r="BH847" s="54">
        <f t="shared" si="231"/>
        <v>304674.30462587043</v>
      </c>
      <c r="BI847" s="54">
        <f t="shared" si="232"/>
        <v>276499.92597958515</v>
      </c>
      <c r="BJ847" s="20"/>
    </row>
    <row r="848" spans="37:62" x14ac:dyDescent="0.3">
      <c r="AK848">
        <v>844</v>
      </c>
      <c r="AL848">
        <v>422</v>
      </c>
      <c r="AN848" s="48">
        <f t="shared" si="233"/>
        <v>68375.606428114319</v>
      </c>
      <c r="AO848" s="48">
        <f t="shared" si="234"/>
        <v>-282299.27342509892</v>
      </c>
      <c r="AP848" s="20"/>
      <c r="AQ848" s="50">
        <f t="shared" si="235"/>
        <v>780.36207860127388</v>
      </c>
      <c r="AR848" s="50">
        <f t="shared" si="236"/>
        <v>-1208.0293003058878</v>
      </c>
      <c r="AS848" s="20"/>
      <c r="AT848" s="52">
        <f t="shared" si="222"/>
        <v>-3.3543582217059966</v>
      </c>
      <c r="AU848" s="52">
        <f t="shared" si="223"/>
        <v>14.373308845016481</v>
      </c>
      <c r="AV848" s="20"/>
      <c r="AW848" s="20"/>
      <c r="AX848" s="20">
        <f t="shared" si="224"/>
        <v>-0.99695342690523137</v>
      </c>
      <c r="AY848" s="20">
        <f t="shared" si="225"/>
        <v>5.9723567328323917</v>
      </c>
      <c r="AZ848" s="20"/>
      <c r="BA848" s="20">
        <f t="shared" si="226"/>
        <v>-0.55694955188295114</v>
      </c>
      <c r="BB848" s="20">
        <f t="shared" si="227"/>
        <v>1.8420914540738236</v>
      </c>
      <c r="BC848" s="20"/>
      <c r="BD848" s="20">
        <f t="shared" si="228"/>
        <v>-1.8004552429178142</v>
      </c>
      <c r="BE848" s="20">
        <f t="shared" si="229"/>
        <v>6.558860658110266</v>
      </c>
      <c r="BF848" s="20"/>
      <c r="BG848" s="54">
        <f t="shared" si="230"/>
        <v>293809.15263994591</v>
      </c>
      <c r="BH848" s="54">
        <f t="shared" si="231"/>
        <v>305367.17743788002</v>
      </c>
      <c r="BI848" s="54">
        <f t="shared" si="232"/>
        <v>277187.4477538247</v>
      </c>
      <c r="BJ848" s="20"/>
    </row>
    <row r="849" spans="37:62" x14ac:dyDescent="0.3">
      <c r="AK849">
        <v>845</v>
      </c>
      <c r="AL849">
        <v>422.5</v>
      </c>
      <c r="AN849" s="48">
        <f t="shared" si="233"/>
        <v>68765.368172637231</v>
      </c>
      <c r="AO849" s="48">
        <f t="shared" si="234"/>
        <v>-282901.49141164625</v>
      </c>
      <c r="AP849" s="20"/>
      <c r="AQ849" s="50">
        <f t="shared" si="235"/>
        <v>778.68489949042089</v>
      </c>
      <c r="AR849" s="50">
        <f t="shared" si="236"/>
        <v>-1200.8426458833796</v>
      </c>
      <c r="AS849" s="20"/>
      <c r="AT849" s="52">
        <f t="shared" si="222"/>
        <v>-3.3506077843401991</v>
      </c>
      <c r="AU849" s="52">
        <f t="shared" si="223"/>
        <v>14.303489349507359</v>
      </c>
      <c r="AV849" s="20"/>
      <c r="AW849" s="20"/>
      <c r="AX849" s="20">
        <f t="shared" si="224"/>
        <v>-0.99826842746445044</v>
      </c>
      <c r="AY849" s="20">
        <f t="shared" si="225"/>
        <v>5.9447647178331042</v>
      </c>
      <c r="AZ849" s="20"/>
      <c r="BA849" s="20">
        <f t="shared" si="226"/>
        <v>-0.55563659406565613</v>
      </c>
      <c r="BB849" s="20">
        <f t="shared" si="227"/>
        <v>1.8334491303882903</v>
      </c>
      <c r="BC849" s="20"/>
      <c r="BD849" s="20">
        <f t="shared" si="228"/>
        <v>-1.7967027628100929</v>
      </c>
      <c r="BE849" s="20">
        <f t="shared" si="229"/>
        <v>6.5252755012859653</v>
      </c>
      <c r="BF849" s="20"/>
      <c r="BG849" s="54">
        <f t="shared" si="230"/>
        <v>294467.46398731612</v>
      </c>
      <c r="BH849" s="54">
        <f t="shared" si="231"/>
        <v>306056.48867160216</v>
      </c>
      <c r="BI849" s="54">
        <f t="shared" si="232"/>
        <v>277871.44265330525</v>
      </c>
      <c r="BJ849" s="20"/>
    </row>
    <row r="850" spans="37:62" x14ac:dyDescent="0.3">
      <c r="AK850">
        <v>846</v>
      </c>
      <c r="AL850">
        <v>423</v>
      </c>
      <c r="AN850" s="48">
        <f t="shared" si="233"/>
        <v>69154.291796409394</v>
      </c>
      <c r="AO850" s="48">
        <f t="shared" si="234"/>
        <v>-283500.12479841925</v>
      </c>
      <c r="AP850" s="20"/>
      <c r="AQ850" s="50">
        <f t="shared" si="235"/>
        <v>777.00959559825083</v>
      </c>
      <c r="AR850" s="50">
        <f t="shared" si="236"/>
        <v>-1193.690901208626</v>
      </c>
      <c r="AS850" s="20"/>
      <c r="AT850" s="52">
        <f t="shared" ref="AT850:AT913" si="237">AX850+BA850+BD850</f>
        <v>-3.3468801086794939</v>
      </c>
      <c r="AU850" s="52">
        <f t="shared" ref="AU850:AU913" si="238">AY850+BB850+BE850</f>
        <v>14.234508323095334</v>
      </c>
      <c r="AV850" s="20"/>
      <c r="AW850" s="20"/>
      <c r="AX850" s="20">
        <f t="shared" si="224"/>
        <v>-0.99955369539249606</v>
      </c>
      <c r="AY850" s="20">
        <f t="shared" si="225"/>
        <v>5.9174944744740454</v>
      </c>
      <c r="AZ850" s="20"/>
      <c r="BA850" s="20">
        <f t="shared" si="226"/>
        <v>-0.5543384635324311</v>
      </c>
      <c r="BB850" s="20">
        <f t="shared" si="227"/>
        <v>1.8249083128703067</v>
      </c>
      <c r="BC850" s="20"/>
      <c r="BD850" s="20">
        <f t="shared" si="228"/>
        <v>-1.7929879497545667</v>
      </c>
      <c r="BE850" s="20">
        <f t="shared" si="229"/>
        <v>6.4921055357509809</v>
      </c>
      <c r="BF850" s="20"/>
      <c r="BG850" s="54">
        <f t="shared" si="230"/>
        <v>295122.37637072208</v>
      </c>
      <c r="BH850" s="54">
        <f t="shared" si="231"/>
        <v>306742.25499987276</v>
      </c>
      <c r="BI850" s="54">
        <f t="shared" si="232"/>
        <v>278551.92695185891</v>
      </c>
      <c r="BJ850" s="20"/>
    </row>
    <row r="851" spans="37:62" x14ac:dyDescent="0.3">
      <c r="AK851">
        <v>847</v>
      </c>
      <c r="AL851">
        <v>423.5</v>
      </c>
      <c r="AN851" s="48">
        <f t="shared" si="233"/>
        <v>69542.378234194926</v>
      </c>
      <c r="AO851" s="48">
        <f t="shared" si="234"/>
        <v>-284095.1909354832</v>
      </c>
      <c r="AP851" s="20"/>
      <c r="AQ851" s="50">
        <f t="shared" si="235"/>
        <v>775.3361555439111</v>
      </c>
      <c r="AR851" s="50">
        <f t="shared" si="236"/>
        <v>-1186.5736470470783</v>
      </c>
      <c r="AS851" s="20"/>
      <c r="AT851" s="52">
        <f t="shared" si="237"/>
        <v>-3.343175585095187</v>
      </c>
      <c r="AU851" s="52">
        <f t="shared" si="238"/>
        <v>14.166352265290925</v>
      </c>
      <c r="AV851" s="20"/>
      <c r="AW851" s="20"/>
      <c r="AX851" s="20">
        <f t="shared" si="224"/>
        <v>-1.0008100970584475</v>
      </c>
      <c r="AY851" s="20">
        <f t="shared" si="225"/>
        <v>5.8905410225238413</v>
      </c>
      <c r="AZ851" s="20"/>
      <c r="BA851" s="20">
        <f t="shared" si="226"/>
        <v>-0.55305498267857167</v>
      </c>
      <c r="BB851" s="20">
        <f t="shared" si="227"/>
        <v>1.8164673971833474</v>
      </c>
      <c r="BC851" s="20"/>
      <c r="BD851" s="20">
        <f t="shared" si="228"/>
        <v>-1.7893105053581677</v>
      </c>
      <c r="BE851" s="20">
        <f t="shared" si="229"/>
        <v>6.459343845583736</v>
      </c>
      <c r="BF851" s="20"/>
      <c r="BG851" s="54">
        <f t="shared" si="230"/>
        <v>295773.90455853427</v>
      </c>
      <c r="BH851" s="54">
        <f t="shared" si="231"/>
        <v>307424.49289413157</v>
      </c>
      <c r="BI851" s="54">
        <f t="shared" si="232"/>
        <v>279228.91672857583</v>
      </c>
      <c r="BJ851" s="20"/>
    </row>
    <row r="852" spans="37:62" x14ac:dyDescent="0.3">
      <c r="AK852">
        <v>848</v>
      </c>
      <c r="AL852">
        <v>424</v>
      </c>
      <c r="AN852" s="48">
        <f t="shared" si="233"/>
        <v>69929.628415018742</v>
      </c>
      <c r="AO852" s="48">
        <f t="shared" si="234"/>
        <v>-284686.70696497353</v>
      </c>
      <c r="AP852" s="20"/>
      <c r="AQ852" s="50">
        <f t="shared" si="235"/>
        <v>773.66456775136351</v>
      </c>
      <c r="AR852" s="50">
        <f t="shared" si="236"/>
        <v>-1179.490470914433</v>
      </c>
      <c r="AS852" s="20"/>
      <c r="AT852" s="52">
        <f t="shared" si="237"/>
        <v>-3.3394945855983886</v>
      </c>
      <c r="AU852" s="52">
        <f t="shared" si="238"/>
        <v>14.099007963836485</v>
      </c>
      <c r="AV852" s="20"/>
      <c r="AW852" s="20"/>
      <c r="AX852" s="20">
        <f t="shared" si="224"/>
        <v>-1.0020384751651708</v>
      </c>
      <c r="AY852" s="20">
        <f t="shared" si="225"/>
        <v>5.8638994842318164</v>
      </c>
      <c r="AZ852" s="20"/>
      <c r="BA852" s="20">
        <f t="shared" si="226"/>
        <v>-0.55178597708265442</v>
      </c>
      <c r="BB852" s="20">
        <f t="shared" si="227"/>
        <v>1.8081248127205876</v>
      </c>
      <c r="BC852" s="20"/>
      <c r="BD852" s="20">
        <f t="shared" si="228"/>
        <v>-1.7856701333505638</v>
      </c>
      <c r="BE852" s="20">
        <f t="shared" si="229"/>
        <v>6.4269836668840803</v>
      </c>
      <c r="BF852" s="20"/>
      <c r="BG852" s="54">
        <f t="shared" si="230"/>
        <v>296422.06314762932</v>
      </c>
      <c r="BH852" s="54">
        <f t="shared" si="231"/>
        <v>308103.21862765978</v>
      </c>
      <c r="BI852" s="54">
        <f t="shared" si="232"/>
        <v>279902.42787089985</v>
      </c>
      <c r="BJ852" s="20"/>
    </row>
    <row r="853" spans="37:62" x14ac:dyDescent="0.3">
      <c r="AK853">
        <v>849</v>
      </c>
      <c r="AL853">
        <v>424.5</v>
      </c>
      <c r="AN853" s="48">
        <f t="shared" si="233"/>
        <v>70316.043262071224</v>
      </c>
      <c r="AO853" s="48">
        <f t="shared" si="234"/>
        <v>-285274.68982443528</v>
      </c>
      <c r="AP853" s="20"/>
      <c r="AQ853" s="50">
        <f t="shared" si="235"/>
        <v>771.99482045856428</v>
      </c>
      <c r="AR853" s="50">
        <f t="shared" si="236"/>
        <v>-1172.4409669325148</v>
      </c>
      <c r="AS853" s="20"/>
      <c r="AT853" s="52">
        <f t="shared" si="237"/>
        <v>-3.3358374645679212</v>
      </c>
      <c r="AU853" s="52">
        <f t="shared" si="238"/>
        <v>14.032462487183597</v>
      </c>
      <c r="AV853" s="20"/>
      <c r="AW853" s="20"/>
      <c r="AX853" s="20">
        <f t="shared" si="224"/>
        <v>-1.0032396494890745</v>
      </c>
      <c r="AY853" s="20">
        <f t="shared" si="225"/>
        <v>5.8375650817549598</v>
      </c>
      <c r="AZ853" s="20"/>
      <c r="BA853" s="20">
        <f t="shared" si="226"/>
        <v>-0.55053127543806302</v>
      </c>
      <c r="BB853" s="20">
        <f t="shared" si="227"/>
        <v>1.7998790217362413</v>
      </c>
      <c r="BC853" s="20"/>
      <c r="BD853" s="20">
        <f t="shared" si="228"/>
        <v>-1.7820665396407835</v>
      </c>
      <c r="BE853" s="20">
        <f t="shared" si="229"/>
        <v>6.3950183836923973</v>
      </c>
      <c r="BF853" s="20"/>
      <c r="BG853" s="54">
        <f t="shared" si="230"/>
        <v>297066.86656600551</v>
      </c>
      <c r="BH853" s="54">
        <f t="shared" si="231"/>
        <v>308778.44827875018</v>
      </c>
      <c r="BI853" s="54">
        <f t="shared" si="232"/>
        <v>280572.47607765964</v>
      </c>
      <c r="BJ853" s="20"/>
    </row>
    <row r="854" spans="37:62" x14ac:dyDescent="0.3">
      <c r="AK854">
        <v>850</v>
      </c>
      <c r="AL854">
        <v>425</v>
      </c>
      <c r="AN854" s="48">
        <f t="shared" si="233"/>
        <v>70701.623692617432</v>
      </c>
      <c r="AO854" s="48">
        <f t="shared" si="234"/>
        <v>-285859.15625009069</v>
      </c>
      <c r="AP854" s="20"/>
      <c r="AQ854" s="50">
        <f t="shared" si="235"/>
        <v>770.32690172628031</v>
      </c>
      <c r="AR854" s="50">
        <f t="shared" si="236"/>
        <v>-1165.424735688923</v>
      </c>
      <c r="AS854" s="20"/>
      <c r="AT854" s="52">
        <f t="shared" si="237"/>
        <v>-3.3322045594492775</v>
      </c>
      <c r="AU854" s="52">
        <f t="shared" si="238"/>
        <v>13.966703177203696</v>
      </c>
      <c r="AV854" s="20"/>
      <c r="AW854" s="20"/>
      <c r="AX854" s="20">
        <f t="shared" si="224"/>
        <v>-1.0044144175940255</v>
      </c>
      <c r="AY854" s="20">
        <f t="shared" si="225"/>
        <v>5.811533134661989</v>
      </c>
      <c r="AZ854" s="20"/>
      <c r="BA854" s="20">
        <f t="shared" si="226"/>
        <v>-0.54929070948626246</v>
      </c>
      <c r="BB854" s="20">
        <f t="shared" si="227"/>
        <v>1.7917285185033223</v>
      </c>
      <c r="BC854" s="20"/>
      <c r="BD854" s="20">
        <f t="shared" si="228"/>
        <v>-1.7784994323689896</v>
      </c>
      <c r="BE854" s="20">
        <f t="shared" si="229"/>
        <v>6.363441524038385</v>
      </c>
      <c r="BF854" s="20"/>
      <c r="BG854" s="54">
        <f t="shared" si="230"/>
        <v>297708.32907534332</v>
      </c>
      <c r="BH854" s="54">
        <f t="shared" si="231"/>
        <v>309450.19773380778</v>
      </c>
      <c r="BI854" s="54">
        <f t="shared" si="232"/>
        <v>281239.07686203514</v>
      </c>
      <c r="BJ854" s="20"/>
    </row>
    <row r="855" spans="37:62" x14ac:dyDescent="0.3">
      <c r="AK855">
        <v>851</v>
      </c>
      <c r="AL855">
        <v>425.5</v>
      </c>
      <c r="AN855" s="48">
        <f t="shared" si="233"/>
        <v>71086.370617910638</v>
      </c>
      <c r="AO855" s="48">
        <f t="shared" si="234"/>
        <v>-286440.12278003799</v>
      </c>
      <c r="AP855" s="20"/>
      <c r="AQ855" s="50">
        <f t="shared" si="235"/>
        <v>768.66079944655564</v>
      </c>
      <c r="AR855" s="50">
        <f t="shared" si="236"/>
        <v>-1158.4413841003211</v>
      </c>
      <c r="AS855" s="20"/>
      <c r="AT855" s="52">
        <f t="shared" si="237"/>
        <v>-3.3285961914257793</v>
      </c>
      <c r="AU855" s="52">
        <f t="shared" si="238"/>
        <v>13.90171764212262</v>
      </c>
      <c r="AV855" s="20"/>
      <c r="AW855" s="20"/>
      <c r="AX855" s="20">
        <f t="shared" si="224"/>
        <v>-1.0055635555202171</v>
      </c>
      <c r="AY855" s="20">
        <f t="shared" si="225"/>
        <v>5.7857990575105909</v>
      </c>
      <c r="AZ855" s="20"/>
      <c r="BA855" s="20">
        <f t="shared" si="226"/>
        <v>-0.54806411395185628</v>
      </c>
      <c r="BB855" s="20">
        <f t="shared" si="227"/>
        <v>1.783671828497186</v>
      </c>
      <c r="BC855" s="20"/>
      <c r="BD855" s="20">
        <f t="shared" si="228"/>
        <v>-1.7749685219537057</v>
      </c>
      <c r="BE855" s="20">
        <f t="shared" si="229"/>
        <v>6.3322467561148441</v>
      </c>
      <c r="BF855" s="20"/>
      <c r="BG855" s="54">
        <f t="shared" si="230"/>
        <v>298346.46477351518</v>
      </c>
      <c r="BH855" s="54">
        <f t="shared" si="231"/>
        <v>310118.48269038618</v>
      </c>
      <c r="BI855" s="54">
        <f t="shared" si="232"/>
        <v>281902.24555446196</v>
      </c>
      <c r="BJ855" s="20"/>
    </row>
    <row r="856" spans="37:62" x14ac:dyDescent="0.3">
      <c r="AK856">
        <v>852</v>
      </c>
      <c r="AL856">
        <v>426</v>
      </c>
      <c r="AN856" s="48">
        <f t="shared" si="233"/>
        <v>71470.284943109975</v>
      </c>
      <c r="AO856" s="48">
        <f t="shared" si="234"/>
        <v>-287017.60575738287</v>
      </c>
      <c r="AP856" s="20"/>
      <c r="AQ856" s="50">
        <f t="shared" si="235"/>
        <v>766.99650135084278</v>
      </c>
      <c r="AR856" s="50">
        <f t="shared" si="236"/>
        <v>-1151.4905252792598</v>
      </c>
      <c r="AS856" s="20"/>
      <c r="AT856" s="52">
        <f t="shared" si="237"/>
        <v>-3.325012666063131</v>
      </c>
      <c r="AU856" s="52">
        <f t="shared" si="238"/>
        <v>13.837493749671967</v>
      </c>
      <c r="AV856" s="20"/>
      <c r="AW856" s="20"/>
      <c r="AX856" s="20">
        <f t="shared" si="224"/>
        <v>-1.0066878184492032</v>
      </c>
      <c r="AY856" s="20">
        <f t="shared" si="225"/>
        <v>5.7603583574967416</v>
      </c>
      <c r="AZ856" s="20"/>
      <c r="BA856" s="20">
        <f t="shared" si="226"/>
        <v>-0.54685132647926582</v>
      </c>
      <c r="BB856" s="20">
        <f t="shared" si="227"/>
        <v>1.7757075076035949</v>
      </c>
      <c r="BC856" s="20"/>
      <c r="BD856" s="20">
        <f t="shared" si="228"/>
        <v>-1.7714735211346617</v>
      </c>
      <c r="BE856" s="20">
        <f t="shared" si="229"/>
        <v>6.3014278845716305</v>
      </c>
      <c r="BF856" s="20"/>
      <c r="BG856" s="54">
        <f t="shared" si="230"/>
        <v>298981.28759704367</v>
      </c>
      <c r="BH856" s="54">
        <f t="shared" si="231"/>
        <v>310783.31866015884</v>
      </c>
      <c r="BI856" s="54">
        <f t="shared" si="232"/>
        <v>282561.99730547523</v>
      </c>
      <c r="BJ856" s="20"/>
    </row>
    <row r="857" spans="37:62" x14ac:dyDescent="0.3">
      <c r="AK857">
        <v>853</v>
      </c>
      <c r="AL857">
        <v>426.5</v>
      </c>
      <c r="AN857" s="48">
        <f t="shared" si="233"/>
        <v>71853.367567202135</v>
      </c>
      <c r="AO857" s="48">
        <f t="shared" si="234"/>
        <v>-287591.6213333038</v>
      </c>
      <c r="AP857" s="20"/>
      <c r="AQ857" s="50">
        <f t="shared" si="235"/>
        <v>765.33399501781116</v>
      </c>
      <c r="AR857" s="50">
        <f t="shared" si="236"/>
        <v>-1144.5717784044239</v>
      </c>
      <c r="AS857" s="20"/>
      <c r="AT857" s="52">
        <f t="shared" si="237"/>
        <v>-3.3214542739285271</v>
      </c>
      <c r="AU857" s="52">
        <f t="shared" si="238"/>
        <v>13.774019620448932</v>
      </c>
      <c r="AV857" s="20"/>
      <c r="AW857" s="20"/>
      <c r="AX857" s="20">
        <f t="shared" si="224"/>
        <v>-1.0077879413458317</v>
      </c>
      <c r="AY857" s="20">
        <f t="shared" si="225"/>
        <v>5.7352066321724591</v>
      </c>
      <c r="AZ857" s="20"/>
      <c r="BA857" s="20">
        <f t="shared" si="226"/>
        <v>-0.545652187571117</v>
      </c>
      <c r="BB857" s="20">
        <f t="shared" si="227"/>
        <v>1.7678341413508927</v>
      </c>
      <c r="BC857" s="20"/>
      <c r="BD857" s="20">
        <f t="shared" si="228"/>
        <v>-1.7680141450115785</v>
      </c>
      <c r="BE857" s="20">
        <f t="shared" si="229"/>
        <v>6.2709788469255807</v>
      </c>
      <c r="BF857" s="20"/>
      <c r="BG857" s="54">
        <f t="shared" si="230"/>
        <v>299612.81132351025</v>
      </c>
      <c r="BH857" s="54">
        <f t="shared" si="231"/>
        <v>311444.72097182838</v>
      </c>
      <c r="BI857" s="54">
        <f t="shared" si="232"/>
        <v>283218.34708849422</v>
      </c>
      <c r="BJ857" s="20"/>
    </row>
    <row r="858" spans="37:62" x14ac:dyDescent="0.3">
      <c r="AK858">
        <v>854</v>
      </c>
      <c r="AL858">
        <v>427</v>
      </c>
      <c r="AN858" s="48">
        <f t="shared" si="233"/>
        <v>72235.619382926801</v>
      </c>
      <c r="AO858" s="48">
        <f t="shared" si="234"/>
        <v>-288162.18547005346</v>
      </c>
      <c r="AP858" s="20"/>
      <c r="AQ858" s="50">
        <f t="shared" si="235"/>
        <v>763.67326788084688</v>
      </c>
      <c r="AR858" s="50">
        <f t="shared" si="236"/>
        <v>-1137.6847685941993</v>
      </c>
      <c r="AS858" s="20"/>
      <c r="AT858" s="52">
        <f t="shared" si="237"/>
        <v>-3.317921291185336</v>
      </c>
      <c r="AU858" s="52">
        <f t="shared" si="238"/>
        <v>13.711283621477666</v>
      </c>
      <c r="AV858" s="20"/>
      <c r="AW858" s="20"/>
      <c r="AX858" s="20">
        <f t="shared" si="224"/>
        <v>-1.0088646395781031</v>
      </c>
      <c r="AY858" s="20">
        <f t="shared" si="225"/>
        <v>5.7103395672305073</v>
      </c>
      <c r="AZ858" s="20"/>
      <c r="BA858" s="20">
        <f t="shared" si="226"/>
        <v>-0.5444665405281327</v>
      </c>
      <c r="BB858" s="20">
        <f t="shared" si="227"/>
        <v>1.7600503441649482</v>
      </c>
      <c r="BC858" s="20"/>
      <c r="BD858" s="20">
        <f t="shared" si="228"/>
        <v>-1.7645901110791002</v>
      </c>
      <c r="BE858" s="20">
        <f t="shared" si="229"/>
        <v>6.2408937100822088</v>
      </c>
      <c r="BF858" s="20"/>
      <c r="BG858" s="54">
        <f t="shared" si="230"/>
        <v>300241.04957391537</v>
      </c>
      <c r="BH858" s="54">
        <f t="shared" si="231"/>
        <v>312102.70477397455</v>
      </c>
      <c r="BI858" s="54">
        <f t="shared" si="232"/>
        <v>283871.30970254855</v>
      </c>
      <c r="BJ858" s="20"/>
    </row>
    <row r="859" spans="37:62" x14ac:dyDescent="0.3">
      <c r="AK859">
        <v>855</v>
      </c>
      <c r="AL859">
        <v>427.5</v>
      </c>
      <c r="AN859" s="48">
        <f t="shared" si="233"/>
        <v>72617.041276705815</v>
      </c>
      <c r="AO859" s="48">
        <f t="shared" si="234"/>
        <v>-288729.3139438979</v>
      </c>
      <c r="AP859" s="20"/>
      <c r="AQ859" s="50">
        <f t="shared" si="235"/>
        <v>762.01430723525425</v>
      </c>
      <c r="AR859" s="50">
        <f t="shared" si="236"/>
        <v>-1130.8291267834604</v>
      </c>
      <c r="AS859" s="20"/>
      <c r="AT859" s="52">
        <f t="shared" si="237"/>
        <v>-3.3144139801645505</v>
      </c>
      <c r="AU859" s="52">
        <f t="shared" si="238"/>
        <v>13.649274359965338</v>
      </c>
      <c r="AV859" s="20"/>
      <c r="AW859" s="20"/>
      <c r="AX859" s="20">
        <f t="shared" si="224"/>
        <v>-1.0099186095157346</v>
      </c>
      <c r="AY859" s="20">
        <f t="shared" si="225"/>
        <v>5.6857529343533502</v>
      </c>
      <c r="AZ859" s="20"/>
      <c r="BA859" s="20">
        <f t="shared" si="226"/>
        <v>-0.54329423139061794</v>
      </c>
      <c r="BB859" s="20">
        <f t="shared" si="227"/>
        <v>1.75235475864652</v>
      </c>
      <c r="BC859" s="20"/>
      <c r="BD859" s="20">
        <f t="shared" si="228"/>
        <v>-1.7612011392581981</v>
      </c>
      <c r="BE859" s="20">
        <f t="shared" si="229"/>
        <v>6.2111666669654673</v>
      </c>
      <c r="BF859" s="20"/>
      <c r="BG859" s="54">
        <f t="shared" si="230"/>
        <v>300866.01581499196</v>
      </c>
      <c r="BH859" s="54">
        <f t="shared" si="231"/>
        <v>312757.28503784357</v>
      </c>
      <c r="BI859" s="54">
        <f t="shared" si="232"/>
        <v>284520.89977494953</v>
      </c>
      <c r="BJ859" s="20"/>
    </row>
    <row r="860" spans="37:62" x14ac:dyDescent="0.3">
      <c r="AK860">
        <v>856</v>
      </c>
      <c r="AL860">
        <v>428</v>
      </c>
      <c r="AN860" s="48">
        <f t="shared" si="233"/>
        <v>72997.634128575926</v>
      </c>
      <c r="AO860" s="48">
        <f t="shared" si="234"/>
        <v>-289293.02234799461</v>
      </c>
      <c r="AP860" s="20"/>
      <c r="AQ860" s="50">
        <f t="shared" si="235"/>
        <v>760.35710024517198</v>
      </c>
      <c r="AR860" s="50">
        <f t="shared" si="236"/>
        <v>-1124.0044896034779</v>
      </c>
      <c r="AS860" s="20"/>
      <c r="AT860" s="52">
        <f t="shared" si="237"/>
        <v>-3.3109325899136737</v>
      </c>
      <c r="AU860" s="52">
        <f t="shared" si="238"/>
        <v>13.587980677245163</v>
      </c>
      <c r="AV860" s="20"/>
      <c r="AW860" s="20"/>
      <c r="AX860" s="20">
        <f t="shared" si="224"/>
        <v>-1.0109505291082916</v>
      </c>
      <c r="AY860" s="20">
        <f t="shared" si="225"/>
        <v>5.6614425891244302</v>
      </c>
      <c r="AZ860" s="20"/>
      <c r="BA860" s="20">
        <f t="shared" si="226"/>
        <v>-0.54213510888140692</v>
      </c>
      <c r="BB860" s="20">
        <f t="shared" si="227"/>
        <v>1.7447460548699885</v>
      </c>
      <c r="BC860" s="20"/>
      <c r="BD860" s="20">
        <f t="shared" si="228"/>
        <v>-1.7578469519239748</v>
      </c>
      <c r="BE860" s="20">
        <f t="shared" si="229"/>
        <v>6.181792033250745</v>
      </c>
      <c r="BF860" s="20"/>
      <c r="BG860" s="54">
        <f t="shared" si="230"/>
        <v>301487.72336147225</v>
      </c>
      <c r="BH860" s="54">
        <f t="shared" si="231"/>
        <v>313408.47656007914</v>
      </c>
      <c r="BI860" s="54">
        <f t="shared" si="232"/>
        <v>285167.13176390552</v>
      </c>
      <c r="BJ860" s="20"/>
    </row>
    <row r="861" spans="37:62" x14ac:dyDescent="0.3">
      <c r="AK861">
        <v>857</v>
      </c>
      <c r="AL861">
        <v>428.5</v>
      </c>
      <c r="AN861" s="48">
        <f t="shared" si="233"/>
        <v>73377.398812124768</v>
      </c>
      <c r="AO861" s="48">
        <f t="shared" si="234"/>
        <v>-289853.32609521167</v>
      </c>
      <c r="AP861" s="20"/>
      <c r="AQ861" s="50">
        <f t="shared" si="235"/>
        <v>758.70163395021518</v>
      </c>
      <c r="AR861" s="50">
        <f t="shared" si="236"/>
        <v>-1117.2104992648553</v>
      </c>
      <c r="AS861" s="20"/>
      <c r="AT861" s="52">
        <f t="shared" si="237"/>
        <v>-3.3074773567243785</v>
      </c>
      <c r="AU861" s="52">
        <f t="shared" si="238"/>
        <v>13.52739164290124</v>
      </c>
      <c r="AV861" s="20"/>
      <c r="AW861" s="20"/>
      <c r="AX861" s="20">
        <f t="shared" si="224"/>
        <v>-1.0119610584436025</v>
      </c>
      <c r="AY861" s="20">
        <f t="shared" si="225"/>
        <v>5.6374044689994118</v>
      </c>
      <c r="AZ861" s="20"/>
      <c r="BA861" s="20">
        <f t="shared" si="226"/>
        <v>-0.54098902435028207</v>
      </c>
      <c r="BB861" s="20">
        <f t="shared" si="227"/>
        <v>1.7372229297029007</v>
      </c>
      <c r="BC861" s="20"/>
      <c r="BD861" s="20">
        <f t="shared" si="228"/>
        <v>-1.754527273930494</v>
      </c>
      <c r="BE861" s="20">
        <f t="shared" si="229"/>
        <v>6.1527642441989281</v>
      </c>
      <c r="BF861" s="20"/>
      <c r="BG861" s="54">
        <f t="shared" si="230"/>
        <v>302106.18537831015</v>
      </c>
      <c r="BH861" s="54">
        <f t="shared" si="231"/>
        <v>314056.29396539711</v>
      </c>
      <c r="BI861" s="54">
        <f t="shared" si="232"/>
        <v>285810.0199610847</v>
      </c>
      <c r="BJ861" s="20"/>
    </row>
    <row r="862" spans="37:62" x14ac:dyDescent="0.3">
      <c r="AK862">
        <v>858</v>
      </c>
      <c r="AL862">
        <v>429</v>
      </c>
      <c r="AN862" s="48">
        <f t="shared" si="233"/>
        <v>73756.336194430289</v>
      </c>
      <c r="AO862" s="48">
        <f t="shared" si="234"/>
        <v>-290410.24042088876</v>
      </c>
      <c r="AP862" s="20"/>
      <c r="AQ862" s="50">
        <f t="shared" si="235"/>
        <v>757.04789527185301</v>
      </c>
      <c r="AR862" s="50">
        <f t="shared" si="236"/>
        <v>-1110.4468034434046</v>
      </c>
      <c r="AS862" s="20"/>
      <c r="AT862" s="52">
        <f t="shared" si="237"/>
        <v>-3.3040485046394688</v>
      </c>
      <c r="AU862" s="52">
        <f t="shared" si="238"/>
        <v>13.467496549067757</v>
      </c>
      <c r="AV862" s="20"/>
      <c r="AW862" s="20"/>
      <c r="AX862" s="20">
        <f t="shared" si="224"/>
        <v>-1.0129508402873229</v>
      </c>
      <c r="AY862" s="20">
        <f t="shared" si="225"/>
        <v>5.6136345913359325</v>
      </c>
      <c r="AZ862" s="20"/>
      <c r="BA862" s="20">
        <f t="shared" si="226"/>
        <v>-0.53985583171975482</v>
      </c>
      <c r="BB862" s="20">
        <f t="shared" si="227"/>
        <v>1.7297841061454025</v>
      </c>
      <c r="BC862" s="20"/>
      <c r="BD862" s="20">
        <f t="shared" si="228"/>
        <v>-1.7512418326323909</v>
      </c>
      <c r="BE862" s="20">
        <f t="shared" si="229"/>
        <v>6.1240778515864216</v>
      </c>
      <c r="BF862" s="20"/>
      <c r="BG862" s="54">
        <f t="shared" si="230"/>
        <v>302721.41488285951</v>
      </c>
      <c r="BH862" s="54">
        <f t="shared" si="231"/>
        <v>314700.75170920586</v>
      </c>
      <c r="BI862" s="54">
        <f t="shared" si="232"/>
        <v>286449.57849412499</v>
      </c>
      <c r="BJ862" s="20"/>
    </row>
    <row r="863" spans="37:62" x14ac:dyDescent="0.3">
      <c r="AK863">
        <v>859</v>
      </c>
      <c r="AL863">
        <v>429.5</v>
      </c>
      <c r="AN863" s="48">
        <f t="shared" si="233"/>
        <v>74134.447136003131</v>
      </c>
      <c r="AO863" s="48">
        <f t="shared" si="234"/>
        <v>-290963.78038554179</v>
      </c>
      <c r="AP863" s="20"/>
      <c r="AQ863" s="50">
        <f t="shared" si="235"/>
        <v>755.39587101953327</v>
      </c>
      <c r="AR863" s="50">
        <f t="shared" si="236"/>
        <v>-1103.7130551688708</v>
      </c>
      <c r="AS863" s="20"/>
      <c r="AT863" s="52">
        <f t="shared" si="237"/>
        <v>-3.3006462459402979</v>
      </c>
      <c r="AU863" s="52">
        <f t="shared" si="238"/>
        <v>13.408284904897442</v>
      </c>
      <c r="AV863" s="20"/>
      <c r="AW863" s="20"/>
      <c r="AX863" s="20">
        <f t="shared" si="224"/>
        <v>-1.0139205006042191</v>
      </c>
      <c r="AY863" s="20">
        <f t="shared" si="225"/>
        <v>5.5901290514792032</v>
      </c>
      <c r="AZ863" s="20"/>
      <c r="BA863" s="20">
        <f t="shared" si="226"/>
        <v>-0.53873538743225746</v>
      </c>
      <c r="BB863" s="20">
        <f t="shared" si="227"/>
        <v>1.7224283326891596</v>
      </c>
      <c r="BC863" s="20"/>
      <c r="BD863" s="20">
        <f t="shared" si="228"/>
        <v>-1.7479903579038212</v>
      </c>
      <c r="BE863" s="20">
        <f t="shared" si="229"/>
        <v>6.0957275207290786</v>
      </c>
      <c r="BF863" s="20"/>
      <c r="BG863" s="54">
        <f t="shared" si="230"/>
        <v>303333.42474700941</v>
      </c>
      <c r="BH863" s="54">
        <f t="shared" si="231"/>
        <v>315341.86408017192</v>
      </c>
      <c r="BI863" s="54">
        <f t="shared" si="232"/>
        <v>287085.82132909389</v>
      </c>
      <c r="BJ863" s="20"/>
    </row>
    <row r="864" spans="37:62" x14ac:dyDescent="0.3">
      <c r="AK864">
        <v>860</v>
      </c>
      <c r="AL864">
        <v>430</v>
      </c>
      <c r="AN864" s="48">
        <f t="shared" si="233"/>
        <v>74511.73249073216</v>
      </c>
      <c r="AO864" s="48">
        <f t="shared" si="234"/>
        <v>-291513.96087751311</v>
      </c>
      <c r="AP864" s="20"/>
      <c r="AQ864" s="50">
        <f t="shared" si="235"/>
        <v>753.74554789656315</v>
      </c>
      <c r="AR864" s="50">
        <f t="shared" si="236"/>
        <v>-1097.0089127164222</v>
      </c>
      <c r="AS864" s="20"/>
      <c r="AT864" s="52">
        <f t="shared" si="237"/>
        <v>-3.2972707816152509</v>
      </c>
      <c r="AU864" s="52">
        <f t="shared" si="238"/>
        <v>13.349746431192973</v>
      </c>
      <c r="AV864" s="20"/>
      <c r="AW864" s="20"/>
      <c r="AX864" s="20">
        <f t="shared" si="224"/>
        <v>-1.0148706490619939</v>
      </c>
      <c r="AY864" s="20">
        <f t="shared" si="225"/>
        <v>5.5668840209023323</v>
      </c>
      <c r="AZ864" s="20"/>
      <c r="BA864" s="20">
        <f t="shared" si="226"/>
        <v>-0.53762755039863996</v>
      </c>
      <c r="BB864" s="20">
        <f t="shared" si="227"/>
        <v>1.715154382694916</v>
      </c>
      <c r="BC864" s="20"/>
      <c r="BD864" s="20">
        <f t="shared" si="228"/>
        <v>-1.7447725821546174</v>
      </c>
      <c r="BE864" s="20">
        <f t="shared" si="229"/>
        <v>6.0677080275957254</v>
      </c>
      <c r="BF864" s="20"/>
      <c r="BG864" s="54">
        <f t="shared" si="230"/>
        <v>303942.22769927856</v>
      </c>
      <c r="BH864" s="54">
        <f t="shared" si="231"/>
        <v>315979.64520273492</v>
      </c>
      <c r="BI864" s="54">
        <f t="shared" si="232"/>
        <v>287718.76227289834</v>
      </c>
      <c r="BJ864" s="20"/>
    </row>
    <row r="865" spans="37:62" x14ac:dyDescent="0.3">
      <c r="AK865">
        <v>861</v>
      </c>
      <c r="AL865">
        <v>430.5</v>
      </c>
      <c r="AN865" s="48">
        <f t="shared" si="233"/>
        <v>74888.193105832746</v>
      </c>
      <c r="AO865" s="48">
        <f t="shared" si="234"/>
        <v>-292060.79661556741</v>
      </c>
      <c r="AP865" s="20"/>
      <c r="AQ865" s="50">
        <f t="shared" si="235"/>
        <v>752.09691250575554</v>
      </c>
      <c r="AR865" s="50">
        <f t="shared" si="236"/>
        <v>-1090.3340395008256</v>
      </c>
      <c r="AS865" s="20"/>
      <c r="AT865" s="52">
        <f t="shared" si="237"/>
        <v>-3.2939223018100821</v>
      </c>
      <c r="AU865" s="52">
        <f t="shared" si="238"/>
        <v>13.291871055195614</v>
      </c>
      <c r="AV865" s="20"/>
      <c r="AW865" s="20"/>
      <c r="AX865" s="20">
        <f t="shared" si="224"/>
        <v>-1.0158018795181991</v>
      </c>
      <c r="AY865" s="20">
        <f t="shared" si="225"/>
        <v>5.5438957453989541</v>
      </c>
      <c r="AZ865" s="20"/>
      <c r="BA865" s="20">
        <f t="shared" si="226"/>
        <v>-0.53653218194792407</v>
      </c>
      <c r="BB865" s="20">
        <f t="shared" si="227"/>
        <v>1.7079610537880123</v>
      </c>
      <c r="BC865" s="20"/>
      <c r="BD865" s="20">
        <f t="shared" si="228"/>
        <v>-1.7415882403439591</v>
      </c>
      <c r="BE865" s="20">
        <f t="shared" si="229"/>
        <v>6.0400142560086483</v>
      </c>
      <c r="BF865" s="20"/>
      <c r="BG865" s="54">
        <f t="shared" si="230"/>
        <v>304547.83632686757</v>
      </c>
      <c r="BH865" s="54">
        <f t="shared" si="231"/>
        <v>316614.10903957038</v>
      </c>
      <c r="BI865" s="54">
        <f t="shared" si="232"/>
        <v>288348.41497564648</v>
      </c>
      <c r="BJ865" s="20"/>
    </row>
    <row r="866" spans="37:62" x14ac:dyDescent="0.3">
      <c r="AK866">
        <v>862</v>
      </c>
      <c r="AL866">
        <v>431</v>
      </c>
      <c r="AN866" s="48">
        <f t="shared" si="233"/>
        <v>75263.829821797888</v>
      </c>
      <c r="AO866" s="48">
        <f t="shared" si="234"/>
        <v>-292604.30215143593</v>
      </c>
      <c r="AP866" s="20"/>
      <c r="AQ866" s="50">
        <f t="shared" si="235"/>
        <v>750.44995135485055</v>
      </c>
      <c r="AR866" s="50">
        <f t="shared" si="236"/>
        <v>-1083.6881039732277</v>
      </c>
      <c r="AS866" s="20"/>
      <c r="AT866" s="52">
        <f t="shared" si="237"/>
        <v>-3.2906009862610626</v>
      </c>
      <c r="AU866" s="52">
        <f t="shared" si="238"/>
        <v>13.234648905526701</v>
      </c>
      <c r="AV866" s="20"/>
      <c r="AW866" s="20"/>
      <c r="AX866" s="20">
        <f t="shared" si="224"/>
        <v>-1.0167147704909794</v>
      </c>
      <c r="AY866" s="20">
        <f t="shared" si="225"/>
        <v>5.5211605433270758</v>
      </c>
      <c r="AZ866" s="20"/>
      <c r="BA866" s="20">
        <f t="shared" si="226"/>
        <v>-0.53544914577835623</v>
      </c>
      <c r="BB866" s="20">
        <f t="shared" si="227"/>
        <v>1.7008471672715295</v>
      </c>
      <c r="BC866" s="20"/>
      <c r="BD866" s="20">
        <f t="shared" si="228"/>
        <v>-1.7384370699917266</v>
      </c>
      <c r="BE866" s="20">
        <f t="shared" si="229"/>
        <v>6.0126411949280962</v>
      </c>
      <c r="BF866" s="20"/>
      <c r="BG866" s="54">
        <f t="shared" si="230"/>
        <v>305150.26307767292</v>
      </c>
      <c r="BH866" s="54">
        <f t="shared" si="231"/>
        <v>317245.26939400373</v>
      </c>
      <c r="BI866" s="54">
        <f t="shared" si="232"/>
        <v>288974.79293296201</v>
      </c>
      <c r="BJ866" s="20"/>
    </row>
    <row r="867" spans="37:62" x14ac:dyDescent="0.3">
      <c r="AK867">
        <v>863</v>
      </c>
      <c r="AL867">
        <v>431.5</v>
      </c>
      <c r="AN867" s="48">
        <f t="shared" si="233"/>
        <v>75638.643472352036</v>
      </c>
      <c r="AO867" s="48">
        <f t="shared" si="234"/>
        <v>-293144.49187230936</v>
      </c>
      <c r="AP867" s="20"/>
      <c r="AQ867" s="50">
        <f t="shared" si="235"/>
        <v>748.80465086172001</v>
      </c>
      <c r="AR867" s="50">
        <f t="shared" si="236"/>
        <v>-1077.0707795204644</v>
      </c>
      <c r="AS867" s="20"/>
      <c r="AT867" s="52">
        <f t="shared" si="237"/>
        <v>-3.2873070047114581</v>
      </c>
      <c r="AU867" s="52">
        <f t="shared" si="238"/>
        <v>13.178070307275961</v>
      </c>
      <c r="AV867" s="20"/>
      <c r="AW867" s="20"/>
      <c r="AX867" s="20">
        <f t="shared" si="224"/>
        <v>-1.0176098856141393</v>
      </c>
      <c r="AY867" s="20">
        <f t="shared" si="225"/>
        <v>5.4986748039018769</v>
      </c>
      <c r="AZ867" s="20"/>
      <c r="BA867" s="20">
        <f t="shared" si="226"/>
        <v>-0.53437830790964513</v>
      </c>
      <c r="BB867" s="20">
        <f t="shared" si="227"/>
        <v>1.6938115675562071</v>
      </c>
      <c r="BC867" s="20"/>
      <c r="BD867" s="20">
        <f t="shared" si="228"/>
        <v>-1.7353188111876736</v>
      </c>
      <c r="BE867" s="20">
        <f t="shared" si="229"/>
        <v>5.9855839358178766</v>
      </c>
      <c r="BF867" s="20"/>
      <c r="BG867" s="54">
        <f t="shared" si="230"/>
        <v>305749.52026226075</v>
      </c>
      <c r="BH867" s="54">
        <f t="shared" si="231"/>
        <v>317873.13991237496</v>
      </c>
      <c r="BI867" s="54">
        <f t="shared" si="232"/>
        <v>289597.90948825283</v>
      </c>
      <c r="BJ867" s="20"/>
    </row>
    <row r="868" spans="37:62" x14ac:dyDescent="0.3">
      <c r="AK868">
        <v>864</v>
      </c>
      <c r="AL868">
        <v>432</v>
      </c>
      <c r="AN868" s="48">
        <f t="shared" si="233"/>
        <v>76012.634884407307</v>
      </c>
      <c r="AO868" s="48">
        <f t="shared" si="234"/>
        <v>-293681.38000328117</v>
      </c>
      <c r="AP868" s="20"/>
      <c r="AQ868" s="50">
        <f t="shared" si="235"/>
        <v>747.16099735936427</v>
      </c>
      <c r="AR868" s="50">
        <f t="shared" si="236"/>
        <v>-1070.4817443668264</v>
      </c>
      <c r="AS868" s="20"/>
      <c r="AT868" s="52">
        <f t="shared" si="237"/>
        <v>-3.2840405173119427</v>
      </c>
      <c r="AU868" s="52">
        <f t="shared" si="238"/>
        <v>13.12212577723168</v>
      </c>
      <c r="AV868" s="20"/>
      <c r="AW868" s="20"/>
      <c r="AX868" s="20">
        <f t="shared" si="224"/>
        <v>-1.0184877740772189</v>
      </c>
      <c r="AY868" s="20">
        <f t="shared" si="225"/>
        <v>5.4764349855364358</v>
      </c>
      <c r="AZ868" s="20"/>
      <c r="BA868" s="20">
        <f t="shared" si="226"/>
        <v>-0.53331953663635168</v>
      </c>
      <c r="BB868" s="20">
        <f t="shared" si="227"/>
        <v>1.6868531216066058</v>
      </c>
      <c r="BC868" s="20"/>
      <c r="BD868" s="20">
        <f t="shared" si="228"/>
        <v>-1.7322332065983721</v>
      </c>
      <c r="BE868" s="20">
        <f t="shared" si="229"/>
        <v>5.9588376700886396</v>
      </c>
      <c r="BF868" s="20"/>
      <c r="BG868" s="54">
        <f t="shared" si="230"/>
        <v>306345.62005580362</v>
      </c>
      <c r="BH868" s="54">
        <f t="shared" si="231"/>
        <v>318497.734086357</v>
      </c>
      <c r="BI868" s="54">
        <f t="shared" si="232"/>
        <v>290217.77783493465</v>
      </c>
      <c r="BJ868" s="20"/>
    </row>
    <row r="869" spans="37:62" x14ac:dyDescent="0.3">
      <c r="AK869">
        <v>865</v>
      </c>
      <c r="AL869">
        <v>432.5</v>
      </c>
      <c r="AN869" s="48">
        <f t="shared" si="233"/>
        <v>76385.804878022333</v>
      </c>
      <c r="AO869" s="48">
        <f t="shared" si="234"/>
        <v>-294214.9806097424</v>
      </c>
      <c r="AP869" s="20"/>
      <c r="AQ869" s="50">
        <f t="shared" si="235"/>
        <v>745.5189771007083</v>
      </c>
      <c r="AR869" s="50">
        <f t="shared" si="236"/>
        <v>-1063.9206814782106</v>
      </c>
      <c r="AS869" s="20"/>
      <c r="AT869" s="52">
        <f t="shared" si="237"/>
        <v>-3.280801675005848</v>
      </c>
      <c r="AU869" s="52">
        <f t="shared" si="238"/>
        <v>13.066806019248617</v>
      </c>
      <c r="AV869" s="20"/>
      <c r="AW869" s="20"/>
      <c r="AX869" s="20">
        <f t="shared" si="224"/>
        <v>-1.0193489710510182</v>
      </c>
      <c r="AY869" s="20">
        <f t="shared" si="225"/>
        <v>5.4544376142282331</v>
      </c>
      <c r="AZ869" s="20"/>
      <c r="BA869" s="20">
        <f t="shared" si="226"/>
        <v>-0.53227270248248548</v>
      </c>
      <c r="BB869" s="20">
        <f t="shared" si="227"/>
        <v>1.6799707184032275</v>
      </c>
      <c r="BC869" s="20"/>
      <c r="BD869" s="20">
        <f t="shared" si="228"/>
        <v>-1.7291800014723442</v>
      </c>
      <c r="BE869" s="20">
        <f t="shared" si="229"/>
        <v>5.9323976866171559</v>
      </c>
      <c r="BF869" s="20"/>
      <c r="BG869" s="54">
        <f t="shared" si="230"/>
        <v>306938.57449997979</v>
      </c>
      <c r="BH869" s="54">
        <f t="shared" si="231"/>
        <v>319119.0652552275</v>
      </c>
      <c r="BI869" s="54">
        <f t="shared" si="232"/>
        <v>290834.41101861099</v>
      </c>
      <c r="BJ869" s="20"/>
    </row>
    <row r="870" spans="37:62" x14ac:dyDescent="0.3">
      <c r="AK870">
        <v>866</v>
      </c>
      <c r="AL870">
        <v>433</v>
      </c>
      <c r="AN870" s="48">
        <f t="shared" si="233"/>
        <v>76758.154266363301</v>
      </c>
      <c r="AO870" s="48">
        <f t="shared" si="234"/>
        <v>-294745.3075997291</v>
      </c>
      <c r="AP870" s="20"/>
      <c r="AQ870" s="50">
        <f t="shared" si="235"/>
        <v>743.87857626320533</v>
      </c>
      <c r="AR870" s="50">
        <f t="shared" si="236"/>
        <v>-1057.3872784685861</v>
      </c>
      <c r="AS870" s="20"/>
      <c r="AT870" s="52">
        <f t="shared" si="237"/>
        <v>-3.2775906198997489</v>
      </c>
      <c r="AU870" s="52">
        <f t="shared" si="238"/>
        <v>13.012101919748968</v>
      </c>
      <c r="AV870" s="20"/>
      <c r="AW870" s="20"/>
      <c r="AX870" s="20">
        <f t="shared" si="224"/>
        <v>-1.0201939980992631</v>
      </c>
      <c r="AY870" s="20">
        <f t="shared" si="225"/>
        <v>5.4326792819907936</v>
      </c>
      <c r="AZ870" s="20"/>
      <c r="BA870" s="20">
        <f t="shared" si="226"/>
        <v>-0.53123767815716394</v>
      </c>
      <c r="BB870" s="20">
        <f t="shared" si="227"/>
        <v>1.6731632684197499</v>
      </c>
      <c r="BC870" s="20"/>
      <c r="BD870" s="20">
        <f t="shared" si="228"/>
        <v>-1.7261589436433218</v>
      </c>
      <c r="BE870" s="20">
        <f t="shared" si="229"/>
        <v>5.9062593693384242</v>
      </c>
      <c r="BF870" s="20"/>
      <c r="BG870" s="54">
        <f t="shared" si="230"/>
        <v>307528.39550483652</v>
      </c>
      <c r="BH870" s="54">
        <f t="shared" si="231"/>
        <v>319737.14660809567</v>
      </c>
      <c r="BI870" s="54">
        <f t="shared" si="232"/>
        <v>291447.82193921012</v>
      </c>
      <c r="BJ870" s="20"/>
    </row>
    <row r="871" spans="37:62" x14ac:dyDescent="0.3">
      <c r="AK871">
        <v>867</v>
      </c>
      <c r="AL871">
        <v>433.5</v>
      </c>
      <c r="AN871" s="48">
        <f t="shared" si="233"/>
        <v>77129.683855667419</v>
      </c>
      <c r="AO871" s="48">
        <f t="shared" si="234"/>
        <v>-295272.37472622341</v>
      </c>
      <c r="AP871" s="20"/>
      <c r="AQ871" s="50">
        <f t="shared" si="235"/>
        <v>742.23978095325549</v>
      </c>
      <c r="AR871" s="50">
        <f t="shared" si="236"/>
        <v>-1050.8812275087116</v>
      </c>
      <c r="AS871" s="20"/>
      <c r="AT871" s="52">
        <f t="shared" si="237"/>
        <v>-3.2744074856198466</v>
      </c>
      <c r="AU871" s="52">
        <f t="shared" si="238"/>
        <v>12.958004543351102</v>
      </c>
      <c r="AV871" s="20"/>
      <c r="AW871" s="20"/>
      <c r="AX871" s="20">
        <f t="shared" si="224"/>
        <v>-1.0210233635767036</v>
      </c>
      <c r="AY871" s="20">
        <f t="shared" si="225"/>
        <v>5.411156645327865</v>
      </c>
      <c r="AZ871" s="20"/>
      <c r="BA871" s="20">
        <f t="shared" si="226"/>
        <v>-0.53021433851134214</v>
      </c>
      <c r="BB871" s="20">
        <f t="shared" si="227"/>
        <v>1.6664297031149735</v>
      </c>
      <c r="BC871" s="20"/>
      <c r="BD871" s="20">
        <f t="shared" si="228"/>
        <v>-1.7231697835318007</v>
      </c>
      <c r="BE871" s="20">
        <f t="shared" si="229"/>
        <v>5.8804181949082635</v>
      </c>
      <c r="BF871" s="20"/>
      <c r="BG871" s="54">
        <f t="shared" si="230"/>
        <v>308115.09485061769</v>
      </c>
      <c r="BH871" s="54">
        <f t="shared" si="231"/>
        <v>320351.99118608527</v>
      </c>
      <c r="BI871" s="54">
        <f t="shared" si="232"/>
        <v>292058.02335308038</v>
      </c>
      <c r="BJ871" s="20"/>
    </row>
    <row r="872" spans="37:62" x14ac:dyDescent="0.3">
      <c r="AK872">
        <v>868</v>
      </c>
      <c r="AL872">
        <v>434</v>
      </c>
      <c r="AN872" s="48">
        <f t="shared" si="233"/>
        <v>77500.394445208338</v>
      </c>
      <c r="AO872" s="48">
        <f t="shared" si="234"/>
        <v>-295796.19558940985</v>
      </c>
      <c r="AP872" s="20"/>
      <c r="AQ872" s="50">
        <f t="shared" si="235"/>
        <v>740.60257721044559</v>
      </c>
      <c r="AR872" s="50">
        <f t="shared" si="236"/>
        <v>-1044.402225237036</v>
      </c>
      <c r="AS872" s="20"/>
      <c r="AT872" s="52">
        <f t="shared" si="237"/>
        <v>-3.271252397655021</v>
      </c>
      <c r="AU872" s="52">
        <f t="shared" si="238"/>
        <v>12.904505128623429</v>
      </c>
      <c r="AV872" s="20"/>
      <c r="AW872" s="20"/>
      <c r="AX872" s="20">
        <f t="shared" si="224"/>
        <v>-1.021837563014399</v>
      </c>
      <c r="AY872" s="20">
        <f t="shared" si="225"/>
        <v>5.3898664237502025</v>
      </c>
      <c r="AZ872" s="20"/>
      <c r="BA872" s="20">
        <f t="shared" si="226"/>
        <v>-0.52920256049565895</v>
      </c>
      <c r="BB872" s="20">
        <f t="shared" si="227"/>
        <v>1.6597689744392627</v>
      </c>
      <c r="BC872" s="20"/>
      <c r="BD872" s="20">
        <f t="shared" si="228"/>
        <v>-1.720212274144963</v>
      </c>
      <c r="BE872" s="20">
        <f t="shared" si="229"/>
        <v>5.854869730433963</v>
      </c>
      <c r="BF872" s="20"/>
      <c r="BG872" s="54">
        <f t="shared" si="230"/>
        <v>308698.68418955739</v>
      </c>
      <c r="BH872" s="54">
        <f t="shared" si="231"/>
        <v>320963.61188447487</v>
      </c>
      <c r="BI872" s="54">
        <f t="shared" si="232"/>
        <v>292665.02787504537</v>
      </c>
      <c r="BJ872" s="20"/>
    </row>
    <row r="873" spans="37:62" x14ac:dyDescent="0.3">
      <c r="AK873">
        <v>869</v>
      </c>
      <c r="AL873">
        <v>434.5</v>
      </c>
      <c r="AN873" s="48">
        <f t="shared" si="233"/>
        <v>77870.286827263844</v>
      </c>
      <c r="AO873" s="48">
        <f t="shared" si="234"/>
        <v>-296316.78363888728</v>
      </c>
      <c r="AP873" s="20"/>
      <c r="AQ873" s="50">
        <f t="shared" si="235"/>
        <v>738.96695101161811</v>
      </c>
      <c r="AR873" s="50">
        <f t="shared" si="236"/>
        <v>-1037.9499726727242</v>
      </c>
      <c r="AS873" s="20"/>
      <c r="AT873" s="52">
        <f t="shared" si="237"/>
        <v>-3.2681254736867738</v>
      </c>
      <c r="AU873" s="52">
        <f t="shared" si="238"/>
        <v>12.851595083957701</v>
      </c>
      <c r="AV873" s="20"/>
      <c r="AW873" s="20"/>
      <c r="AX873" s="20">
        <f t="shared" si="224"/>
        <v>-1.0226370794924284</v>
      </c>
      <c r="AY873" s="20">
        <f t="shared" si="225"/>
        <v>5.3688053983323334</v>
      </c>
      <c r="AZ873" s="20"/>
      <c r="BA873" s="20">
        <f t="shared" si="226"/>
        <v>-0.52820222311921972</v>
      </c>
      <c r="BB873" s="20">
        <f t="shared" si="227"/>
        <v>1.6531800543545279</v>
      </c>
      <c r="BC873" s="20"/>
      <c r="BD873" s="20">
        <f t="shared" si="228"/>
        <v>-1.7172861710751259</v>
      </c>
      <c r="BE873" s="20">
        <f t="shared" si="229"/>
        <v>5.8296096312708405</v>
      </c>
      <c r="BF873" s="20"/>
      <c r="BG873" s="54">
        <f t="shared" si="230"/>
        <v>309279.17504763918</v>
      </c>
      <c r="BH873" s="54">
        <f t="shared" si="231"/>
        <v>321572.02145479596</v>
      </c>
      <c r="BI873" s="54">
        <f t="shared" si="232"/>
        <v>293268.84798041795</v>
      </c>
      <c r="BJ873" s="20"/>
    </row>
    <row r="874" spans="37:62" x14ac:dyDescent="0.3">
      <c r="AK874">
        <v>870</v>
      </c>
      <c r="AL874">
        <v>435</v>
      </c>
      <c r="AN874" s="48">
        <f t="shared" si="233"/>
        <v>78239.36178708545</v>
      </c>
      <c r="AO874" s="48">
        <f t="shared" si="234"/>
        <v>-296834.15217583813</v>
      </c>
      <c r="AP874" s="20"/>
      <c r="AQ874" s="50">
        <f t="shared" si="235"/>
        <v>737.33288827477475</v>
      </c>
      <c r="AR874" s="50">
        <f t="shared" si="236"/>
        <v>-1031.5241751307453</v>
      </c>
      <c r="AS874" s="20"/>
      <c r="AT874" s="52">
        <f t="shared" si="237"/>
        <v>-3.2650268239067577</v>
      </c>
      <c r="AU874" s="52">
        <f t="shared" si="238"/>
        <v>12.799265983558737</v>
      </c>
      <c r="AV874" s="20"/>
      <c r="AW874" s="20"/>
      <c r="AX874" s="20">
        <f t="shared" si="224"/>
        <v>-1.0234223840006025</v>
      </c>
      <c r="AY874" s="20">
        <f t="shared" si="225"/>
        <v>5.3479704103087382</v>
      </c>
      <c r="AZ874" s="20"/>
      <c r="BA874" s="20">
        <f t="shared" si="226"/>
        <v>-0.527213207409436</v>
      </c>
      <c r="BB874" s="20">
        <f t="shared" si="227"/>
        <v>1.6466619343677831</v>
      </c>
      <c r="BC874" s="20"/>
      <c r="BD874" s="20">
        <f t="shared" si="228"/>
        <v>-1.7143912324967194</v>
      </c>
      <c r="BE874" s="20">
        <f t="shared" si="229"/>
        <v>5.8046336388822155</v>
      </c>
      <c r="BF874" s="20"/>
      <c r="BG874" s="54">
        <f t="shared" si="230"/>
        <v>309856.57882632286</v>
      </c>
      <c r="BH874" s="54">
        <f t="shared" si="231"/>
        <v>322177.2325068909</v>
      </c>
      <c r="BI874" s="54">
        <f t="shared" si="232"/>
        <v>293869.49600697716</v>
      </c>
      <c r="BJ874" s="20"/>
    </row>
    <row r="875" spans="37:62" x14ac:dyDescent="0.3">
      <c r="AK875">
        <v>871</v>
      </c>
      <c r="AL875">
        <v>435.5</v>
      </c>
      <c r="AN875" s="48">
        <f t="shared" si="233"/>
        <v>78607.620102869856</v>
      </c>
      <c r="AO875" s="48">
        <f t="shared" si="234"/>
        <v>-297348.31435515557</v>
      </c>
      <c r="AP875" s="20"/>
      <c r="AQ875" s="50">
        <f t="shared" si="235"/>
        <v>735.70037486282138</v>
      </c>
      <c r="AR875" s="50">
        <f t="shared" si="236"/>
        <v>-1025.124542138966</v>
      </c>
      <c r="AS875" s="20"/>
      <c r="AT875" s="52">
        <f t="shared" si="237"/>
        <v>-3.2619565513224016</v>
      </c>
      <c r="AU875" s="52">
        <f t="shared" si="238"/>
        <v>12.747509563546753</v>
      </c>
      <c r="AV875" s="20"/>
      <c r="AW875" s="20"/>
      <c r="AX875" s="20">
        <f t="shared" si="224"/>
        <v>-1.0241939357875922</v>
      </c>
      <c r="AY875" s="20">
        <f t="shared" si="225"/>
        <v>5.3273583597080956</v>
      </c>
      <c r="AZ875" s="20"/>
      <c r="BA875" s="20">
        <f t="shared" si="226"/>
        <v>-0.52623539637277783</v>
      </c>
      <c r="BB875" s="20">
        <f t="shared" si="227"/>
        <v>1.6402136250774726</v>
      </c>
      <c r="BC875" s="20"/>
      <c r="BD875" s="20">
        <f t="shared" si="228"/>
        <v>-1.7115272191620314</v>
      </c>
      <c r="BE875" s="20">
        <f t="shared" si="229"/>
        <v>5.7799375787611851</v>
      </c>
      <c r="BF875" s="20"/>
      <c r="BG875" s="54">
        <f t="shared" si="230"/>
        <v>310430.90680423891</v>
      </c>
      <c r="BH875" s="54">
        <f t="shared" si="231"/>
        <v>322779.25751093024</v>
      </c>
      <c r="BI875" s="54">
        <f t="shared" si="232"/>
        <v>294466.98415690608</v>
      </c>
      <c r="BJ875" s="20"/>
    </row>
    <row r="876" spans="37:62" x14ac:dyDescent="0.3">
      <c r="AK876">
        <v>872</v>
      </c>
      <c r="AL876">
        <v>436</v>
      </c>
      <c r="AN876" s="48">
        <f t="shared" si="233"/>
        <v>78975.062545732348</v>
      </c>
      <c r="AO876" s="48">
        <f t="shared" si="234"/>
        <v>-297859.28318752965</v>
      </c>
      <c r="AP876" s="20"/>
      <c r="AQ876" s="50">
        <f t="shared" si="235"/>
        <v>734.06939658716021</v>
      </c>
      <c r="AR876" s="50">
        <f t="shared" si="236"/>
        <v>-1018.7507873571926</v>
      </c>
      <c r="AS876" s="20"/>
      <c r="AT876" s="52">
        <f t="shared" si="237"/>
        <v>-3.2589147520510933</v>
      </c>
      <c r="AU876" s="52">
        <f t="shared" si="238"/>
        <v>12.696317718168583</v>
      </c>
      <c r="AV876" s="20"/>
      <c r="AW876" s="20"/>
      <c r="AX876" s="20">
        <f t="shared" si="224"/>
        <v>-1.0249521826988754</v>
      </c>
      <c r="AY876" s="20">
        <f t="shared" si="225"/>
        <v>5.3069662040243291</v>
      </c>
      <c r="AZ876" s="20"/>
      <c r="BA876" s="20">
        <f t="shared" si="226"/>
        <v>-0.52526867495652763</v>
      </c>
      <c r="BB876" s="20">
        <f t="shared" si="227"/>
        <v>1.6338341557325216</v>
      </c>
      <c r="BC876" s="20"/>
      <c r="BD876" s="20">
        <f t="shared" si="228"/>
        <v>-1.7086938943956902</v>
      </c>
      <c r="BE876" s="20">
        <f t="shared" si="229"/>
        <v>5.7555173584117316</v>
      </c>
      <c r="BF876" s="20"/>
      <c r="BG876" s="54">
        <f t="shared" si="230"/>
        <v>311002.17013885122</v>
      </c>
      <c r="BH876" s="54">
        <f t="shared" si="231"/>
        <v>323378.10879939166</v>
      </c>
      <c r="BI876" s="54">
        <f t="shared" si="232"/>
        <v>295061.32449869259</v>
      </c>
      <c r="BJ876" s="20"/>
    </row>
    <row r="877" spans="37:62" x14ac:dyDescent="0.3">
      <c r="AK877">
        <v>873</v>
      </c>
      <c r="AL877">
        <v>436.5</v>
      </c>
      <c r="AN877" s="48">
        <f t="shared" si="233"/>
        <v>79341.689879681915</v>
      </c>
      <c r="AO877" s="48">
        <f t="shared" si="234"/>
        <v>-298367.07154149347</v>
      </c>
      <c r="AP877" s="20"/>
      <c r="AQ877" s="50">
        <f t="shared" si="235"/>
        <v>732.43993921113463</v>
      </c>
      <c r="AR877" s="50">
        <f t="shared" si="236"/>
        <v>-1012.4026284981084</v>
      </c>
      <c r="AS877" s="20"/>
      <c r="AT877" s="52">
        <f t="shared" si="237"/>
        <v>-3.2559015156032358</v>
      </c>
      <c r="AU877" s="52">
        <f t="shared" si="238"/>
        <v>12.645682496113876</v>
      </c>
      <c r="AV877" s="20"/>
      <c r="AW877" s="20"/>
      <c r="AX877" s="20">
        <f t="shared" si="224"/>
        <v>-1.025697561503927</v>
      </c>
      <c r="AY877" s="20">
        <f t="shared" si="225"/>
        <v>5.286790956923431</v>
      </c>
      <c r="AZ877" s="20"/>
      <c r="BA877" s="20">
        <f t="shared" si="226"/>
        <v>-0.5243129300113738</v>
      </c>
      <c r="BB877" s="20">
        <f t="shared" si="227"/>
        <v>1.6275225738032821</v>
      </c>
      <c r="BC877" s="20"/>
      <c r="BD877" s="20">
        <f t="shared" si="228"/>
        <v>-1.705891024087935</v>
      </c>
      <c r="BE877" s="20">
        <f t="shared" si="229"/>
        <v>5.7313689653871629</v>
      </c>
      <c r="BF877" s="20"/>
      <c r="BG877" s="54">
        <f t="shared" si="230"/>
        <v>311570.37986808922</v>
      </c>
      <c r="BH877" s="54">
        <f t="shared" si="231"/>
        <v>323973.79856900073</v>
      </c>
      <c r="BI877" s="54">
        <f t="shared" si="232"/>
        <v>295652.5289689948</v>
      </c>
      <c r="BJ877" s="20"/>
    </row>
    <row r="878" spans="37:62" x14ac:dyDescent="0.3">
      <c r="AK878">
        <v>874</v>
      </c>
      <c r="AL878">
        <v>437</v>
      </c>
      <c r="AN878" s="48">
        <f t="shared" si="233"/>
        <v>79707.502861598026</v>
      </c>
      <c r="AO878" s="48">
        <f t="shared" si="234"/>
        <v>-298871.69214543054</v>
      </c>
      <c r="AP878" s="20"/>
      <c r="AQ878" s="50">
        <f t="shared" si="235"/>
        <v>730.81198845333302</v>
      </c>
      <c r="AR878" s="50">
        <f t="shared" si="236"/>
        <v>-1006.0797872500514</v>
      </c>
      <c r="AS878" s="20"/>
      <c r="AT878" s="52">
        <f t="shared" si="237"/>
        <v>-3.2529169251548451</v>
      </c>
      <c r="AU878" s="52">
        <f t="shared" si="238"/>
        <v>12.595596096933541</v>
      </c>
      <c r="AV878" s="20"/>
      <c r="AW878" s="20"/>
      <c r="AX878" s="20">
        <f t="shared" si="224"/>
        <v>-1.0264304982129586</v>
      </c>
      <c r="AY878" s="20">
        <f t="shared" si="225"/>
        <v>5.2668296869845825</v>
      </c>
      <c r="AZ878" s="20"/>
      <c r="BA878" s="20">
        <f t="shared" si="226"/>
        <v>-0.52336805025493449</v>
      </c>
      <c r="BB878" s="20">
        <f t="shared" si="227"/>
        <v>1.6212779445643564</v>
      </c>
      <c r="BC878" s="20"/>
      <c r="BD878" s="20">
        <f t="shared" si="228"/>
        <v>-1.703118376686952</v>
      </c>
      <c r="BE878" s="20">
        <f t="shared" si="229"/>
        <v>5.7074884653846008</v>
      </c>
      <c r="BF878" s="20"/>
      <c r="BG878" s="54">
        <f t="shared" si="230"/>
        <v>312135.54691195011</v>
      </c>
      <c r="BH878" s="54">
        <f t="shared" si="231"/>
        <v>324566.33888263459</v>
      </c>
      <c r="BI878" s="54">
        <f t="shared" si="232"/>
        <v>296240.60937447066</v>
      </c>
      <c r="BJ878" s="20"/>
    </row>
    <row r="879" spans="37:62" x14ac:dyDescent="0.3">
      <c r="AK879">
        <v>875</v>
      </c>
      <c r="AL879">
        <v>437.5</v>
      </c>
      <c r="AN879" s="48">
        <f t="shared" si="233"/>
        <v>80072.502241209047</v>
      </c>
      <c r="AO879" s="48">
        <f t="shared" si="234"/>
        <v>-299373.15758954344</v>
      </c>
      <c r="AP879" s="20"/>
      <c r="AQ879" s="50">
        <f t="shared" si="235"/>
        <v>729.18552999075564</v>
      </c>
      <c r="AR879" s="50">
        <f t="shared" si="236"/>
        <v>-999.78198920158457</v>
      </c>
      <c r="AS879" s="20"/>
      <c r="AT879" s="52">
        <f t="shared" si="237"/>
        <v>-3.2499610578099261</v>
      </c>
      <c r="AU879" s="52">
        <f t="shared" si="238"/>
        <v>12.546050867556795</v>
      </c>
      <c r="AV879" s="20"/>
      <c r="AW879" s="20"/>
      <c r="AX879" s="20">
        <f t="shared" si="224"/>
        <v>-1.027151408383727</v>
      </c>
      <c r="AY879" s="20">
        <f t="shared" si="225"/>
        <v>5.2470795164752397</v>
      </c>
      <c r="AZ879" s="20"/>
      <c r="BA879" s="20">
        <f t="shared" si="226"/>
        <v>-0.52243392623613616</v>
      </c>
      <c r="BB879" s="20">
        <f t="shared" si="227"/>
        <v>1.6150993506887583</v>
      </c>
      <c r="BC879" s="20"/>
      <c r="BD879" s="20">
        <f t="shared" si="228"/>
        <v>-1.7003757231900629</v>
      </c>
      <c r="BE879" s="20">
        <f t="shared" si="229"/>
        <v>5.6838720003927978</v>
      </c>
      <c r="BF879" s="20"/>
      <c r="BG879" s="54">
        <f t="shared" si="230"/>
        <v>312697.68207407108</v>
      </c>
      <c r="BH879" s="54">
        <f t="shared" si="231"/>
        <v>325155.74167118943</v>
      </c>
      <c r="BI879" s="54">
        <f t="shared" si="232"/>
        <v>296825.57739357272</v>
      </c>
      <c r="BJ879" s="20"/>
    </row>
    <row r="880" spans="37:62" x14ac:dyDescent="0.3">
      <c r="AK880">
        <v>876</v>
      </c>
      <c r="AL880">
        <v>438</v>
      </c>
      <c r="AN880" s="48">
        <f t="shared" si="233"/>
        <v>80436.688761072204</v>
      </c>
      <c r="AO880" s="48">
        <f t="shared" si="234"/>
        <v>-299871.48032778577</v>
      </c>
      <c r="AP880" s="20"/>
      <c r="AQ880" s="50">
        <f t="shared" si="235"/>
        <v>727.56054946185066</v>
      </c>
      <c r="AR880" s="50">
        <f t="shared" si="236"/>
        <v>-993.50896376780622</v>
      </c>
      <c r="AS880" s="20"/>
      <c r="AT880" s="52">
        <f t="shared" si="237"/>
        <v>-3.2470339848531165</v>
      </c>
      <c r="AU880" s="52">
        <f t="shared" si="238"/>
        <v>12.497039298903719</v>
      </c>
      <c r="AV880" s="20"/>
      <c r="AW880" s="20"/>
      <c r="AX880" s="20">
        <f t="shared" si="224"/>
        <v>-1.0278606974185833</v>
      </c>
      <c r="AY880" s="20">
        <f t="shared" si="225"/>
        <v>5.2275376201582509</v>
      </c>
      <c r="AZ880" s="20"/>
      <c r="BA880" s="20">
        <f t="shared" si="226"/>
        <v>-0.52151045030043863</v>
      </c>
      <c r="BB880" s="20">
        <f t="shared" si="227"/>
        <v>1.6089858918531108</v>
      </c>
      <c r="BC880" s="20"/>
      <c r="BD880" s="20">
        <f t="shared" si="228"/>
        <v>-1.6976628371340943</v>
      </c>
      <c r="BE880" s="20">
        <f t="shared" si="229"/>
        <v>5.6605157868923577</v>
      </c>
      <c r="BF880" s="20"/>
      <c r="BG880" s="54">
        <f t="shared" si="230"/>
        <v>313256.79604327359</v>
      </c>
      <c r="BH880" s="54">
        <f t="shared" si="231"/>
        <v>325742.01873541245</v>
      </c>
      <c r="BI880" s="54">
        <f t="shared" si="232"/>
        <v>297407.44457830972</v>
      </c>
      <c r="BJ880" s="20"/>
    </row>
    <row r="881" spans="37:62" x14ac:dyDescent="0.3">
      <c r="AK881">
        <v>877</v>
      </c>
      <c r="AL881">
        <v>438.5</v>
      </c>
      <c r="AN881" s="48">
        <f t="shared" si="233"/>
        <v>80800.063156555028</v>
      </c>
      <c r="AO881" s="48">
        <f t="shared" si="234"/>
        <v>-300366.67267975729</v>
      </c>
      <c r="AP881" s="20"/>
      <c r="AQ881" s="50">
        <f t="shared" si="235"/>
        <v>725.93703246942414</v>
      </c>
      <c r="AR881" s="50">
        <f t="shared" si="236"/>
        <v>-987.26044411835437</v>
      </c>
      <c r="AS881" s="20"/>
      <c r="AT881" s="52">
        <f t="shared" si="237"/>
        <v>-3.2441357719929145</v>
      </c>
      <c r="AU881" s="52">
        <f t="shared" si="238"/>
        <v>12.448554022590287</v>
      </c>
      <c r="AV881" s="20"/>
      <c r="AW881" s="20"/>
      <c r="AX881" s="20">
        <f t="shared" si="224"/>
        <v>-1.0285587608522544</v>
      </c>
      <c r="AY881" s="20">
        <f t="shared" si="225"/>
        <v>5.2082012241307662</v>
      </c>
      <c r="AZ881" s="20"/>
      <c r="BA881" s="20">
        <f t="shared" si="226"/>
        <v>-0.52059751655583753</v>
      </c>
      <c r="BB881" s="20">
        <f t="shared" si="227"/>
        <v>1.6029366843533854</v>
      </c>
      <c r="BC881" s="20"/>
      <c r="BD881" s="20">
        <f t="shared" si="228"/>
        <v>-1.6949794945848224</v>
      </c>
      <c r="BE881" s="20">
        <f t="shared" si="229"/>
        <v>5.6374161141061361</v>
      </c>
      <c r="BF881" s="20"/>
      <c r="BG881" s="54">
        <f t="shared" si="230"/>
        <v>313812.89939507889</v>
      </c>
      <c r="BH881" s="54">
        <f t="shared" si="231"/>
        <v>326325.18174769945</v>
      </c>
      <c r="BI881" s="54">
        <f t="shared" si="232"/>
        <v>297986.22235597501</v>
      </c>
      <c r="BJ881" s="20"/>
    </row>
    <row r="882" spans="37:62" x14ac:dyDescent="0.3">
      <c r="AK882">
        <v>878</v>
      </c>
      <c r="AL882">
        <v>439</v>
      </c>
      <c r="AN882" s="48">
        <f t="shared" si="233"/>
        <v>81162.626155818245</v>
      </c>
      <c r="AO882" s="48">
        <f t="shared" si="234"/>
        <v>-300858.74683256366</v>
      </c>
      <c r="AP882" s="20"/>
      <c r="AQ882" s="50">
        <f t="shared" si="235"/>
        <v>724.3149645834277</v>
      </c>
      <c r="AR882" s="50">
        <f t="shared" si="236"/>
        <v>-981.03616710705921</v>
      </c>
      <c r="AS882" s="20"/>
      <c r="AT882" s="52">
        <f t="shared" si="237"/>
        <v>-3.2412664795959873</v>
      </c>
      <c r="AU882" s="52">
        <f t="shared" si="238"/>
        <v>12.400587807723305</v>
      </c>
      <c r="AV882" s="20"/>
      <c r="AW882" s="20"/>
      <c r="AX882" s="20">
        <f t="shared" si="224"/>
        <v>-1.0292459846306257</v>
      </c>
      <c r="AY882" s="20">
        <f t="shared" si="225"/>
        <v>5.1890676046936957</v>
      </c>
      <c r="AZ882" s="20"/>
      <c r="BA882" s="20">
        <f t="shared" si="226"/>
        <v>-0.51969502083973007</v>
      </c>
      <c r="BB882" s="20">
        <f t="shared" si="227"/>
        <v>1.59695086073119</v>
      </c>
      <c r="BC882" s="20"/>
      <c r="BD882" s="20">
        <f t="shared" si="228"/>
        <v>-1.6923254741256315</v>
      </c>
      <c r="BE882" s="20">
        <f t="shared" si="229"/>
        <v>5.6145693422984202</v>
      </c>
      <c r="BF882" s="20"/>
      <c r="BG882" s="54">
        <f t="shared" si="230"/>
        <v>314366.00259319623</v>
      </c>
      <c r="BH882" s="54">
        <f t="shared" si="231"/>
        <v>326905.24225385825</v>
      </c>
      <c r="BI882" s="54">
        <f t="shared" si="232"/>
        <v>298561.92203084275</v>
      </c>
      <c r="BJ882" s="20"/>
    </row>
    <row r="883" spans="37:62" x14ac:dyDescent="0.3">
      <c r="AK883">
        <v>879</v>
      </c>
      <c r="AL883">
        <v>439.5</v>
      </c>
      <c r="AN883" s="48">
        <f t="shared" si="233"/>
        <v>81524.378479800012</v>
      </c>
      <c r="AO883" s="48">
        <f t="shared" si="234"/>
        <v>-301347.7148426412</v>
      </c>
      <c r="AP883" s="20"/>
      <c r="AQ883" s="50">
        <f t="shared" si="235"/>
        <v>722.69433134362976</v>
      </c>
      <c r="AR883" s="50">
        <f t="shared" si="236"/>
        <v>-974.83587320319759</v>
      </c>
      <c r="AS883" s="20"/>
      <c r="AT883" s="52">
        <f t="shared" si="237"/>
        <v>-3.2384261629127664</v>
      </c>
      <c r="AU883" s="52">
        <f t="shared" si="238"/>
        <v>12.353133557781913</v>
      </c>
      <c r="AV883" s="20"/>
      <c r="AW883" s="20"/>
      <c r="AX883" s="20">
        <f t="shared" si="224"/>
        <v>-1.0299227453808015</v>
      </c>
      <c r="AY883" s="20">
        <f t="shared" si="225"/>
        <v>5.1701340872505783</v>
      </c>
      <c r="AZ883" s="20"/>
      <c r="BA883" s="20">
        <f t="shared" si="226"/>
        <v>-0.51880286068647963</v>
      </c>
      <c r="BB883" s="20">
        <f t="shared" si="227"/>
        <v>1.5910275694098368</v>
      </c>
      <c r="BC883" s="20"/>
      <c r="BD883" s="20">
        <f t="shared" si="228"/>
        <v>-1.6897005568454855</v>
      </c>
      <c r="BE883" s="20">
        <f t="shared" si="229"/>
        <v>5.5919719011214966</v>
      </c>
      <c r="BF883" s="20"/>
      <c r="BG883" s="54">
        <f t="shared" si="230"/>
        <v>314916.11599098431</v>
      </c>
      <c r="BH883" s="54">
        <f t="shared" si="231"/>
        <v>327482.21167483937</v>
      </c>
      <c r="BI883" s="54">
        <f t="shared" si="232"/>
        <v>299134.55478583253</v>
      </c>
      <c r="BJ883" s="20"/>
    </row>
    <row r="884" spans="37:62" x14ac:dyDescent="0.3">
      <c r="AK884">
        <v>880</v>
      </c>
      <c r="AL884">
        <v>440</v>
      </c>
      <c r="AN884" s="48">
        <f t="shared" si="233"/>
        <v>81885.320842201472</v>
      </c>
      <c r="AO884" s="48">
        <f t="shared" si="234"/>
        <v>-301833.58863754809</v>
      </c>
      <c r="AP884" s="20"/>
      <c r="AQ884" s="50">
        <f t="shared" si="235"/>
        <v>721.07511826217342</v>
      </c>
      <c r="AR884" s="50">
        <f t="shared" si="236"/>
        <v>-968.65930642430669</v>
      </c>
      <c r="AS884" s="20"/>
      <c r="AT884" s="52">
        <f t="shared" si="237"/>
        <v>-3.2356148722946663</v>
      </c>
      <c r="AU884" s="52">
        <f t="shared" si="238"/>
        <v>12.306184307582988</v>
      </c>
      <c r="AV884" s="20"/>
      <c r="AW884" s="20"/>
      <c r="AX884" s="20">
        <f t="shared" si="224"/>
        <v>-1.0305894106728131</v>
      </c>
      <c r="AY884" s="20">
        <f t="shared" si="225"/>
        <v>5.1513980452353163</v>
      </c>
      <c r="AZ884" s="20"/>
      <c r="BA884" s="20">
        <f t="shared" si="226"/>
        <v>-0.51792093529577743</v>
      </c>
      <c r="BB884" s="20">
        <f t="shared" si="227"/>
        <v>1.5851659743402535</v>
      </c>
      <c r="BC884" s="20"/>
      <c r="BD884" s="20">
        <f t="shared" si="228"/>
        <v>-1.6871045263260758</v>
      </c>
      <c r="BE884" s="20">
        <f t="shared" si="229"/>
        <v>5.5696202880074175</v>
      </c>
      <c r="BF884" s="20"/>
      <c r="BG884" s="54">
        <f t="shared" si="230"/>
        <v>315463.24983288627</v>
      </c>
      <c r="BH884" s="54">
        <f t="shared" si="231"/>
        <v>328056.10130843456</v>
      </c>
      <c r="BI884" s="54">
        <f t="shared" si="232"/>
        <v>299704.13168414356</v>
      </c>
      <c r="BJ884" s="20"/>
    </row>
    <row r="885" spans="37:62" x14ac:dyDescent="0.3">
      <c r="AK885">
        <v>881</v>
      </c>
      <c r="AL885">
        <v>440.5</v>
      </c>
      <c r="AN885" s="48">
        <f t="shared" si="233"/>
        <v>82245.453949473522</v>
      </c>
      <c r="AO885" s="48">
        <f t="shared" si="234"/>
        <v>-302316.38001772179</v>
      </c>
      <c r="AP885" s="20"/>
      <c r="AQ885" s="50">
        <f t="shared" si="235"/>
        <v>719.45731082602606</v>
      </c>
      <c r="AR885" s="50">
        <f t="shared" si="236"/>
        <v>-962.50621427051522</v>
      </c>
      <c r="AS885" s="20"/>
      <c r="AT885" s="52">
        <f t="shared" si="237"/>
        <v>-3.2328326534034622</v>
      </c>
      <c r="AU885" s="52">
        <f t="shared" si="238"/>
        <v>12.259733220328595</v>
      </c>
      <c r="AV885" s="20"/>
      <c r="AW885" s="20"/>
      <c r="AX885" s="20">
        <f t="shared" si="224"/>
        <v>-1.0312463392732276</v>
      </c>
      <c r="AY885" s="20">
        <f t="shared" si="225"/>
        <v>5.1328568990677441</v>
      </c>
      <c r="AZ885" s="20"/>
      <c r="BA885" s="20">
        <f t="shared" si="226"/>
        <v>-0.51704914550173486</v>
      </c>
      <c r="BB885" s="20">
        <f t="shared" si="227"/>
        <v>1.5793652546562893</v>
      </c>
      <c r="BC885" s="20"/>
      <c r="BD885" s="20">
        <f t="shared" si="228"/>
        <v>-1.6845371686284996</v>
      </c>
      <c r="BE885" s="20">
        <f t="shared" si="229"/>
        <v>5.5475110666045619</v>
      </c>
      <c r="BF885" s="20"/>
      <c r="BG885" s="54">
        <f t="shared" si="230"/>
        <v>316007.41425583896</v>
      </c>
      <c r="BH885" s="54">
        <f t="shared" si="231"/>
        <v>328626.9223309434</v>
      </c>
      <c r="BI885" s="54">
        <f t="shared" si="232"/>
        <v>300270.66367085814</v>
      </c>
      <c r="BJ885" s="20"/>
    </row>
    <row r="886" spans="37:62" x14ac:dyDescent="0.3">
      <c r="AK886">
        <v>882</v>
      </c>
      <c r="AL886">
        <v>441</v>
      </c>
      <c r="AN886" s="48">
        <f t="shared" si="233"/>
        <v>82604.778500804852</v>
      </c>
      <c r="AO886" s="48">
        <f t="shared" si="234"/>
        <v>-302796.10065820452</v>
      </c>
      <c r="AP886" s="20"/>
      <c r="AQ886" s="50">
        <f t="shared" si="235"/>
        <v>717.84089449932435</v>
      </c>
      <c r="AR886" s="50">
        <f t="shared" si="236"/>
        <v>-956.37634766035092</v>
      </c>
      <c r="AS886" s="20"/>
      <c r="AT886" s="52">
        <f t="shared" si="237"/>
        <v>-3.2300795474128625</v>
      </c>
      <c r="AU886" s="52">
        <f t="shared" si="238"/>
        <v>12.213773584731953</v>
      </c>
      <c r="AV886" s="20"/>
      <c r="AW886" s="20"/>
      <c r="AX886" s="20">
        <f t="shared" si="224"/>
        <v>-1.0318938813909637</v>
      </c>
      <c r="AY886" s="20">
        <f t="shared" si="225"/>
        <v>5.1145081151362817</v>
      </c>
      <c r="AZ886" s="20"/>
      <c r="BA886" s="20">
        <f t="shared" si="226"/>
        <v>-0.51618739374266476</v>
      </c>
      <c r="BB886" s="20">
        <f t="shared" si="227"/>
        <v>1.5736246043390685</v>
      </c>
      <c r="BC886" s="20"/>
      <c r="BD886" s="20">
        <f t="shared" si="228"/>
        <v>-1.6819982722792337</v>
      </c>
      <c r="BE886" s="20">
        <f t="shared" si="229"/>
        <v>5.5256408652566034</v>
      </c>
      <c r="BF886" s="20"/>
      <c r="BG886" s="54">
        <f t="shared" si="230"/>
        <v>316548.61929065723</v>
      </c>
      <c r="BH886" s="54">
        <f t="shared" si="231"/>
        <v>329194.6857988094</v>
      </c>
      <c r="BI886" s="54">
        <f t="shared" si="232"/>
        <v>300834.16157451679</v>
      </c>
      <c r="BJ886" s="20"/>
    </row>
    <row r="887" spans="37:62" x14ac:dyDescent="0.3">
      <c r="AK887">
        <v>883</v>
      </c>
      <c r="AL887">
        <v>441.5</v>
      </c>
      <c r="AN887" s="48">
        <f t="shared" si="233"/>
        <v>82963.295188111093</v>
      </c>
      <c r="AO887" s="48">
        <f t="shared" si="234"/>
        <v>-303272.76211033657</v>
      </c>
      <c r="AP887" s="20"/>
      <c r="AQ887" s="50">
        <f t="shared" si="235"/>
        <v>716.22585472561786</v>
      </c>
      <c r="AR887" s="50">
        <f t="shared" si="236"/>
        <v>-950.26946086798489</v>
      </c>
      <c r="AS887" s="20"/>
      <c r="AT887" s="52">
        <f t="shared" si="237"/>
        <v>-3.2273555912027305</v>
      </c>
      <c r="AU887" s="52">
        <f t="shared" si="238"/>
        <v>12.168298812220023</v>
      </c>
      <c r="AV887" s="20"/>
      <c r="AW887" s="20"/>
      <c r="AX887" s="20">
        <f t="shared" si="224"/>
        <v>-1.0325323789155343</v>
      </c>
      <c r="AY887" s="20">
        <f t="shared" si="225"/>
        <v>5.0963492048066641</v>
      </c>
      <c r="AZ887" s="20"/>
      <c r="BA887" s="20">
        <f t="shared" si="226"/>
        <v>-0.51533558403156809</v>
      </c>
      <c r="BB887" s="20">
        <f t="shared" si="227"/>
        <v>1.567943231890212</v>
      </c>
      <c r="BC887" s="20"/>
      <c r="BD887" s="20">
        <f t="shared" si="228"/>
        <v>-1.6794876282556281</v>
      </c>
      <c r="BE887" s="20">
        <f t="shared" si="229"/>
        <v>5.5040063755231481</v>
      </c>
      <c r="BF887" s="20"/>
      <c r="BG887" s="54">
        <f t="shared" si="230"/>
        <v>317086.87486339302</v>
      </c>
      <c r="BH887" s="54">
        <f t="shared" si="231"/>
        <v>329759.40265022562</v>
      </c>
      <c r="BI887" s="54">
        <f t="shared" si="232"/>
        <v>301394.63610866317</v>
      </c>
      <c r="BJ887" s="20"/>
    </row>
    <row r="888" spans="37:62" x14ac:dyDescent="0.3">
      <c r="AK888">
        <v>884</v>
      </c>
      <c r="AL888">
        <v>442</v>
      </c>
      <c r="AN888" s="48">
        <f t="shared" si="233"/>
        <v>83321.004696024989</v>
      </c>
      <c r="AO888" s="48">
        <f t="shared" si="234"/>
        <v>-303746.37580341904</v>
      </c>
      <c r="AP888" s="20"/>
      <c r="AQ888" s="50">
        <f t="shared" si="235"/>
        <v>714.61217693001652</v>
      </c>
      <c r="AR888" s="50">
        <f t="shared" si="236"/>
        <v>-944.1853114618749</v>
      </c>
      <c r="AS888" s="20"/>
      <c r="AT888" s="52">
        <f t="shared" si="237"/>
        <v>-3.2246608175461811</v>
      </c>
      <c r="AU888" s="52">
        <f t="shared" si="238"/>
        <v>12.123302434210236</v>
      </c>
      <c r="AV888" s="20"/>
      <c r="AW888" s="20"/>
      <c r="AX888" s="20">
        <f t="shared" si="224"/>
        <v>-1.0331621656480252</v>
      </c>
      <c r="AY888" s="20">
        <f t="shared" si="225"/>
        <v>5.078377723456212</v>
      </c>
      <c r="AZ888" s="20"/>
      <c r="BA888" s="20">
        <f t="shared" si="226"/>
        <v>-0.51449362192731185</v>
      </c>
      <c r="BB888" s="20">
        <f t="shared" si="227"/>
        <v>1.562320360013677</v>
      </c>
      <c r="BC888" s="20"/>
      <c r="BD888" s="20">
        <f t="shared" si="228"/>
        <v>-1.6770050299708437</v>
      </c>
      <c r="BE888" s="20">
        <f t="shared" si="229"/>
        <v>5.4826043507403472</v>
      </c>
      <c r="BF888" s="20"/>
      <c r="BG888" s="54">
        <f t="shared" si="230"/>
        <v>317622.19079667149</v>
      </c>
      <c r="BH888" s="54">
        <f t="shared" si="231"/>
        <v>330321.08370671142</v>
      </c>
      <c r="BI888" s="54">
        <f t="shared" si="232"/>
        <v>301952.09787336231</v>
      </c>
      <c r="BJ888" s="20"/>
    </row>
    <row r="889" spans="37:62" x14ac:dyDescent="0.3">
      <c r="AK889">
        <v>885</v>
      </c>
      <c r="AL889">
        <v>442.5</v>
      </c>
      <c r="AN889" s="48">
        <f t="shared" si="233"/>
        <v>83677.907701887802</v>
      </c>
      <c r="AO889" s="48">
        <f t="shared" si="234"/>
        <v>-304216.95304634573</v>
      </c>
      <c r="AP889" s="20"/>
      <c r="AQ889" s="50">
        <f t="shared" si="235"/>
        <v>712.9998465212434</v>
      </c>
      <c r="AR889" s="50">
        <f t="shared" si="236"/>
        <v>-938.12366024476978</v>
      </c>
      <c r="AS889" s="20"/>
      <c r="AT889" s="52">
        <f t="shared" si="237"/>
        <v>-3.2219952552898965</v>
      </c>
      <c r="AU889" s="52">
        <f t="shared" si="238"/>
        <v>12.078778099459264</v>
      </c>
      <c r="AV889" s="20"/>
      <c r="AW889" s="20"/>
      <c r="AX889" s="20">
        <f t="shared" si="224"/>
        <v>-1.0337835675250371</v>
      </c>
      <c r="AY889" s="20">
        <f t="shared" si="225"/>
        <v>5.0605912695327522</v>
      </c>
      <c r="AZ889" s="20"/>
      <c r="BA889" s="20">
        <f t="shared" si="226"/>
        <v>-0.51366141450644454</v>
      </c>
      <c r="BB889" s="20">
        <f t="shared" si="227"/>
        <v>1.5567552253058456</v>
      </c>
      <c r="BC889" s="20"/>
      <c r="BD889" s="20">
        <f t="shared" si="228"/>
        <v>-1.674550273258415</v>
      </c>
      <c r="BE889" s="20">
        <f t="shared" si="229"/>
        <v>5.4614316046206666</v>
      </c>
      <c r="BF889" s="20"/>
      <c r="BG889" s="54">
        <f t="shared" si="230"/>
        <v>318154.57681100216</v>
      </c>
      <c r="BH889" s="54">
        <f t="shared" si="231"/>
        <v>330879.73967465974</v>
      </c>
      <c r="BI889" s="54">
        <f t="shared" si="232"/>
        <v>302506.55735669052</v>
      </c>
      <c r="BJ889" s="20"/>
    </row>
    <row r="890" spans="37:62" x14ac:dyDescent="0.3">
      <c r="AK890">
        <v>886</v>
      </c>
      <c r="AL890">
        <v>443</v>
      </c>
      <c r="AN890" s="48">
        <f t="shared" si="233"/>
        <v>84034.004875741506</v>
      </c>
      <c r="AO890" s="48">
        <f t="shared" si="234"/>
        <v>-304684.5050292057</v>
      </c>
      <c r="AP890" s="20"/>
      <c r="AQ890" s="50">
        <f t="shared" si="235"/>
        <v>711.38884889359849</v>
      </c>
      <c r="AR890" s="50">
        <f t="shared" si="236"/>
        <v>-932.08427119504017</v>
      </c>
      <c r="AS890" s="20"/>
      <c r="AT890" s="52">
        <f t="shared" si="237"/>
        <v>-3.2193589295278802</v>
      </c>
      <c r="AU890" s="52">
        <f t="shared" si="238"/>
        <v>12.034719571481579</v>
      </c>
      <c r="AV890" s="20"/>
      <c r="AW890" s="20"/>
      <c r="AX890" s="20">
        <f t="shared" si="224"/>
        <v>-1.0343969028358655</v>
      </c>
      <c r="AY890" s="20">
        <f t="shared" si="225"/>
        <v>5.0429874836376714</v>
      </c>
      <c r="AZ890" s="20"/>
      <c r="BA890" s="20">
        <f t="shared" si="226"/>
        <v>-0.51283887033564568</v>
      </c>
      <c r="BB890" s="20">
        <f t="shared" si="227"/>
        <v>1.5512470779536487</v>
      </c>
      <c r="BC890" s="20"/>
      <c r="BD890" s="20">
        <f t="shared" si="228"/>
        <v>-1.6721231563563692</v>
      </c>
      <c r="BE890" s="20">
        <f t="shared" si="229"/>
        <v>5.4404850098902591</v>
      </c>
      <c r="BF890" s="20"/>
      <c r="BG890" s="54">
        <f t="shared" si="230"/>
        <v>318684.04252606787</v>
      </c>
      <c r="BH890" s="54">
        <f t="shared" si="231"/>
        <v>331435.38114685641</v>
      </c>
      <c r="BI890" s="54">
        <f t="shared" si="232"/>
        <v>303058.02493619843</v>
      </c>
      <c r="BJ890" s="20"/>
    </row>
    <row r="891" spans="37:62" x14ac:dyDescent="0.3">
      <c r="AK891">
        <v>887</v>
      </c>
      <c r="AL891">
        <v>443.5</v>
      </c>
      <c r="AN891" s="48">
        <f t="shared" si="233"/>
        <v>84389.296880322116</v>
      </c>
      <c r="AO891" s="48">
        <f t="shared" si="234"/>
        <v>-305149.04282485676</v>
      </c>
      <c r="AP891" s="20"/>
      <c r="AQ891" s="50">
        <f t="shared" si="235"/>
        <v>709.77916942883451</v>
      </c>
      <c r="AR891" s="50">
        <f t="shared" si="236"/>
        <v>-926.06691140929934</v>
      </c>
      <c r="AS891" s="20"/>
      <c r="AT891" s="52">
        <f t="shared" si="237"/>
        <v>-3.2167518617687865</v>
      </c>
      <c r="AU891" s="52">
        <f t="shared" si="238"/>
        <v>11.991120726035145</v>
      </c>
      <c r="AV891" s="20"/>
      <c r="AW891" s="20"/>
      <c r="AX891" s="20">
        <f t="shared" si="224"/>
        <v>-1.0350024824330322</v>
      </c>
      <c r="AY891" s="20">
        <f t="shared" si="225"/>
        <v>5.0255640476318142</v>
      </c>
      <c r="AZ891" s="20"/>
      <c r="BA891" s="20">
        <f t="shared" si="226"/>
        <v>-0.51202589944483656</v>
      </c>
      <c r="BB891" s="20">
        <f t="shared" si="227"/>
        <v>1.545795181440623</v>
      </c>
      <c r="BC891" s="20"/>
      <c r="BD891" s="20">
        <f t="shared" si="228"/>
        <v>-1.6697234798909175</v>
      </c>
      <c r="BE891" s="20">
        <f t="shared" si="229"/>
        <v>5.4197614969627095</v>
      </c>
      <c r="BF891" s="20"/>
      <c r="BG891" s="54">
        <f t="shared" si="230"/>
        <v>319210.59746199119</v>
      </c>
      <c r="BH891" s="54">
        <f t="shared" si="231"/>
        <v>331988.01860397228</v>
      </c>
      <c r="BI891" s="54">
        <f t="shared" si="232"/>
        <v>303606.5108803481</v>
      </c>
      <c r="BJ891" s="20"/>
    </row>
    <row r="892" spans="37:62" x14ac:dyDescent="0.3">
      <c r="AK892">
        <v>888</v>
      </c>
      <c r="AL892">
        <v>444</v>
      </c>
      <c r="AN892" s="48">
        <f t="shared" si="233"/>
        <v>84743.784371053815</v>
      </c>
      <c r="AO892" s="48">
        <f t="shared" si="234"/>
        <v>-305610.57739047066</v>
      </c>
      <c r="AP892" s="20"/>
      <c r="AQ892" s="50">
        <f t="shared" si="235"/>
        <v>708.17079349795006</v>
      </c>
      <c r="AR892" s="50">
        <f t="shared" si="236"/>
        <v>-920.07135104628173</v>
      </c>
      <c r="AS892" s="20"/>
      <c r="AT892" s="52">
        <f t="shared" si="237"/>
        <v>-3.2141740700973109</v>
      </c>
      <c r="AU892" s="52">
        <f t="shared" si="238"/>
        <v>11.947975548673277</v>
      </c>
      <c r="AV892" s="20"/>
      <c r="AW892" s="20"/>
      <c r="AX892" s="20">
        <f t="shared" si="224"/>
        <v>-1.0356006099365775</v>
      </c>
      <c r="AY892" s="20">
        <f t="shared" si="225"/>
        <v>5.008318683764446</v>
      </c>
      <c r="AZ892" s="20"/>
      <c r="BA892" s="20">
        <f t="shared" si="226"/>
        <v>-0.51122241330085016</v>
      </c>
      <c r="BB892" s="20">
        <f t="shared" si="227"/>
        <v>1.540398812260404</v>
      </c>
      <c r="BC892" s="20"/>
      <c r="BD892" s="20">
        <f t="shared" si="228"/>
        <v>-1.6673510468598833</v>
      </c>
      <c r="BE892" s="20">
        <f t="shared" si="229"/>
        <v>5.3992580526484275</v>
      </c>
      <c r="BF892" s="20"/>
      <c r="BG892" s="54">
        <f t="shared" si="230"/>
        <v>319734.25104057812</v>
      </c>
      <c r="BH892" s="54">
        <f t="shared" si="231"/>
        <v>332537.6624160278</v>
      </c>
      <c r="BI892" s="54">
        <f t="shared" si="232"/>
        <v>304152.02534992422</v>
      </c>
      <c r="BJ892" s="20"/>
    </row>
    <row r="893" spans="37:62" x14ac:dyDescent="0.3">
      <c r="AK893">
        <v>889</v>
      </c>
      <c r="AL893">
        <v>444.5</v>
      </c>
      <c r="AN893" s="48">
        <f t="shared" si="233"/>
        <v>85097.467996044041</v>
      </c>
      <c r="AO893" s="48">
        <f t="shared" si="234"/>
        <v>-306069.11956905026</v>
      </c>
      <c r="AP893" s="20"/>
      <c r="AQ893" s="50">
        <f t="shared" si="235"/>
        <v>706.56370646290145</v>
      </c>
      <c r="AR893" s="50">
        <f t="shared" si="236"/>
        <v>-914.09736327194514</v>
      </c>
      <c r="AS893" s="20"/>
      <c r="AT893" s="52">
        <f t="shared" si="237"/>
        <v>-3.2116255693296449</v>
      </c>
      <c r="AU893" s="52">
        <f t="shared" si="238"/>
        <v>11.905278132359644</v>
      </c>
      <c r="AV893" s="20"/>
      <c r="AW893" s="20"/>
      <c r="AX893" s="20">
        <f t="shared" si="224"/>
        <v>-1.036191581932151</v>
      </c>
      <c r="AY893" s="20">
        <f t="shared" si="225"/>
        <v>4.99124915382379</v>
      </c>
      <c r="AZ893" s="20"/>
      <c r="BA893" s="20">
        <f t="shared" si="226"/>
        <v>-0.51042832478172406</v>
      </c>
      <c r="BB893" s="20">
        <f t="shared" si="227"/>
        <v>1.535057259637667</v>
      </c>
      <c r="BC893" s="20"/>
      <c r="BD893" s="20">
        <f t="shared" si="228"/>
        <v>-1.6650056626157699</v>
      </c>
      <c r="BE893" s="20">
        <f t="shared" si="229"/>
        <v>5.3789717188981863</v>
      </c>
      <c r="BF893" s="20"/>
      <c r="BG893" s="54">
        <f t="shared" si="230"/>
        <v>320255.01258654066</v>
      </c>
      <c r="BH893" s="54">
        <f t="shared" si="231"/>
        <v>333084.32284383196</v>
      </c>
      <c r="BI893" s="54">
        <f t="shared" si="232"/>
        <v>304694.57839941996</v>
      </c>
      <c r="BJ893" s="20"/>
    </row>
    <row r="894" spans="37:62" x14ac:dyDescent="0.3">
      <c r="AK894">
        <v>890</v>
      </c>
      <c r="AL894">
        <v>445</v>
      </c>
      <c r="AN894" s="48">
        <f t="shared" si="233"/>
        <v>85450.348396079324</v>
      </c>
      <c r="AO894" s="48">
        <f t="shared" si="234"/>
        <v>-306524.68009091972</v>
      </c>
      <c r="AP894" s="20"/>
      <c r="AQ894" s="50">
        <f t="shared" si="235"/>
        <v>704.95789367823659</v>
      </c>
      <c r="AR894" s="50">
        <f t="shared" si="236"/>
        <v>-908.14472420576533</v>
      </c>
      <c r="AS894" s="20"/>
      <c r="AT894" s="52">
        <f t="shared" si="237"/>
        <v>-3.2091063711633856</v>
      </c>
      <c r="AU894" s="52">
        <f t="shared" si="238"/>
        <v>11.863022675145324</v>
      </c>
      <c r="AV894" s="20"/>
      <c r="AW894" s="20"/>
      <c r="AX894" s="20">
        <f t="shared" si="224"/>
        <v>-1.0367756881632264</v>
      </c>
      <c r="AY894" s="20">
        <f t="shared" si="225"/>
        <v>4.9743532583090593</v>
      </c>
      <c r="AZ894" s="20"/>
      <c r="BA894" s="20">
        <f t="shared" si="226"/>
        <v>-0.5096435481515641</v>
      </c>
      <c r="BB894" s="20">
        <f t="shared" si="227"/>
        <v>1.5297698252561944</v>
      </c>
      <c r="BC894" s="20"/>
      <c r="BD894" s="20">
        <f t="shared" si="228"/>
        <v>-1.662687134848595</v>
      </c>
      <c r="BE894" s="20">
        <f t="shared" si="229"/>
        <v>5.3588995915800703</v>
      </c>
      <c r="BF894" s="20"/>
      <c r="BG894" s="54">
        <f t="shared" si="230"/>
        <v>320772.89132869791</v>
      </c>
      <c r="BH894" s="54">
        <f t="shared" si="231"/>
        <v>333628.0100403945</v>
      </c>
      <c r="BI894" s="54">
        <f t="shared" si="232"/>
        <v>305234.17997839826</v>
      </c>
      <c r="BJ894" s="20"/>
    </row>
    <row r="895" spans="37:62" x14ac:dyDescent="0.3">
      <c r="AK895">
        <v>891</v>
      </c>
      <c r="AL895">
        <v>445.5</v>
      </c>
      <c r="AN895" s="48">
        <f t="shared" si="233"/>
        <v>85802.426204622054</v>
      </c>
      <c r="AO895" s="48">
        <f t="shared" si="234"/>
        <v>-306977.26957518817</v>
      </c>
      <c r="AP895" s="20"/>
      <c r="AQ895" s="50">
        <f t="shared" si="235"/>
        <v>703.35334049265487</v>
      </c>
      <c r="AR895" s="50">
        <f t="shared" si="236"/>
        <v>-902.21321286819261</v>
      </c>
      <c r="AS895" s="20"/>
      <c r="AT895" s="52">
        <f t="shared" si="237"/>
        <v>-3.20661648432195</v>
      </c>
      <c r="AU895" s="52">
        <f t="shared" si="238"/>
        <v>11.821203477905387</v>
      </c>
      <c r="AV895" s="20"/>
      <c r="AW895" s="20"/>
      <c r="AX895" s="20">
        <f t="shared" si="224"/>
        <v>-1.0373532117175721</v>
      </c>
      <c r="AY895" s="20">
        <f t="shared" si="225"/>
        <v>4.9576288356230815</v>
      </c>
      <c r="AZ895" s="20"/>
      <c r="BA895" s="20">
        <f t="shared" si="226"/>
        <v>-0.50886799903598368</v>
      </c>
      <c r="BB895" s="20">
        <f t="shared" si="227"/>
        <v>1.524535822993907</v>
      </c>
      <c r="BC895" s="20"/>
      <c r="BD895" s="20">
        <f t="shared" si="228"/>
        <v>-1.660395273568394</v>
      </c>
      <c r="BE895" s="20">
        <f t="shared" si="229"/>
        <v>5.3390388192883984</v>
      </c>
      <c r="BF895" s="20"/>
      <c r="BG895" s="54">
        <f t="shared" si="230"/>
        <v>321287.89640115655</v>
      </c>
      <c r="BH895" s="54">
        <f t="shared" si="231"/>
        <v>334168.73405231378</v>
      </c>
      <c r="BI895" s="54">
        <f t="shared" si="232"/>
        <v>305770.83993282932</v>
      </c>
      <c r="BJ895" s="20"/>
    </row>
    <row r="896" spans="37:62" x14ac:dyDescent="0.3">
      <c r="AK896">
        <v>892</v>
      </c>
      <c r="AL896">
        <v>446</v>
      </c>
      <c r="AN896" s="48">
        <f t="shared" si="233"/>
        <v>86153.702047807834</v>
      </c>
      <c r="AO896" s="48">
        <f t="shared" si="234"/>
        <v>-307426.89853118756</v>
      </c>
      <c r="AP896" s="20"/>
      <c r="AQ896" s="50">
        <f t="shared" si="235"/>
        <v>701.75003225049386</v>
      </c>
      <c r="AR896" s="50">
        <f t="shared" si="236"/>
        <v>-896.30261112923995</v>
      </c>
      <c r="AS896" s="20"/>
      <c r="AT896" s="52">
        <f t="shared" si="237"/>
        <v>-3.2041559146937866</v>
      </c>
      <c r="AU896" s="52">
        <f t="shared" si="238"/>
        <v>11.779814942133511</v>
      </c>
      <c r="AV896" s="20"/>
      <c r="AW896" s="20"/>
      <c r="AX896" s="20">
        <f t="shared" si="224"/>
        <v>-1.0379244292081564</v>
      </c>
      <c r="AY896" s="20">
        <f t="shared" si="225"/>
        <v>4.9410737612848301</v>
      </c>
      <c r="AZ896" s="20"/>
      <c r="BA896" s="20">
        <f t="shared" si="226"/>
        <v>-0.50810159439802682</v>
      </c>
      <c r="BB896" s="20">
        <f t="shared" si="227"/>
        <v>1.5193545786644351</v>
      </c>
      <c r="BC896" s="20"/>
      <c r="BD896" s="20">
        <f t="shared" si="228"/>
        <v>-1.6581298910876032</v>
      </c>
      <c r="BE896" s="20">
        <f t="shared" si="229"/>
        <v>5.3193866021842453</v>
      </c>
      <c r="BF896" s="20"/>
      <c r="BG896" s="54">
        <f t="shared" si="230"/>
        <v>321800.03684447124</v>
      </c>
      <c r="BH896" s="54">
        <f t="shared" si="231"/>
        <v>334706.50482113968</v>
      </c>
      <c r="BI896" s="54">
        <f t="shared" si="232"/>
        <v>306304.56800640433</v>
      </c>
      <c r="BJ896" s="20"/>
    </row>
    <row r="897" spans="37:62" x14ac:dyDescent="0.3">
      <c r="AK897">
        <v>893</v>
      </c>
      <c r="AL897">
        <v>446.5</v>
      </c>
      <c r="AN897" s="48">
        <f t="shared" si="233"/>
        <v>86504.176544443748</v>
      </c>
      <c r="AO897" s="48">
        <f t="shared" si="234"/>
        <v>-307873.5773598844</v>
      </c>
      <c r="AP897" s="20"/>
      <c r="AQ897" s="50">
        <f t="shared" si="235"/>
        <v>700.147954293147</v>
      </c>
      <c r="AR897" s="50">
        <f t="shared" si="236"/>
        <v>-890.4127036581732</v>
      </c>
      <c r="AS897" s="20"/>
      <c r="AT897" s="52">
        <f t="shared" si="237"/>
        <v>-3.2017246654667488</v>
      </c>
      <c r="AU897" s="52">
        <f t="shared" si="238"/>
        <v>11.738851567793649</v>
      </c>
      <c r="AV897" s="20"/>
      <c r="AW897" s="20"/>
      <c r="AX897" s="20">
        <f t="shared" si="224"/>
        <v>-1.0384896109488209</v>
      </c>
      <c r="AY897" s="20">
        <f t="shared" si="225"/>
        <v>4.924685947162021</v>
      </c>
      <c r="AZ897" s="20"/>
      <c r="BA897" s="20">
        <f t="shared" si="226"/>
        <v>-0.5073442525147337</v>
      </c>
      <c r="BB897" s="20">
        <f t="shared" si="227"/>
        <v>1.5142254297655366</v>
      </c>
      <c r="BC897" s="20"/>
      <c r="BD897" s="20">
        <f t="shared" si="228"/>
        <v>-1.6558908020031946</v>
      </c>
      <c r="BE897" s="20">
        <f t="shared" si="229"/>
        <v>5.2999401908660904</v>
      </c>
      <c r="BF897" s="20"/>
      <c r="BG897" s="54">
        <f t="shared" si="230"/>
        <v>322309.3216067843</v>
      </c>
      <c r="BH897" s="54">
        <f t="shared" si="231"/>
        <v>335241.33218471205</v>
      </c>
      <c r="BI897" s="54">
        <f t="shared" si="232"/>
        <v>306835.3738418257</v>
      </c>
      <c r="BJ897" s="20"/>
    </row>
    <row r="898" spans="37:62" x14ac:dyDescent="0.3">
      <c r="AK898">
        <v>894</v>
      </c>
      <c r="AL898">
        <v>447</v>
      </c>
      <c r="AN898" s="48">
        <f t="shared" si="233"/>
        <v>86853.850306007138</v>
      </c>
      <c r="AO898" s="48">
        <f t="shared" si="234"/>
        <v>-308317.31635526754</v>
      </c>
      <c r="AP898" s="20"/>
      <c r="AQ898" s="50">
        <f t="shared" si="235"/>
        <v>698.54709196041358</v>
      </c>
      <c r="AR898" s="50">
        <f t="shared" si="236"/>
        <v>-884.54327787427633</v>
      </c>
      <c r="AS898" s="20"/>
      <c r="AT898" s="52">
        <f t="shared" si="237"/>
        <v>-3.1993227372574209</v>
      </c>
      <c r="AU898" s="52">
        <f t="shared" si="238"/>
        <v>11.698307951225452</v>
      </c>
      <c r="AV898" s="20"/>
      <c r="AW898" s="20"/>
      <c r="AX898" s="20">
        <f t="shared" si="224"/>
        <v>-1.0390490211246139</v>
      </c>
      <c r="AY898" s="20">
        <f t="shared" si="225"/>
        <v>4.9084633407218652</v>
      </c>
      <c r="AZ898" s="20"/>
      <c r="BA898" s="20">
        <f t="shared" si="226"/>
        <v>-0.50659589295412155</v>
      </c>
      <c r="BB898" s="20">
        <f t="shared" si="227"/>
        <v>1.5091477252335443</v>
      </c>
      <c r="BC898" s="20"/>
      <c r="BD898" s="20">
        <f t="shared" si="228"/>
        <v>-1.6536778231786851</v>
      </c>
      <c r="BE898" s="20">
        <f t="shared" si="229"/>
        <v>5.280696885270042</v>
      </c>
      <c r="BF898" s="20"/>
      <c r="BG898" s="54">
        <f t="shared" si="230"/>
        <v>322815.75954494718</v>
      </c>
      <c r="BH898" s="54">
        <f t="shared" si="231"/>
        <v>335773.22587847599</v>
      </c>
      <c r="BI898" s="54">
        <f t="shared" si="232"/>
        <v>307363.26698207523</v>
      </c>
      <c r="BJ898" s="20"/>
    </row>
    <row r="899" spans="37:62" x14ac:dyDescent="0.3">
      <c r="AK899">
        <v>895</v>
      </c>
      <c r="AL899">
        <v>447.5</v>
      </c>
      <c r="AN899" s="48">
        <f t="shared" si="233"/>
        <v>87202.723936645183</v>
      </c>
      <c r="AO899" s="48">
        <f t="shared" si="234"/>
        <v>-308758.12570571073</v>
      </c>
      <c r="AP899" s="20"/>
      <c r="AQ899" s="50">
        <f t="shared" si="235"/>
        <v>696.94743059178484</v>
      </c>
      <c r="AR899" s="50">
        <f t="shared" si="236"/>
        <v>-878.69412389866363</v>
      </c>
      <c r="AS899" s="20"/>
      <c r="AT899" s="52">
        <f t="shared" si="237"/>
        <v>-3.1969501282358843</v>
      </c>
      <c r="AU899" s="52">
        <f t="shared" si="238"/>
        <v>11.658178783103226</v>
      </c>
      <c r="AV899" s="20"/>
      <c r="AW899" s="20"/>
      <c r="AX899" s="20">
        <f t="shared" si="224"/>
        <v>-1.039602917957259</v>
      </c>
      <c r="AY899" s="20">
        <f t="shared" si="225"/>
        <v>4.8924039243008641</v>
      </c>
      <c r="AZ899" s="20"/>
      <c r="BA899" s="20">
        <f t="shared" si="226"/>
        <v>-0.5058564365527376</v>
      </c>
      <c r="BB899" s="20">
        <f t="shared" si="227"/>
        <v>1.5041208252041591</v>
      </c>
      <c r="BC899" s="20"/>
      <c r="BD899" s="20">
        <f t="shared" si="228"/>
        <v>-1.6514907737258875</v>
      </c>
      <c r="BE899" s="20">
        <f t="shared" si="229"/>
        <v>5.2616540335982034</v>
      </c>
      <c r="BF899" s="20"/>
      <c r="BG899" s="54">
        <f t="shared" si="230"/>
        <v>323319.35942562128</v>
      </c>
      <c r="BH899" s="54">
        <f t="shared" si="231"/>
        <v>336302.19553677348</v>
      </c>
      <c r="BI899" s="54">
        <f t="shared" si="232"/>
        <v>307888.25687166007</v>
      </c>
      <c r="BJ899" s="20"/>
    </row>
    <row r="900" spans="37:62" x14ac:dyDescent="0.3">
      <c r="AK900">
        <v>896</v>
      </c>
      <c r="AL900">
        <v>448</v>
      </c>
      <c r="AN900" s="48">
        <f t="shared" si="233"/>
        <v>87550.798033175059</v>
      </c>
      <c r="AO900" s="48">
        <f t="shared" si="234"/>
        <v>-309196.01549531217</v>
      </c>
      <c r="AP900" s="20"/>
      <c r="AQ900" s="50">
        <f t="shared" si="235"/>
        <v>695.34895552766693</v>
      </c>
      <c r="AR900" s="50">
        <f t="shared" si="236"/>
        <v>-872.865034507112</v>
      </c>
      <c r="AS900" s="20"/>
      <c r="AT900" s="52">
        <f t="shared" si="237"/>
        <v>-3.1946068342460805</v>
      </c>
      <c r="AU900" s="52">
        <f t="shared" si="238"/>
        <v>11.618458846446515</v>
      </c>
      <c r="AV900" s="20"/>
      <c r="AW900" s="20"/>
      <c r="AX900" s="20">
        <f t="shared" ref="AX900:AX963" si="239">Masse_1*(q_1x-AN900)/($BG900^2+Aarseth_1^2)^(3/2)</f>
        <v>-1.0401515538657105</v>
      </c>
      <c r="AY900" s="20">
        <f t="shared" ref="AY900:AY963" si="240">Masse_1*(q_1y-AO900)/($BG900^2+Aarseth_1^2)^(3/2)</f>
        <v>4.876505714392148</v>
      </c>
      <c r="AZ900" s="20"/>
      <c r="BA900" s="20">
        <f t="shared" ref="BA900:BA963" si="241">Masse_2*(q_2x-AN900)/($BH900^2+Aarseth_2^2)^(3/2)</f>
        <v>-0.50512580539367147</v>
      </c>
      <c r="BB900" s="20">
        <f t="shared" ref="BB900:BB963" si="242">Masse_2*(q_2y-AO900)/($BH900^2+Aarseth_2^2)^(3/2)</f>
        <v>1.4991441007791149</v>
      </c>
      <c r="BC900" s="20"/>
      <c r="BD900" s="20">
        <f t="shared" ref="BD900:BD963" si="243">Masse_3*(q_3x-AN900)/($BI900^2+Aarseth_3^2)^(3/2)</f>
        <v>-1.6493294749866987</v>
      </c>
      <c r="BE900" s="20">
        <f t="shared" ref="BE900:BE963" si="244">Masse_3*(q_3y-AO900)/($BI900^2+Aarseth_3^2)^(3/2)</f>
        <v>5.2428090312752511</v>
      </c>
      <c r="BF900" s="20"/>
      <c r="BG900" s="54">
        <f t="shared" ref="BG900:BG963" si="245">SQRT((q_1x-AN900)^2+(q_1y-AO900)^2)</f>
        <v>323820.12992636178</v>
      </c>
      <c r="BH900" s="54">
        <f t="shared" ref="BH900:BH963" si="246">SQRT((q_2x-AN900)^2+(q_2y-AO900)^2)</f>
        <v>336828.2506941132</v>
      </c>
      <c r="BI900" s="54">
        <f t="shared" ref="BI900:BI963" si="247">SQRT((q_3x-AN900)^2+(q_3y-AO900)^2)</f>
        <v>308410.35285783699</v>
      </c>
      <c r="BJ900" s="20"/>
    </row>
    <row r="901" spans="37:62" x14ac:dyDescent="0.3">
      <c r="AK901">
        <v>897</v>
      </c>
      <c r="AL901">
        <v>448.5</v>
      </c>
      <c r="AN901" s="48">
        <f t="shared" ref="AN901:AN964" si="248">AN900+(AQ900*bt)+(0.5*AT900)*bt^2</f>
        <v>87898.07318508462</v>
      </c>
      <c r="AO901" s="48">
        <f t="shared" ref="AO901:AO964" si="249">AO900+(AR900*bt)+(0.5*AU900)*bt^2</f>
        <v>-309630.99570520991</v>
      </c>
      <c r="AP901" s="20"/>
      <c r="AQ901" s="50">
        <f t="shared" ref="AQ901:AQ964" si="250">AQ900+(AT900*bt)</f>
        <v>693.75165211054389</v>
      </c>
      <c r="AR901" s="50">
        <f t="shared" ref="AR901:AR964" si="251">AR900+(AU900*bt)</f>
        <v>-867.0558050838888</v>
      </c>
      <c r="AS901" s="20"/>
      <c r="AT901" s="52">
        <f t="shared" si="237"/>
        <v>-3.1922928489218361</v>
      </c>
      <c r="AU901" s="52">
        <f t="shared" si="238"/>
        <v>11.579143014680687</v>
      </c>
      <c r="AV901" s="20"/>
      <c r="AW901" s="20"/>
      <c r="AX901" s="20">
        <f t="shared" si="239"/>
        <v>-1.0406951756220983</v>
      </c>
      <c r="AY901" s="20">
        <f t="shared" si="240"/>
        <v>4.8607667609505096</v>
      </c>
      <c r="AZ901" s="20"/>
      <c r="BA901" s="20">
        <f t="shared" si="241"/>
        <v>-0.50440392278506885</v>
      </c>
      <c r="BB901" s="20">
        <f t="shared" si="242"/>
        <v>1.4942169337987043</v>
      </c>
      <c r="BC901" s="20"/>
      <c r="BD901" s="20">
        <f t="shared" si="243"/>
        <v>-1.6471937505146685</v>
      </c>
      <c r="BE901" s="20">
        <f t="shared" si="244"/>
        <v>5.2241593199314735</v>
      </c>
      <c r="BF901" s="20"/>
      <c r="BG901" s="54">
        <f t="shared" si="245"/>
        <v>324318.07963668159</v>
      </c>
      <c r="BH901" s="54">
        <f t="shared" si="246"/>
        <v>337351.40078641707</v>
      </c>
      <c r="BI901" s="54">
        <f t="shared" si="247"/>
        <v>308929.56419181504</v>
      </c>
      <c r="BJ901" s="20"/>
    </row>
    <row r="902" spans="37:62" x14ac:dyDescent="0.3">
      <c r="AK902">
        <v>898</v>
      </c>
      <c r="AL902">
        <v>449</v>
      </c>
      <c r="AN902" s="48">
        <f t="shared" si="248"/>
        <v>88244.549974533773</v>
      </c>
      <c r="AO902" s="48">
        <f t="shared" si="249"/>
        <v>-310063.07621487504</v>
      </c>
      <c r="AP902" s="20"/>
      <c r="AQ902" s="50">
        <f t="shared" si="250"/>
        <v>692.15550568608296</v>
      </c>
      <c r="AR902" s="50">
        <f t="shared" si="251"/>
        <v>-861.26623357654842</v>
      </c>
      <c r="AS902" s="20"/>
      <c r="AT902" s="52">
        <f t="shared" si="237"/>
        <v>-3.1900081637986997</v>
      </c>
      <c r="AU902" s="52">
        <f t="shared" si="238"/>
        <v>11.540226249745864</v>
      </c>
      <c r="AV902" s="20"/>
      <c r="AW902" s="20"/>
      <c r="AX902" s="20">
        <f t="shared" si="239"/>
        <v>-1.0412340245030602</v>
      </c>
      <c r="AY902" s="20">
        <f t="shared" si="240"/>
        <v>4.8451851467139129</v>
      </c>
      <c r="AZ902" s="20"/>
      <c r="BA902" s="20">
        <f t="shared" si="241"/>
        <v>-0.50369071323912229</v>
      </c>
      <c r="BB902" s="20">
        <f t="shared" si="242"/>
        <v>1.4893387166199665</v>
      </c>
      <c r="BC902" s="20"/>
      <c r="BD902" s="20">
        <f t="shared" si="243"/>
        <v>-1.6450834260565175</v>
      </c>
      <c r="BE902" s="20">
        <f t="shared" si="244"/>
        <v>5.2057023864119838</v>
      </c>
      <c r="BF902" s="20"/>
      <c r="BG902" s="54">
        <f t="shared" si="245"/>
        <v>324813.21705909871</v>
      </c>
      <c r="BH902" s="54">
        <f t="shared" si="246"/>
        <v>337871.65515224601</v>
      </c>
      <c r="BI902" s="54">
        <f t="shared" si="247"/>
        <v>309445.90002993814</v>
      </c>
      <c r="BJ902" s="20"/>
    </row>
    <row r="903" spans="37:62" x14ac:dyDescent="0.3">
      <c r="AK903">
        <v>899</v>
      </c>
      <c r="AL903">
        <v>449.5</v>
      </c>
      <c r="AN903" s="48">
        <f t="shared" si="248"/>
        <v>88590.228976356346</v>
      </c>
      <c r="AO903" s="48">
        <f t="shared" si="249"/>
        <v>-310492.26680338208</v>
      </c>
      <c r="AP903" s="20"/>
      <c r="AQ903" s="50">
        <f t="shared" si="250"/>
        <v>690.56050160418363</v>
      </c>
      <c r="AR903" s="50">
        <f t="shared" si="251"/>
        <v>-855.49612045167544</v>
      </c>
      <c r="AS903" s="20"/>
      <c r="AT903" s="52">
        <f t="shared" si="237"/>
        <v>-3.1877527684218974</v>
      </c>
      <c r="AU903" s="52">
        <f t="shared" si="238"/>
        <v>11.501703600253432</v>
      </c>
      <c r="AV903" s="20"/>
      <c r="AW903" s="20"/>
      <c r="AX903" s="20">
        <f t="shared" si="239"/>
        <v>-1.0417683364367825</v>
      </c>
      <c r="AY903" s="20">
        <f t="shared" si="240"/>
        <v>4.8297589865418589</v>
      </c>
      <c r="AZ903" s="20"/>
      <c r="BA903" s="20">
        <f t="shared" si="241"/>
        <v>-0.50298610245148168</v>
      </c>
      <c r="BB903" s="20">
        <f t="shared" si="242"/>
        <v>1.484508851900227</v>
      </c>
      <c r="BC903" s="20"/>
      <c r="BD903" s="20">
        <f t="shared" si="243"/>
        <v>-1.642998329533633</v>
      </c>
      <c r="BE903" s="20">
        <f t="shared" si="244"/>
        <v>5.1874357618113454</v>
      </c>
      <c r="BF903" s="20"/>
      <c r="BG903" s="54">
        <f t="shared" si="245"/>
        <v>325305.55061016453</v>
      </c>
      <c r="BH903" s="54">
        <f t="shared" si="246"/>
        <v>338389.02303400409</v>
      </c>
      <c r="BI903" s="54">
        <f t="shared" si="247"/>
        <v>309959.36943484697</v>
      </c>
      <c r="BJ903" s="20"/>
    </row>
    <row r="904" spans="37:62" x14ac:dyDescent="0.3">
      <c r="AK904">
        <v>900</v>
      </c>
      <c r="AL904">
        <v>450</v>
      </c>
      <c r="AN904" s="48">
        <f t="shared" si="248"/>
        <v>88935.110758062394</v>
      </c>
      <c r="AO904" s="48">
        <f t="shared" si="249"/>
        <v>-310918.57715065789</v>
      </c>
      <c r="AP904" s="20"/>
      <c r="AQ904" s="50">
        <f t="shared" si="250"/>
        <v>688.96662521997268</v>
      </c>
      <c r="AR904" s="50">
        <f t="shared" si="251"/>
        <v>-849.74526865154871</v>
      </c>
      <c r="AS904" s="20"/>
      <c r="AT904" s="52">
        <f t="shared" si="237"/>
        <v>-3.1855266504503255</v>
      </c>
      <c r="AU904" s="52">
        <f t="shared" si="238"/>
        <v>11.46357019968795</v>
      </c>
      <c r="AV904" s="20"/>
      <c r="AW904" s="20"/>
      <c r="AX904" s="20">
        <f t="shared" si="239"/>
        <v>-1.0422983421457275</v>
      </c>
      <c r="AY904" s="20">
        <f t="shared" si="240"/>
        <v>4.814486426769335</v>
      </c>
      <c r="AZ904" s="20"/>
      <c r="BA904" s="20">
        <f t="shared" si="241"/>
        <v>-0.50229001728115708</v>
      </c>
      <c r="BB904" s="20">
        <f t="shared" si="242"/>
        <v>1.4797267523861046</v>
      </c>
      <c r="BC904" s="20"/>
      <c r="BD904" s="20">
        <f t="shared" si="243"/>
        <v>-1.6409382910234409</v>
      </c>
      <c r="BE904" s="20">
        <f t="shared" si="244"/>
        <v>5.1693570205325114</v>
      </c>
      <c r="BF904" s="20"/>
      <c r="BG904" s="54">
        <f t="shared" si="245"/>
        <v>325795.08862147661</v>
      </c>
      <c r="BH904" s="54">
        <f t="shared" si="246"/>
        <v>338903.51357912191</v>
      </c>
      <c r="BI904" s="54">
        <f t="shared" si="247"/>
        <v>310469.98137662088</v>
      </c>
      <c r="BJ904" s="20"/>
    </row>
    <row r="905" spans="37:62" x14ac:dyDescent="0.3">
      <c r="AK905">
        <v>901</v>
      </c>
      <c r="AL905">
        <v>450.5</v>
      </c>
      <c r="AN905" s="48">
        <f t="shared" si="248"/>
        <v>89279.195879841078</v>
      </c>
      <c r="AO905" s="48">
        <f t="shared" si="249"/>
        <v>-311342.01683870866</v>
      </c>
      <c r="AP905" s="20"/>
      <c r="AQ905" s="50">
        <f t="shared" si="250"/>
        <v>687.37386189474751</v>
      </c>
      <c r="AR905" s="50">
        <f t="shared" si="251"/>
        <v>-844.01348355170478</v>
      </c>
      <c r="AS905" s="20"/>
      <c r="AT905" s="52">
        <f t="shared" si="237"/>
        <v>-3.1833297957569391</v>
      </c>
      <c r="AU905" s="52">
        <f t="shared" si="238"/>
        <v>11.425821264653901</v>
      </c>
      <c r="AV905" s="20"/>
      <c r="AW905" s="20"/>
      <c r="AX905" s="20">
        <f t="shared" si="239"/>
        <v>-1.0428242672853334</v>
      </c>
      <c r="AY905" s="20">
        <f t="shared" si="240"/>
        <v>4.7993656445766328</v>
      </c>
      <c r="AZ905" s="20"/>
      <c r="BA905" s="20">
        <f t="shared" si="241"/>
        <v>-0.50160238573081917</v>
      </c>
      <c r="BB905" s="20">
        <f t="shared" si="242"/>
        <v>1.4749918407075648</v>
      </c>
      <c r="BC905" s="20"/>
      <c r="BD905" s="20">
        <f t="shared" si="243"/>
        <v>-1.6389031427407865</v>
      </c>
      <c r="BE905" s="20">
        <f t="shared" si="244"/>
        <v>5.1514637793697036</v>
      </c>
      <c r="BF905" s="20"/>
      <c r="BG905" s="54">
        <f t="shared" si="245"/>
        <v>326281.839340673</v>
      </c>
      <c r="BH905" s="54">
        <f t="shared" si="246"/>
        <v>339415.13584121963</v>
      </c>
      <c r="BI905" s="54">
        <f t="shared" si="247"/>
        <v>310977.74473390041</v>
      </c>
      <c r="BJ905" s="20"/>
    </row>
    <row r="906" spans="37:62" x14ac:dyDescent="0.3">
      <c r="AK906">
        <v>902</v>
      </c>
      <c r="AL906">
        <v>451</v>
      </c>
      <c r="AN906" s="48">
        <f t="shared" si="248"/>
        <v>89622.484894563982</v>
      </c>
      <c r="AO906" s="48">
        <f t="shared" si="249"/>
        <v>-311762.59535282641</v>
      </c>
      <c r="AP906" s="20"/>
      <c r="AQ906" s="50">
        <f t="shared" si="250"/>
        <v>685.78219699686906</v>
      </c>
      <c r="AR906" s="50">
        <f t="shared" si="251"/>
        <v>-838.30057291937783</v>
      </c>
      <c r="AS906" s="20"/>
      <c r="AT906" s="52">
        <f t="shared" si="237"/>
        <v>-3.1811621885255961</v>
      </c>
      <c r="AU906" s="52">
        <f t="shared" si="238"/>
        <v>11.388452093165704</v>
      </c>
      <c r="AV906" s="20"/>
      <c r="AW906" s="20"/>
      <c r="AX906" s="20">
        <f t="shared" si="239"/>
        <v>-1.0433463325786994</v>
      </c>
      <c r="AY906" s="20">
        <f t="shared" si="240"/>
        <v>4.7843948473740383</v>
      </c>
      <c r="AZ906" s="20"/>
      <c r="BA906" s="20">
        <f t="shared" si="241"/>
        <v>-0.50092313692755697</v>
      </c>
      <c r="BB906" s="20">
        <f t="shared" si="242"/>
        <v>1.4703035491770955</v>
      </c>
      <c r="BC906" s="20"/>
      <c r="BD906" s="20">
        <f t="shared" si="243"/>
        <v>-1.6368927190193396</v>
      </c>
      <c r="BE906" s="20">
        <f t="shared" si="244"/>
        <v>5.1337536966145692</v>
      </c>
      <c r="BF906" s="20"/>
      <c r="BG906" s="54">
        <f t="shared" si="245"/>
        <v>326765.81093241129</v>
      </c>
      <c r="BH906" s="54">
        <f t="shared" si="246"/>
        <v>339923.89878125017</v>
      </c>
      <c r="BI906" s="54">
        <f t="shared" si="247"/>
        <v>311482.66829499096</v>
      </c>
      <c r="BJ906" s="20"/>
    </row>
    <row r="907" spans="37:62" x14ac:dyDescent="0.3">
      <c r="AK907">
        <v>903</v>
      </c>
      <c r="AL907">
        <v>451.5</v>
      </c>
      <c r="AN907" s="48">
        <f t="shared" si="248"/>
        <v>89964.978347788856</v>
      </c>
      <c r="AO907" s="48">
        <f t="shared" si="249"/>
        <v>-312180.32208277448</v>
      </c>
      <c r="AP907" s="20"/>
      <c r="AQ907" s="50">
        <f t="shared" si="250"/>
        <v>684.19161590260626</v>
      </c>
      <c r="AR907" s="50">
        <f t="shared" si="251"/>
        <v>-832.60634687279503</v>
      </c>
      <c r="AS907" s="20"/>
      <c r="AT907" s="52">
        <f t="shared" si="237"/>
        <v>-3.1790238113443885</v>
      </c>
      <c r="AU907" s="52">
        <f t="shared" si="238"/>
        <v>11.351458062979454</v>
      </c>
      <c r="AV907" s="20"/>
      <c r="AW907" s="20"/>
      <c r="AX907" s="20">
        <f t="shared" si="239"/>
        <v>-1.0438647539474324</v>
      </c>
      <c r="AY907" s="20">
        <f t="shared" si="240"/>
        <v>4.7695722722012039</v>
      </c>
      <c r="AZ907" s="20"/>
      <c r="BA907" s="20">
        <f t="shared" si="241"/>
        <v>-0.50025220110403901</v>
      </c>
      <c r="BB907" s="20">
        <f t="shared" si="242"/>
        <v>1.46566131959373</v>
      </c>
      <c r="BC907" s="20"/>
      <c r="BD907" s="20">
        <f t="shared" si="243"/>
        <v>-1.634906856292917</v>
      </c>
      <c r="BE907" s="20">
        <f t="shared" si="244"/>
        <v>5.1162244711845188</v>
      </c>
      <c r="BF907" s="20"/>
      <c r="BG907" s="54">
        <f t="shared" si="245"/>
        <v>327247.01147933037</v>
      </c>
      <c r="BH907" s="54">
        <f t="shared" si="246"/>
        <v>340429.81126862258</v>
      </c>
      <c r="BI907" s="54">
        <f t="shared" si="247"/>
        <v>311984.76075894729</v>
      </c>
      <c r="BJ907" s="20"/>
    </row>
    <row r="908" spans="37:62" x14ac:dyDescent="0.3">
      <c r="AK908">
        <v>904</v>
      </c>
      <c r="AL908">
        <v>452</v>
      </c>
      <c r="AN908" s="48">
        <f t="shared" si="248"/>
        <v>90306.676777763743</v>
      </c>
      <c r="AO908" s="48">
        <f t="shared" si="249"/>
        <v>-312595.206323953</v>
      </c>
      <c r="AP908" s="20"/>
      <c r="AQ908" s="50">
        <f t="shared" si="250"/>
        <v>682.60210399693403</v>
      </c>
      <c r="AR908" s="50">
        <f t="shared" si="251"/>
        <v>-826.93061784130532</v>
      </c>
      <c r="AS908" s="20"/>
      <c r="AT908" s="52">
        <f t="shared" si="237"/>
        <v>-3.1769146452957129</v>
      </c>
      <c r="AU908" s="52">
        <f t="shared" si="238"/>
        <v>11.314834629965677</v>
      </c>
      <c r="AV908" s="20"/>
      <c r="AW908" s="20"/>
      <c r="AX908" s="20">
        <f t="shared" si="239"/>
        <v>-1.0443797426388017</v>
      </c>
      <c r="AY908" s="20">
        <f t="shared" si="240"/>
        <v>4.7548961851409146</v>
      </c>
      <c r="AZ908" s="20"/>
      <c r="BA908" s="20">
        <f t="shared" si="241"/>
        <v>-0.49958950958004911</v>
      </c>
      <c r="BB908" s="20">
        <f t="shared" si="242"/>
        <v>1.461064603051726</v>
      </c>
      <c r="BC908" s="20"/>
      <c r="BD908" s="20">
        <f t="shared" si="243"/>
        <v>-1.6329453930768623</v>
      </c>
      <c r="BE908" s="20">
        <f t="shared" si="244"/>
        <v>5.0988738417730373</v>
      </c>
      <c r="BF908" s="20"/>
      <c r="BG908" s="54">
        <f t="shared" si="245"/>
        <v>327725.44898299704</v>
      </c>
      <c r="BH908" s="54">
        <f t="shared" si="246"/>
        <v>340932.88208230643</v>
      </c>
      <c r="BI908" s="54">
        <f t="shared" si="247"/>
        <v>312484.03073663986</v>
      </c>
      <c r="BJ908" s="20"/>
    </row>
    <row r="909" spans="37:62" x14ac:dyDescent="0.3">
      <c r="AK909">
        <v>905</v>
      </c>
      <c r="AL909">
        <v>452.5</v>
      </c>
      <c r="AN909" s="48">
        <f t="shared" si="248"/>
        <v>90647.580715431555</v>
      </c>
      <c r="AO909" s="48">
        <f t="shared" si="249"/>
        <v>-313007.25727854489</v>
      </c>
      <c r="AP909" s="20"/>
      <c r="AQ909" s="50">
        <f t="shared" si="250"/>
        <v>681.01364667428618</v>
      </c>
      <c r="AR909" s="50">
        <f t="shared" si="251"/>
        <v>-821.27320052632251</v>
      </c>
      <c r="AS909" s="20"/>
      <c r="AT909" s="52">
        <f t="shared" si="237"/>
        <v>-3.1748346700432419</v>
      </c>
      <c r="AU909" s="52">
        <f t="shared" si="238"/>
        <v>11.278577326521996</v>
      </c>
      <c r="AV909" s="20"/>
      <c r="AW909" s="20"/>
      <c r="AX909" s="20">
        <f t="shared" si="239"/>
        <v>-1.0448915053492898</v>
      </c>
      <c r="AY909" s="20">
        <f t="shared" si="240"/>
        <v>4.7403648807467178</v>
      </c>
      <c r="AZ909" s="20"/>
      <c r="BA909" s="20">
        <f t="shared" si="241"/>
        <v>-0.4989349947444775</v>
      </c>
      <c r="BB909" s="20">
        <f t="shared" si="242"/>
        <v>1.4565128597540373</v>
      </c>
      <c r="BC909" s="20"/>
      <c r="BD909" s="20">
        <f t="shared" si="243"/>
        <v>-1.6310081699494747</v>
      </c>
      <c r="BE909" s="20">
        <f t="shared" si="244"/>
        <v>5.0816995860212408</v>
      </c>
      <c r="BF909" s="20"/>
      <c r="BG909" s="54">
        <f t="shared" si="245"/>
        <v>328201.13136483671</v>
      </c>
      <c r="BH909" s="54">
        <f t="shared" si="246"/>
        <v>341433.11991191778</v>
      </c>
      <c r="BI909" s="54">
        <f t="shared" si="247"/>
        <v>312980.48675180349</v>
      </c>
      <c r="BJ909" s="20"/>
    </row>
    <row r="910" spans="37:62" x14ac:dyDescent="0.3">
      <c r="AK910">
        <v>906</v>
      </c>
      <c r="AL910">
        <v>453</v>
      </c>
      <c r="AN910" s="48">
        <f t="shared" si="248"/>
        <v>90987.690684434943</v>
      </c>
      <c r="AO910" s="48">
        <f t="shared" si="249"/>
        <v>-313416.48405664228</v>
      </c>
      <c r="AP910" s="20"/>
      <c r="AQ910" s="50">
        <f t="shared" si="250"/>
        <v>679.42622933926452</v>
      </c>
      <c r="AR910" s="50">
        <f t="shared" si="251"/>
        <v>-815.63391186306148</v>
      </c>
      <c r="AS910" s="20"/>
      <c r="AT910" s="52">
        <f t="shared" si="237"/>
        <v>-3.1727838639156891</v>
      </c>
      <c r="AU910" s="52">
        <f t="shared" si="238"/>
        <v>11.242681760023874</v>
      </c>
      <c r="AV910" s="20"/>
      <c r="AW910" s="20"/>
      <c r="AX910" s="20">
        <f t="shared" si="239"/>
        <v>-1.0454002443446304</v>
      </c>
      <c r="AY910" s="20">
        <f t="shared" si="240"/>
        <v>4.7259766814839308</v>
      </c>
      <c r="AZ910" s="20"/>
      <c r="BA910" s="20">
        <f t="shared" si="241"/>
        <v>-0.49828859003763781</v>
      </c>
      <c r="BB910" s="20">
        <f t="shared" si="242"/>
        <v>1.4520055588300929</v>
      </c>
      <c r="BC910" s="20"/>
      <c r="BD910" s="20">
        <f t="shared" si="243"/>
        <v>-1.6290950295334208</v>
      </c>
      <c r="BE910" s="20">
        <f t="shared" si="244"/>
        <v>5.0646995197098503</v>
      </c>
      <c r="BF910" s="20"/>
      <c r="BG910" s="54">
        <f t="shared" si="245"/>
        <v>328674.06646704901</v>
      </c>
      <c r="BH910" s="54">
        <f t="shared" si="246"/>
        <v>341930.53335878643</v>
      </c>
      <c r="BI910" s="54">
        <f t="shared" si="247"/>
        <v>313474.13724206819</v>
      </c>
      <c r="BJ910" s="20"/>
    </row>
    <row r="911" spans="37:62" x14ac:dyDescent="0.3">
      <c r="AK911">
        <v>907</v>
      </c>
      <c r="AL911">
        <v>453.5</v>
      </c>
      <c r="AN911" s="48">
        <f t="shared" si="248"/>
        <v>91327.007201121582</v>
      </c>
      <c r="AO911" s="48">
        <f t="shared" si="249"/>
        <v>-313822.89567735384</v>
      </c>
      <c r="AP911" s="20"/>
      <c r="AQ911" s="50">
        <f t="shared" si="250"/>
        <v>677.83983740730673</v>
      </c>
      <c r="AR911" s="50">
        <f t="shared" si="251"/>
        <v>-810.0125709830495</v>
      </c>
      <c r="AS911" s="20"/>
      <c r="AT911" s="52">
        <f t="shared" si="237"/>
        <v>-3.1707622039877368</v>
      </c>
      <c r="AU911" s="52">
        <f t="shared" si="238"/>
        <v>11.207143611313231</v>
      </c>
      <c r="AV911" s="20"/>
      <c r="AW911" s="20"/>
      <c r="AX911" s="20">
        <f t="shared" si="239"/>
        <v>-1.0459061575765112</v>
      </c>
      <c r="AY911" s="20">
        <f t="shared" si="240"/>
        <v>4.7117299371839438</v>
      </c>
      <c r="AZ911" s="20"/>
      <c r="BA911" s="20">
        <f t="shared" si="241"/>
        <v>-0.49765022993399222</v>
      </c>
      <c r="BB911" s="20">
        <f t="shared" si="242"/>
        <v>1.4475421781580307</v>
      </c>
      <c r="BC911" s="20"/>
      <c r="BD911" s="20">
        <f t="shared" si="243"/>
        <v>-1.6272058164772332</v>
      </c>
      <c r="BE911" s="20">
        <f t="shared" si="244"/>
        <v>5.0478714959712567</v>
      </c>
      <c r="BF911" s="20"/>
      <c r="BG911" s="54">
        <f t="shared" si="245"/>
        <v>329144.2620535082</v>
      </c>
      <c r="BH911" s="54">
        <f t="shared" si="246"/>
        <v>342425.13093700493</v>
      </c>
      <c r="BI911" s="54">
        <f t="shared" si="247"/>
        <v>313964.99055997247</v>
      </c>
      <c r="BJ911" s="20"/>
    </row>
    <row r="912" spans="37:62" x14ac:dyDescent="0.3">
      <c r="AK912">
        <v>908</v>
      </c>
      <c r="AL912">
        <v>454</v>
      </c>
      <c r="AN912" s="48">
        <f t="shared" si="248"/>
        <v>91665.530774549741</v>
      </c>
      <c r="AO912" s="48">
        <f t="shared" si="249"/>
        <v>-314226.50106989394</v>
      </c>
      <c r="AP912" s="20"/>
      <c r="AQ912" s="50">
        <f t="shared" si="250"/>
        <v>676.25445630531283</v>
      </c>
      <c r="AR912" s="50">
        <f t="shared" si="251"/>
        <v>-804.40899917739284</v>
      </c>
      <c r="AS912" s="20"/>
      <c r="AT912" s="52">
        <f t="shared" si="237"/>
        <v>-3.1687696661580604</v>
      </c>
      <c r="AU912" s="52">
        <f t="shared" si="238"/>
        <v>11.171958633223323</v>
      </c>
      <c r="AV912" s="20"/>
      <c r="AW912" s="20"/>
      <c r="AX912" s="20">
        <f t="shared" si="239"/>
        <v>-1.0464094387959815</v>
      </c>
      <c r="AY912" s="20">
        <f t="shared" si="240"/>
        <v>4.6976230245112225</v>
      </c>
      <c r="AZ912" s="20"/>
      <c r="BA912" s="20">
        <f t="shared" si="241"/>
        <v>-0.49701984992525017</v>
      </c>
      <c r="BB912" s="20">
        <f t="shared" si="242"/>
        <v>1.4431222041911924</v>
      </c>
      <c r="BC912" s="20"/>
      <c r="BD912" s="20">
        <f t="shared" si="243"/>
        <v>-1.6253403774368287</v>
      </c>
      <c r="BE912" s="20">
        <f t="shared" si="244"/>
        <v>5.0312134045209076</v>
      </c>
      <c r="BF912" s="20"/>
      <c r="BG912" s="54">
        <f t="shared" si="245"/>
        <v>329611.72581064893</v>
      </c>
      <c r="BH912" s="54">
        <f t="shared" si="246"/>
        <v>342916.92107446061</v>
      </c>
      <c r="BI912" s="54">
        <f t="shared" si="247"/>
        <v>314453.05497396056</v>
      </c>
      <c r="BJ912" s="20"/>
    </row>
    <row r="913" spans="37:62" x14ac:dyDescent="0.3">
      <c r="AK913">
        <v>909</v>
      </c>
      <c r="AL913">
        <v>454.5</v>
      </c>
      <c r="AN913" s="48">
        <f t="shared" si="248"/>
        <v>92003.261906494139</v>
      </c>
      <c r="AO913" s="48">
        <f t="shared" si="249"/>
        <v>-314627.30907465349</v>
      </c>
      <c r="AP913" s="20"/>
      <c r="AQ913" s="50">
        <f t="shared" si="250"/>
        <v>674.67007147223376</v>
      </c>
      <c r="AR913" s="50">
        <f t="shared" si="251"/>
        <v>-798.82301986078119</v>
      </c>
      <c r="AS913" s="20"/>
      <c r="AT913" s="52">
        <f t="shared" si="237"/>
        <v>-3.1668062252246525</v>
      </c>
      <c r="AU913" s="52">
        <f t="shared" si="238"/>
        <v>11.13712264913914</v>
      </c>
      <c r="AV913" s="20"/>
      <c r="AW913" s="20"/>
      <c r="AX913" s="20">
        <f t="shared" si="239"/>
        <v>-1.0469102776637094</v>
      </c>
      <c r="AY913" s="20">
        <f t="shared" si="240"/>
        <v>4.6836543464427791</v>
      </c>
      <c r="AZ913" s="20"/>
      <c r="BA913" s="20">
        <f t="shared" si="241"/>
        <v>-0.49639738650378767</v>
      </c>
      <c r="BB913" s="20">
        <f t="shared" si="242"/>
        <v>1.4387451317886295</v>
      </c>
      <c r="BC913" s="20"/>
      <c r="BD913" s="20">
        <f t="shared" si="243"/>
        <v>-1.6234985610571555</v>
      </c>
      <c r="BE913" s="20">
        <f t="shared" si="244"/>
        <v>5.0147231709077325</v>
      </c>
      <c r="BF913" s="20"/>
      <c r="BG913" s="54">
        <f t="shared" si="245"/>
        <v>330076.46534833789</v>
      </c>
      <c r="BH913" s="54">
        <f t="shared" si="246"/>
        <v>343405.91211385006</v>
      </c>
      <c r="BI913" s="54">
        <f t="shared" si="247"/>
        <v>314938.33866936213</v>
      </c>
      <c r="BJ913" s="20"/>
    </row>
    <row r="914" spans="37:62" x14ac:dyDescent="0.3">
      <c r="AK914">
        <v>910</v>
      </c>
      <c r="AL914">
        <v>455</v>
      </c>
      <c r="AN914" s="48">
        <f t="shared" si="248"/>
        <v>92340.201091452109</v>
      </c>
      <c r="AO914" s="48">
        <f t="shared" si="249"/>
        <v>-315025.32844425272</v>
      </c>
      <c r="AP914" s="20"/>
      <c r="AQ914" s="50">
        <f t="shared" si="250"/>
        <v>673.0866683596214</v>
      </c>
      <c r="AR914" s="50">
        <f t="shared" si="251"/>
        <v>-793.25445853621159</v>
      </c>
      <c r="AS914" s="20"/>
      <c r="AT914" s="52">
        <f t="shared" ref="AT914:AT977" si="252">AX914+BA914+BD914</f>
        <v>-3.1648718549574988</v>
      </c>
      <c r="AU914" s="52">
        <f t="shared" ref="AU914:AU977" si="253">AY914+BB914+BE914</f>
        <v>11.102631551592243</v>
      </c>
      <c r="AV914" s="20"/>
      <c r="AW914" s="20"/>
      <c r="AX914" s="20">
        <f t="shared" si="239"/>
        <v>-1.0474088598571656</v>
      </c>
      <c r="AY914" s="20">
        <f t="shared" si="240"/>
        <v>4.6698223317597298</v>
      </c>
      <c r="AZ914" s="20"/>
      <c r="BA914" s="20">
        <f t="shared" si="241"/>
        <v>-0.49578277714645302</v>
      </c>
      <c r="BB914" s="20">
        <f t="shared" si="242"/>
        <v>1.4344104640497286</v>
      </c>
      <c r="BC914" s="20"/>
      <c r="BD914" s="20">
        <f t="shared" si="243"/>
        <v>-1.6216802179538803</v>
      </c>
      <c r="BE914" s="20">
        <f t="shared" si="244"/>
        <v>4.9983987557827847</v>
      </c>
      <c r="BF914" s="20"/>
      <c r="BG914" s="54">
        <f t="shared" si="245"/>
        <v>330538.48820073105</v>
      </c>
      <c r="BH914" s="54">
        <f t="shared" si="246"/>
        <v>343892.11231367645</v>
      </c>
      <c r="BI914" s="54">
        <f t="shared" si="247"/>
        <v>315420.84974935639</v>
      </c>
      <c r="BJ914" s="20"/>
    </row>
    <row r="915" spans="37:62" x14ac:dyDescent="0.3">
      <c r="AK915">
        <v>911</v>
      </c>
      <c r="AL915">
        <v>455.5</v>
      </c>
      <c r="AN915" s="48">
        <f t="shared" si="248"/>
        <v>92676.348816650047</v>
      </c>
      <c r="AO915" s="48">
        <f t="shared" si="249"/>
        <v>-315420.56784457684</v>
      </c>
      <c r="AP915" s="20"/>
      <c r="AQ915" s="50">
        <f t="shared" si="250"/>
        <v>671.50423243214266</v>
      </c>
      <c r="AR915" s="50">
        <f t="shared" si="251"/>
        <v>-787.70314276041552</v>
      </c>
      <c r="AS915" s="20"/>
      <c r="AT915" s="52">
        <f t="shared" si="252"/>
        <v>-3.1629665281686674</v>
      </c>
      <c r="AU915" s="52">
        <f t="shared" si="253"/>
        <v>11.068481300888962</v>
      </c>
      <c r="AV915" s="20"/>
      <c r="AW915" s="20"/>
      <c r="AX915" s="20">
        <f t="shared" si="239"/>
        <v>-1.0479053671748479</v>
      </c>
      <c r="AY915" s="20">
        <f t="shared" si="240"/>
        <v>4.656125434550682</v>
      </c>
      <c r="AZ915" s="20"/>
      <c r="BA915" s="20">
        <f t="shared" si="241"/>
        <v>-0.49517596029870714</v>
      </c>
      <c r="BB915" s="20">
        <f t="shared" si="242"/>
        <v>1.4301177121527155</v>
      </c>
      <c r="BC915" s="20"/>
      <c r="BD915" s="20">
        <f t="shared" si="243"/>
        <v>-1.6198852006951123</v>
      </c>
      <c r="BE915" s="20">
        <f t="shared" si="244"/>
        <v>4.9822381541855654</v>
      </c>
      <c r="BF915" s="20"/>
      <c r="BG915" s="54">
        <f t="shared" si="245"/>
        <v>330997.80182711687</v>
      </c>
      <c r="BH915" s="54">
        <f t="shared" si="246"/>
        <v>344375.52984923049</v>
      </c>
      <c r="BI915" s="54">
        <f t="shared" si="247"/>
        <v>315900.59623592021</v>
      </c>
      <c r="BJ915" s="20"/>
    </row>
    <row r="916" spans="37:62" x14ac:dyDescent="0.3">
      <c r="AK916">
        <v>912</v>
      </c>
      <c r="AL916">
        <v>456</v>
      </c>
      <c r="AN916" s="48">
        <f t="shared" si="248"/>
        <v>93011.705562050091</v>
      </c>
      <c r="AO916" s="48">
        <f t="shared" si="249"/>
        <v>-315813.03585579444</v>
      </c>
      <c r="AP916" s="20"/>
      <c r="AQ916" s="50">
        <f t="shared" si="250"/>
        <v>669.92274916805832</v>
      </c>
      <c r="AR916" s="50">
        <f t="shared" si="251"/>
        <v>-782.16890210997099</v>
      </c>
      <c r="AS916" s="20"/>
      <c r="AT916" s="52">
        <f t="shared" si="252"/>
        <v>-3.1610902167800532</v>
      </c>
      <c r="AU916" s="52">
        <f t="shared" si="253"/>
        <v>11.03466792377151</v>
      </c>
      <c r="AV916" s="20"/>
      <c r="AW916" s="20"/>
      <c r="AX916" s="20">
        <f t="shared" si="239"/>
        <v>-1.0483999776376114</v>
      </c>
      <c r="AY916" s="20">
        <f t="shared" si="240"/>
        <v>4.6425621337265124</v>
      </c>
      <c r="AZ916" s="20"/>
      <c r="BA916" s="20">
        <f t="shared" si="241"/>
        <v>-0.49457687535907879</v>
      </c>
      <c r="BB916" s="20">
        <f t="shared" si="242"/>
        <v>1.4258663951969044</v>
      </c>
      <c r="BC916" s="20"/>
      <c r="BD916" s="20">
        <f t="shared" si="243"/>
        <v>-1.6181133637833633</v>
      </c>
      <c r="BE916" s="20">
        <f t="shared" si="244"/>
        <v>4.9662393948480927</v>
      </c>
      <c r="BF916" s="20"/>
      <c r="BG916" s="54">
        <f t="shared" si="245"/>
        <v>331454.41361274663</v>
      </c>
      <c r="BH916" s="54">
        <f t="shared" si="246"/>
        <v>344856.17281355528</v>
      </c>
      <c r="BI916" s="54">
        <f t="shared" si="247"/>
        <v>316377.5860707605</v>
      </c>
      <c r="BJ916" s="20"/>
    </row>
    <row r="917" spans="37:62" x14ac:dyDescent="0.3">
      <c r="AK917">
        <v>913</v>
      </c>
      <c r="AL917">
        <v>456.5</v>
      </c>
      <c r="AN917" s="48">
        <f t="shared" si="248"/>
        <v>93346.271800357019</v>
      </c>
      <c r="AO917" s="48">
        <f t="shared" si="249"/>
        <v>-316202.74097335897</v>
      </c>
      <c r="AP917" s="20"/>
      <c r="AQ917" s="50">
        <f t="shared" si="250"/>
        <v>668.34220405966835</v>
      </c>
      <c r="AR917" s="50">
        <f t="shared" si="251"/>
        <v>-776.65156814808518</v>
      </c>
      <c r="AS917" s="20"/>
      <c r="AT917" s="52">
        <f t="shared" si="252"/>
        <v>-3.1592428918886402</v>
      </c>
      <c r="AU917" s="52">
        <f t="shared" si="253"/>
        <v>11.001187512110427</v>
      </c>
      <c r="AV917" s="20"/>
      <c r="AW917" s="20"/>
      <c r="AX917" s="20">
        <f t="shared" si="239"/>
        <v>-1.0488928655872654</v>
      </c>
      <c r="AY917" s="20">
        <f t="shared" si="240"/>
        <v>4.6291309325465413</v>
      </c>
      <c r="AZ917" s="20"/>
      <c r="BA917" s="20">
        <f t="shared" si="241"/>
        <v>-0.49398546266395765</v>
      </c>
      <c r="BB917" s="20">
        <f t="shared" si="242"/>
        <v>1.4216560400486706</v>
      </c>
      <c r="BC917" s="20"/>
      <c r="BD917" s="20">
        <f t="shared" si="243"/>
        <v>-1.6163645636374173</v>
      </c>
      <c r="BE917" s="20">
        <f t="shared" si="244"/>
        <v>4.9504005395152149</v>
      </c>
      <c r="BF917" s="20"/>
      <c r="BG917" s="54">
        <f t="shared" si="245"/>
        <v>331908.33086965047</v>
      </c>
      <c r="BH917" s="54">
        <f t="shared" si="246"/>
        <v>345334.04921839485</v>
      </c>
      <c r="BI917" s="54">
        <f t="shared" si="247"/>
        <v>316851.8271162312</v>
      </c>
      <c r="BJ917" s="20"/>
    </row>
    <row r="918" spans="37:62" x14ac:dyDescent="0.3">
      <c r="AK918">
        <v>914</v>
      </c>
      <c r="AL918">
        <v>457</v>
      </c>
      <c r="AN918" s="48">
        <f t="shared" si="248"/>
        <v>93680.047997025365</v>
      </c>
      <c r="AO918" s="48">
        <f t="shared" si="249"/>
        <v>-316589.69160899398</v>
      </c>
      <c r="AP918" s="20"/>
      <c r="AQ918" s="50">
        <f t="shared" si="250"/>
        <v>666.76258261372402</v>
      </c>
      <c r="AR918" s="50">
        <f t="shared" si="251"/>
        <v>-771.15097439202998</v>
      </c>
      <c r="AS918" s="20"/>
      <c r="AT918" s="52">
        <f t="shared" si="252"/>
        <v>-3.1574245238295529</v>
      </c>
      <c r="AU918" s="52">
        <f t="shared" si="253"/>
        <v>10.968036221627987</v>
      </c>
      <c r="AV918" s="20"/>
      <c r="AW918" s="20"/>
      <c r="AX918" s="20">
        <f t="shared" si="239"/>
        <v>-1.0493842017823576</v>
      </c>
      <c r="AY918" s="20">
        <f t="shared" si="240"/>
        <v>4.615830358155101</v>
      </c>
      <c r="AZ918" s="20"/>
      <c r="BA918" s="20">
        <f t="shared" si="241"/>
        <v>-0.49340166347271208</v>
      </c>
      <c r="BB918" s="20">
        <f t="shared" si="242"/>
        <v>1.4174861811910406</v>
      </c>
      <c r="BC918" s="20"/>
      <c r="BD918" s="20">
        <f t="shared" si="243"/>
        <v>-1.6146386585744834</v>
      </c>
      <c r="BE918" s="20">
        <f t="shared" si="244"/>
        <v>4.9347196822818447</v>
      </c>
      <c r="BF918" s="20"/>
      <c r="BG918" s="54">
        <f t="shared" si="245"/>
        <v>332359.56083744118</v>
      </c>
      <c r="BH918" s="54">
        <f t="shared" si="246"/>
        <v>345809.16699512722</v>
      </c>
      <c r="BI918" s="54">
        <f t="shared" si="247"/>
        <v>317323.32715623558</v>
      </c>
      <c r="BJ918" s="20"/>
    </row>
    <row r="919" spans="37:62" x14ac:dyDescent="0.3">
      <c r="AK919">
        <v>915</v>
      </c>
      <c r="AL919">
        <v>457.5</v>
      </c>
      <c r="AN919" s="48">
        <f t="shared" si="248"/>
        <v>94013.034610266754</v>
      </c>
      <c r="AO919" s="48">
        <f t="shared" si="249"/>
        <v>-316973.89609166229</v>
      </c>
      <c r="AP919" s="20"/>
      <c r="AQ919" s="50">
        <f t="shared" si="250"/>
        <v>665.18387035180922</v>
      </c>
      <c r="AR919" s="50">
        <f t="shared" si="251"/>
        <v>-765.66695628121602</v>
      </c>
      <c r="AS919" s="20"/>
      <c r="AT919" s="52">
        <f t="shared" si="252"/>
        <v>-3.1556350822369206</v>
      </c>
      <c r="AU919" s="52">
        <f t="shared" si="253"/>
        <v>10.935210270651698</v>
      </c>
      <c r="AV919" s="20"/>
      <c r="AW919" s="20"/>
      <c r="AX919" s="20">
        <f t="shared" si="239"/>
        <v>-1.0498741534914651</v>
      </c>
      <c r="AY919" s="20">
        <f t="shared" si="240"/>
        <v>4.6026589611292223</v>
      </c>
      <c r="AZ919" s="20"/>
      <c r="BA919" s="20">
        <f t="shared" si="241"/>
        <v>-0.4928254199531093</v>
      </c>
      <c r="BB919" s="20">
        <f t="shared" si="242"/>
        <v>1.4133563605767512</v>
      </c>
      <c r="BC919" s="20"/>
      <c r="BD919" s="20">
        <f t="shared" si="243"/>
        <v>-1.6129355087923465</v>
      </c>
      <c r="BE919" s="20">
        <f t="shared" si="244"/>
        <v>4.9191949489457256</v>
      </c>
      <c r="BF919" s="20"/>
      <c r="BG919" s="54">
        <f t="shared" si="245"/>
        <v>332808.1106841049</v>
      </c>
      <c r="BH919" s="54">
        <f t="shared" si="246"/>
        <v>346281.53399568255</v>
      </c>
      <c r="BI919" s="54">
        <f t="shared" si="247"/>
        <v>317792.09389711369</v>
      </c>
      <c r="BJ919" s="20"/>
    </row>
    <row r="920" spans="37:62" x14ac:dyDescent="0.3">
      <c r="AK920">
        <v>916</v>
      </c>
      <c r="AL920">
        <v>458</v>
      </c>
      <c r="AN920" s="48">
        <f t="shared" si="248"/>
        <v>94345.232091057376</v>
      </c>
      <c r="AO920" s="48">
        <f t="shared" si="249"/>
        <v>-317355.36266851902</v>
      </c>
      <c r="AP920" s="20"/>
      <c r="AQ920" s="50">
        <f t="shared" si="250"/>
        <v>663.60605281069081</v>
      </c>
      <c r="AR920" s="50">
        <f t="shared" si="251"/>
        <v>-760.1993511458902</v>
      </c>
      <c r="AS920" s="20"/>
      <c r="AT920" s="52">
        <f t="shared" si="252"/>
        <v>-3.1538745361026583</v>
      </c>
      <c r="AU920" s="52">
        <f t="shared" si="253"/>
        <v>10.902705938897055</v>
      </c>
      <c r="AV920" s="20"/>
      <c r="AW920" s="20"/>
      <c r="AX920" s="20">
        <f t="shared" si="239"/>
        <v>-1.0503628845838779</v>
      </c>
      <c r="AY920" s="20">
        <f t="shared" si="240"/>
        <v>4.5896153150363315</v>
      </c>
      <c r="AZ920" s="20"/>
      <c r="BA920" s="20">
        <f t="shared" si="241"/>
        <v>-0.49225667516702476</v>
      </c>
      <c r="BB920" s="20">
        <f t="shared" si="242"/>
        <v>1.4092661274846745</v>
      </c>
      <c r="BC920" s="20"/>
      <c r="BD920" s="20">
        <f t="shared" si="243"/>
        <v>-1.6112549763517556</v>
      </c>
      <c r="BE920" s="20">
        <f t="shared" si="244"/>
        <v>4.9038244963760498</v>
      </c>
      <c r="BF920" s="20"/>
      <c r="BG920" s="54">
        <f t="shared" si="245"/>
        <v>333253.98750677868</v>
      </c>
      <c r="BH920" s="54">
        <f t="shared" si="246"/>
        <v>346751.15799344546</v>
      </c>
      <c r="BI920" s="54">
        <f t="shared" si="247"/>
        <v>318258.13496851531</v>
      </c>
      <c r="BJ920" s="20"/>
    </row>
    <row r="921" spans="37:62" x14ac:dyDescent="0.3">
      <c r="AK921">
        <v>917</v>
      </c>
      <c r="AL921">
        <v>458.5</v>
      </c>
      <c r="AN921" s="48">
        <f t="shared" si="248"/>
        <v>94676.640883145723</v>
      </c>
      <c r="AO921" s="48">
        <f t="shared" si="249"/>
        <v>-317734.09950584959</v>
      </c>
      <c r="AP921" s="20"/>
      <c r="AQ921" s="50">
        <f t="shared" si="250"/>
        <v>662.02911554263949</v>
      </c>
      <c r="AR921" s="50">
        <f t="shared" si="251"/>
        <v>-754.74799817644168</v>
      </c>
      <c r="AS921" s="20"/>
      <c r="AT921" s="52">
        <f t="shared" si="252"/>
        <v>-3.1521428538330429</v>
      </c>
      <c r="AU921" s="52">
        <f t="shared" si="253"/>
        <v>10.870519566278112</v>
      </c>
      <c r="AV921" s="20"/>
      <c r="AW921" s="20"/>
      <c r="AX921" s="20">
        <f t="shared" si="239"/>
        <v>-1.0508505556178227</v>
      </c>
      <c r="AY921" s="20">
        <f t="shared" si="240"/>
        <v>4.5766980160019646</v>
      </c>
      <c r="AZ921" s="20"/>
      <c r="BA921" s="20">
        <f t="shared" si="241"/>
        <v>-0.49169537305648464</v>
      </c>
      <c r="BB921" s="20">
        <f t="shared" si="242"/>
        <v>1.4052150383796569</v>
      </c>
      <c r="BC921" s="20"/>
      <c r="BD921" s="20">
        <f t="shared" si="243"/>
        <v>-1.6095969251587359</v>
      </c>
      <c r="BE921" s="20">
        <f t="shared" si="244"/>
        <v>4.8886065118964916</v>
      </c>
      <c r="BF921" s="20"/>
      <c r="BG921" s="54">
        <f t="shared" si="245"/>
        <v>333697.198332517</v>
      </c>
      <c r="BH921" s="54">
        <f t="shared" si="246"/>
        <v>347218.04668414354</v>
      </c>
      <c r="BI921" s="54">
        <f t="shared" si="247"/>
        <v>318721.45792425907</v>
      </c>
      <c r="BJ921" s="20"/>
    </row>
    <row r="922" spans="37:62" x14ac:dyDescent="0.3">
      <c r="AK922">
        <v>918</v>
      </c>
      <c r="AL922">
        <v>459</v>
      </c>
      <c r="AN922" s="48">
        <f t="shared" si="248"/>
        <v>95007.261423060321</v>
      </c>
      <c r="AO922" s="48">
        <f t="shared" si="249"/>
        <v>-318110.11468999204</v>
      </c>
      <c r="AP922" s="20"/>
      <c r="AQ922" s="50">
        <f t="shared" si="250"/>
        <v>660.45304411572295</v>
      </c>
      <c r="AR922" s="50">
        <f t="shared" si="251"/>
        <v>-749.31273839330265</v>
      </c>
      <c r="AS922" s="20"/>
      <c r="AT922" s="52">
        <f t="shared" si="252"/>
        <v>-3.150440003303602</v>
      </c>
      <c r="AU922" s="52">
        <f t="shared" si="253"/>
        <v>10.838647551746675</v>
      </c>
      <c r="AV922" s="20"/>
      <c r="AW922" s="20"/>
      <c r="AX922" s="20">
        <f t="shared" si="239"/>
        <v>-1.0513373239263646</v>
      </c>
      <c r="AY922" s="20">
        <f t="shared" si="240"/>
        <v>4.5639056822875519</v>
      </c>
      <c r="AZ922" s="20"/>
      <c r="BA922" s="20">
        <f t="shared" si="241"/>
        <v>-0.49114145842996237</v>
      </c>
      <c r="BB922" s="20">
        <f t="shared" si="242"/>
        <v>1.4012026567754854</v>
      </c>
      <c r="BC922" s="20"/>
      <c r="BD922" s="20">
        <f t="shared" si="243"/>
        <v>-1.6079612209472751</v>
      </c>
      <c r="BE922" s="20">
        <f t="shared" si="244"/>
        <v>4.8735392126836388</v>
      </c>
      <c r="BF922" s="20"/>
      <c r="BG922" s="54">
        <f t="shared" si="245"/>
        <v>334137.75011904462</v>
      </c>
      <c r="BH922" s="54">
        <f t="shared" si="246"/>
        <v>347682.20768672053</v>
      </c>
      <c r="BI922" s="54">
        <f t="shared" si="247"/>
        <v>319182.07024317712</v>
      </c>
      <c r="BJ922" s="20"/>
    </row>
    <row r="923" spans="37:62" x14ac:dyDescent="0.3">
      <c r="AK923">
        <v>919</v>
      </c>
      <c r="AL923">
        <v>459.5</v>
      </c>
      <c r="AN923" s="48">
        <f t="shared" si="248"/>
        <v>95337.09414011777</v>
      </c>
      <c r="AO923" s="48">
        <f t="shared" si="249"/>
        <v>-318483.41622824472</v>
      </c>
      <c r="AP923" s="20"/>
      <c r="AQ923" s="50">
        <f t="shared" si="250"/>
        <v>658.87782411407113</v>
      </c>
      <c r="AR923" s="50">
        <f t="shared" si="251"/>
        <v>-743.89341461742936</v>
      </c>
      <c r="AS923" s="20"/>
      <c r="AT923" s="52">
        <f t="shared" si="252"/>
        <v>-3.1487659519118583</v>
      </c>
      <c r="AU923" s="52">
        <f t="shared" si="253"/>
        <v>10.807086352157413</v>
      </c>
      <c r="AV923" s="20"/>
      <c r="AW923" s="20"/>
      <c r="AX923" s="20">
        <f t="shared" si="239"/>
        <v>-1.0518233437008833</v>
      </c>
      <c r="AY923" s="20">
        <f t="shared" si="240"/>
        <v>4.5512369538771953</v>
      </c>
      <c r="AZ923" s="20"/>
      <c r="BA923" s="20">
        <f t="shared" si="241"/>
        <v>-0.49059487694896581</v>
      </c>
      <c r="BB923" s="20">
        <f t="shared" si="242"/>
        <v>1.3972285531010091</v>
      </c>
      <c r="BC923" s="20"/>
      <c r="BD923" s="20">
        <f t="shared" si="243"/>
        <v>-1.6063477312620091</v>
      </c>
      <c r="BE923" s="20">
        <f t="shared" si="244"/>
        <v>4.8586208451792086</v>
      </c>
      <c r="BF923" s="20"/>
      <c r="BG923" s="54">
        <f t="shared" si="245"/>
        <v>334575.64975549851</v>
      </c>
      <c r="BH923" s="54">
        <f t="shared" si="246"/>
        <v>348143.64854419598</v>
      </c>
      <c r="BI923" s="54">
        <f t="shared" si="247"/>
        <v>319639.97932994692</v>
      </c>
      <c r="BJ923" s="20"/>
    </row>
    <row r="924" spans="37:62" x14ac:dyDescent="0.3">
      <c r="AK924">
        <v>920</v>
      </c>
      <c r="AL924">
        <v>460</v>
      </c>
      <c r="AN924" s="48">
        <f t="shared" si="248"/>
        <v>95666.139456430828</v>
      </c>
      <c r="AO924" s="48">
        <f t="shared" si="249"/>
        <v>-318854.01204975939</v>
      </c>
      <c r="AP924" s="20"/>
      <c r="AQ924" s="50">
        <f t="shared" si="250"/>
        <v>657.3034411381152</v>
      </c>
      <c r="AR924" s="50">
        <f t="shared" si="251"/>
        <v>-738.4898714413506</v>
      </c>
      <c r="AS924" s="20"/>
      <c r="AT924" s="52">
        <f t="shared" si="252"/>
        <v>-3.1471206666283358</v>
      </c>
      <c r="AU924" s="52">
        <f t="shared" si="253"/>
        <v>10.775832481159629</v>
      </c>
      <c r="AV924" s="20"/>
      <c r="AW924" s="20"/>
      <c r="AX924" s="20">
        <f t="shared" si="239"/>
        <v>-1.0523087660724302</v>
      </c>
      <c r="AY924" s="20">
        <f t="shared" si="240"/>
        <v>4.5386904920742817</v>
      </c>
      <c r="AZ924" s="20"/>
      <c r="BA924" s="20">
        <f t="shared" si="241"/>
        <v>-0.49005557511490966</v>
      </c>
      <c r="BB924" s="20">
        <f t="shared" si="242"/>
        <v>1.3932923045693495</v>
      </c>
      <c r="BC924" s="20"/>
      <c r="BD924" s="20">
        <f t="shared" si="243"/>
        <v>-1.604756325440996</v>
      </c>
      <c r="BE924" s="20">
        <f t="shared" si="244"/>
        <v>4.8438496845159991</v>
      </c>
      <c r="BF924" s="20"/>
      <c r="BG924" s="54">
        <f t="shared" si="245"/>
        <v>335010.90406315814</v>
      </c>
      <c r="BH924" s="54">
        <f t="shared" si="246"/>
        <v>348602.37672451086</v>
      </c>
      <c r="BI924" s="54">
        <f t="shared" si="247"/>
        <v>320095.19251590909</v>
      </c>
      <c r="BJ924" s="20"/>
    </row>
    <row r="925" spans="37:62" x14ac:dyDescent="0.3">
      <c r="AK925">
        <v>921</v>
      </c>
      <c r="AL925">
        <v>460.5</v>
      </c>
      <c r="AN925" s="48">
        <f t="shared" si="248"/>
        <v>95994.397786916568</v>
      </c>
      <c r="AO925" s="48">
        <f t="shared" si="249"/>
        <v>-319221.91000641993</v>
      </c>
      <c r="AP925" s="20"/>
      <c r="AQ925" s="50">
        <f t="shared" si="250"/>
        <v>655.72988080480104</v>
      </c>
      <c r="AR925" s="50">
        <f t="shared" si="251"/>
        <v>-733.10195520077082</v>
      </c>
      <c r="AS925" s="20"/>
      <c r="AT925" s="52">
        <f t="shared" si="252"/>
        <v>-3.1455041140459605</v>
      </c>
      <c r="AU925" s="52">
        <f t="shared" si="253"/>
        <v>10.744882508114882</v>
      </c>
      <c r="AV925" s="20"/>
      <c r="AW925" s="20"/>
      <c r="AX925" s="20">
        <f t="shared" si="239"/>
        <v>-1.0527937391908646</v>
      </c>
      <c r="AY925" s="20">
        <f t="shared" si="240"/>
        <v>4.5262649791069078</v>
      </c>
      <c r="AZ925" s="20"/>
      <c r="BA925" s="20">
        <f t="shared" si="241"/>
        <v>-0.48952350025626312</v>
      </c>
      <c r="BB925" s="20">
        <f t="shared" si="242"/>
        <v>1.3893934950500959</v>
      </c>
      <c r="BC925" s="20"/>
      <c r="BD925" s="20">
        <f t="shared" si="243"/>
        <v>-1.6031868745988329</v>
      </c>
      <c r="BE925" s="20">
        <f t="shared" si="244"/>
        <v>4.8292240339578782</v>
      </c>
      <c r="BF925" s="20"/>
      <c r="BG925" s="54">
        <f t="shared" si="245"/>
        <v>335443.51979616372</v>
      </c>
      <c r="BH925" s="54">
        <f t="shared" si="246"/>
        <v>349058.39962135948</v>
      </c>
      <c r="BI925" s="54">
        <f t="shared" si="247"/>
        <v>320547.7170598727</v>
      </c>
      <c r="BJ925" s="20"/>
    </row>
    <row r="926" spans="37:62" x14ac:dyDescent="0.3">
      <c r="AK926">
        <v>922</v>
      </c>
      <c r="AL926">
        <v>461</v>
      </c>
      <c r="AN926" s="48">
        <f t="shared" si="248"/>
        <v>96321.869539304709</v>
      </c>
      <c r="AO926" s="48">
        <f t="shared" si="249"/>
        <v>-319587.1178737068</v>
      </c>
      <c r="AP926" s="20"/>
      <c r="AQ926" s="50">
        <f t="shared" si="250"/>
        <v>654.15712874777807</v>
      </c>
      <c r="AR926" s="50">
        <f t="shared" si="251"/>
        <v>-727.72951394671338</v>
      </c>
      <c r="AS926" s="20"/>
      <c r="AT926" s="52">
        <f t="shared" si="252"/>
        <v>-3.1439162604274618</v>
      </c>
      <c r="AU926" s="52">
        <f t="shared" si="253"/>
        <v>10.714233057038427</v>
      </c>
      <c r="AV926" s="20"/>
      <c r="AW926" s="20"/>
      <c r="AX926" s="20">
        <f t="shared" si="239"/>
        <v>-1.053278408301823</v>
      </c>
      <c r="AY926" s="20">
        <f t="shared" si="240"/>
        <v>4.5139591177418517</v>
      </c>
      <c r="AZ926" s="20"/>
      <c r="BA926" s="20">
        <f t="shared" si="241"/>
        <v>-0.4889986005159348</v>
      </c>
      <c r="BB926" s="20">
        <f t="shared" si="242"/>
        <v>1.3855317149443267</v>
      </c>
      <c r="BC926" s="20"/>
      <c r="BD926" s="20">
        <f t="shared" si="243"/>
        <v>-1.6016392516097042</v>
      </c>
      <c r="BE926" s="20">
        <f t="shared" si="244"/>
        <v>4.8147422243522504</v>
      </c>
      <c r="BF926" s="20"/>
      <c r="BG926" s="54">
        <f t="shared" si="245"/>
        <v>335873.50364222366</v>
      </c>
      <c r="BH926" s="54">
        <f t="shared" si="246"/>
        <v>349511.72455500788</v>
      </c>
      <c r="BI926" s="54">
        <f t="shared" si="247"/>
        <v>320997.56014890713</v>
      </c>
      <c r="BJ926" s="20"/>
    </row>
    <row r="927" spans="37:62" x14ac:dyDescent="0.3">
      <c r="AK927">
        <v>923</v>
      </c>
      <c r="AL927">
        <v>461.5</v>
      </c>
      <c r="AN927" s="48">
        <f t="shared" si="248"/>
        <v>96648.555114146046</v>
      </c>
      <c r="AO927" s="48">
        <f t="shared" si="249"/>
        <v>-319949.643351548</v>
      </c>
      <c r="AP927" s="20"/>
      <c r="AQ927" s="50">
        <f t="shared" si="250"/>
        <v>652.58517061756436</v>
      </c>
      <c r="AR927" s="50">
        <f t="shared" si="251"/>
        <v>-722.37239741819417</v>
      </c>
      <c r="AS927" s="20"/>
      <c r="AT927" s="52">
        <f t="shared" si="252"/>
        <v>-3.1423570717514266</v>
      </c>
      <c r="AU927" s="52">
        <f t="shared" si="253"/>
        <v>10.683880805565883</v>
      </c>
      <c r="AV927" s="20"/>
      <c r="AW927" s="20"/>
      <c r="AX927" s="20">
        <f t="shared" si="239"/>
        <v>-1.0537629158217765</v>
      </c>
      <c r="AY927" s="20">
        <f t="shared" si="240"/>
        <v>4.5017716309077009</v>
      </c>
      <c r="AZ927" s="20"/>
      <c r="BA927" s="20">
        <f t="shared" si="241"/>
        <v>-0.48848082483893945</v>
      </c>
      <c r="BB927" s="20">
        <f t="shared" si="242"/>
        <v>1.3817065610625157</v>
      </c>
      <c r="BC927" s="20"/>
      <c r="BD927" s="20">
        <f t="shared" si="243"/>
        <v>-1.600113331090711</v>
      </c>
      <c r="BE927" s="20">
        <f t="shared" si="244"/>
        <v>4.8004026135956659</v>
      </c>
      <c r="BF927" s="20"/>
      <c r="BG927" s="54">
        <f t="shared" si="245"/>
        <v>336300.8622233108</v>
      </c>
      <c r="BH927" s="54">
        <f t="shared" si="246"/>
        <v>349962.35877309961</v>
      </c>
      <c r="BI927" s="54">
        <f t="shared" si="247"/>
        <v>321444.72889912181</v>
      </c>
      <c r="BJ927" s="20"/>
    </row>
    <row r="928" spans="37:62" x14ac:dyDescent="0.3">
      <c r="AK928">
        <v>924</v>
      </c>
      <c r="AL928">
        <v>462</v>
      </c>
      <c r="AN928" s="48">
        <f t="shared" si="248"/>
        <v>96974.454904820857</v>
      </c>
      <c r="AO928" s="48">
        <f t="shared" si="249"/>
        <v>-320309.49406515644</v>
      </c>
      <c r="AP928" s="20"/>
      <c r="AQ928" s="50">
        <f t="shared" si="250"/>
        <v>651.01399208168868</v>
      </c>
      <c r="AR928" s="50">
        <f t="shared" si="251"/>
        <v>-717.03045701541123</v>
      </c>
      <c r="AS928" s="20"/>
      <c r="AT928" s="52">
        <f t="shared" si="252"/>
        <v>-3.1408265137565703</v>
      </c>
      <c r="AU928" s="52">
        <f t="shared" si="253"/>
        <v>10.653822483942523</v>
      </c>
      <c r="AV928" s="20"/>
      <c r="AW928" s="20"/>
      <c r="AX928" s="20">
        <f t="shared" si="239"/>
        <v>-1.0542474014109331</v>
      </c>
      <c r="AY928" s="20">
        <f t="shared" si="240"/>
        <v>4.4897012613255889</v>
      </c>
      <c r="AZ928" s="20"/>
      <c r="BA928" s="20">
        <f t="shared" si="241"/>
        <v>-0.4879701229603175</v>
      </c>
      <c r="BB928" s="20">
        <f t="shared" si="242"/>
        <v>1.3779176365051982</v>
      </c>
      <c r="BC928" s="20"/>
      <c r="BD928" s="20">
        <f t="shared" si="243"/>
        <v>-1.5986089893853199</v>
      </c>
      <c r="BE928" s="20">
        <f t="shared" si="244"/>
        <v>4.7862035861117356</v>
      </c>
      <c r="BF928" s="20"/>
      <c r="BG928" s="54">
        <f t="shared" si="245"/>
        <v>336725.60209634807</v>
      </c>
      <c r="BH928" s="54">
        <f t="shared" si="246"/>
        <v>350410.30945144803</v>
      </c>
      <c r="BI928" s="54">
        <f t="shared" si="247"/>
        <v>321889.23035643355</v>
      </c>
      <c r="BJ928" s="20"/>
    </row>
    <row r="929" spans="37:62" x14ac:dyDescent="0.3">
      <c r="AK929">
        <v>925</v>
      </c>
      <c r="AL929">
        <v>462.5</v>
      </c>
      <c r="AN929" s="48">
        <f t="shared" si="248"/>
        <v>97299.569297547481</v>
      </c>
      <c r="AO929" s="48">
        <f t="shared" si="249"/>
        <v>-320666.67756585364</v>
      </c>
      <c r="AP929" s="20"/>
      <c r="AQ929" s="50">
        <f t="shared" si="250"/>
        <v>649.4435788248104</v>
      </c>
      <c r="AR929" s="50">
        <f t="shared" si="251"/>
        <v>-711.70354577343994</v>
      </c>
      <c r="AS929" s="20"/>
      <c r="AT929" s="52">
        <f t="shared" si="252"/>
        <v>-3.1393245519846662</v>
      </c>
      <c r="AU929" s="52">
        <f t="shared" si="253"/>
        <v>10.624054874036325</v>
      </c>
      <c r="AV929" s="20"/>
      <c r="AW929" s="20"/>
      <c r="AX929" s="20">
        <f t="shared" si="239"/>
        <v>-1.0547320020444133</v>
      </c>
      <c r="AY929" s="20">
        <f t="shared" si="240"/>
        <v>4.4777467711489312</v>
      </c>
      <c r="AZ929" s="20"/>
      <c r="BA929" s="20">
        <f t="shared" si="241"/>
        <v>-0.48746644539326744</v>
      </c>
      <c r="BB929" s="20">
        <f t="shared" si="242"/>
        <v>1.3741645505462101</v>
      </c>
      <c r="BC929" s="20"/>
      <c r="BD929" s="20">
        <f t="shared" si="243"/>
        <v>-1.5971261045469856</v>
      </c>
      <c r="BE929" s="20">
        <f t="shared" si="244"/>
        <v>4.7721435523411833</v>
      </c>
      <c r="BF929" s="20"/>
      <c r="BG929" s="54">
        <f t="shared" si="245"/>
        <v>337147.72975388297</v>
      </c>
      <c r="BH929" s="54">
        <f t="shared" si="246"/>
        <v>350855.58369481645</v>
      </c>
      <c r="BI929" s="54">
        <f t="shared" si="247"/>
        <v>322331.0714973213</v>
      </c>
      <c r="BJ929" s="20"/>
    </row>
    <row r="930" spans="37:62" x14ac:dyDescent="0.3">
      <c r="AK930">
        <v>926</v>
      </c>
      <c r="AL930">
        <v>463</v>
      </c>
      <c r="AN930" s="48">
        <f t="shared" si="248"/>
        <v>97623.898671390882</v>
      </c>
      <c r="AO930" s="48">
        <f t="shared" si="249"/>
        <v>-321021.20133188111</v>
      </c>
      <c r="AP930" s="20"/>
      <c r="AQ930" s="50">
        <f t="shared" si="250"/>
        <v>647.8739165488181</v>
      </c>
      <c r="AR930" s="50">
        <f t="shared" si="251"/>
        <v>-706.39151833642177</v>
      </c>
      <c r="AS930" s="20"/>
      <c r="AT930" s="52">
        <f t="shared" si="252"/>
        <v>-3.1378511518218444</v>
      </c>
      <c r="AU930" s="52">
        <f t="shared" si="253"/>
        <v>10.59457480837259</v>
      </c>
      <c r="AV930" s="20"/>
      <c r="AW930" s="20"/>
      <c r="AX930" s="20">
        <f t="shared" si="239"/>
        <v>-1.0552168520814069</v>
      </c>
      <c r="AY930" s="20">
        <f t="shared" si="240"/>
        <v>4.4659069416104362</v>
      </c>
      <c r="AZ930" s="20"/>
      <c r="BA930" s="20">
        <f t="shared" si="241"/>
        <v>-0.48696974341757387</v>
      </c>
      <c r="BB930" s="20">
        <f t="shared" si="242"/>
        <v>1.370446918518698</v>
      </c>
      <c r="BC930" s="20"/>
      <c r="BD930" s="20">
        <f t="shared" si="243"/>
        <v>-1.5956645563228637</v>
      </c>
      <c r="BE930" s="20">
        <f t="shared" si="244"/>
        <v>4.7582209482434559</v>
      </c>
      <c r="BF930" s="20"/>
      <c r="BG930" s="54">
        <f t="shared" si="245"/>
        <v>337567.25162475213</v>
      </c>
      <c r="BH930" s="54">
        <f t="shared" si="246"/>
        <v>351298.18853768572</v>
      </c>
      <c r="BI930" s="54">
        <f t="shared" si="247"/>
        <v>322770.2592295697</v>
      </c>
      <c r="BJ930" s="20"/>
    </row>
    <row r="931" spans="37:62" x14ac:dyDescent="0.3">
      <c r="AK931">
        <v>927</v>
      </c>
      <c r="AL931">
        <v>463.5</v>
      </c>
      <c r="AN931" s="48">
        <f t="shared" si="248"/>
        <v>97947.443398271309</v>
      </c>
      <c r="AO931" s="48">
        <f t="shared" si="249"/>
        <v>-321373.07276919828</v>
      </c>
      <c r="AP931" s="20"/>
      <c r="AQ931" s="50">
        <f t="shared" si="250"/>
        <v>646.30499097290715</v>
      </c>
      <c r="AR931" s="50">
        <f t="shared" si="251"/>
        <v>-701.09423093223552</v>
      </c>
      <c r="AS931" s="20"/>
      <c r="AT931" s="52">
        <f t="shared" si="252"/>
        <v>-3.13640627853861</v>
      </c>
      <c r="AU931" s="52">
        <f t="shared" si="253"/>
        <v>10.565379169190766</v>
      </c>
      <c r="AV931" s="20"/>
      <c r="AW931" s="20"/>
      <c r="AX931" s="20">
        <f t="shared" si="239"/>
        <v>-1.0557020833325605</v>
      </c>
      <c r="AY931" s="20">
        <f t="shared" si="240"/>
        <v>4.4541805726770418</v>
      </c>
      <c r="AZ931" s="20"/>
      <c r="BA931" s="20">
        <f t="shared" si="241"/>
        <v>-0.48647996906822749</v>
      </c>
      <c r="BB931" s="20">
        <f t="shared" si="242"/>
        <v>1.366764361703543</v>
      </c>
      <c r="BC931" s="20"/>
      <c r="BD931" s="20">
        <f t="shared" si="243"/>
        <v>-1.5942242261378221</v>
      </c>
      <c r="BE931" s="20">
        <f t="shared" si="244"/>
        <v>4.7444342348101811</v>
      </c>
      <c r="BF931" s="20"/>
      <c r="BG931" s="54">
        <f t="shared" si="245"/>
        <v>337984.17407473549</v>
      </c>
      <c r="BH931" s="54">
        <f t="shared" si="246"/>
        <v>351738.1309450097</v>
      </c>
      <c r="BI931" s="54">
        <f t="shared" si="247"/>
        <v>323206.8003930003</v>
      </c>
      <c r="BJ931" s="20"/>
    </row>
    <row r="932" spans="37:62" x14ac:dyDescent="0.3">
      <c r="AK932">
        <v>928</v>
      </c>
      <c r="AL932">
        <v>464</v>
      </c>
      <c r="AN932" s="48">
        <f t="shared" si="248"/>
        <v>98270.203842972944</v>
      </c>
      <c r="AO932" s="48">
        <f t="shared" si="249"/>
        <v>-321722.2992122682</v>
      </c>
      <c r="AP932" s="20"/>
      <c r="AQ932" s="50">
        <f t="shared" si="250"/>
        <v>644.73678783363789</v>
      </c>
      <c r="AR932" s="50">
        <f t="shared" si="251"/>
        <v>-695.81154134764017</v>
      </c>
      <c r="AS932" s="20"/>
      <c r="AT932" s="52">
        <f t="shared" si="252"/>
        <v>-3.1349898973284258</v>
      </c>
      <c r="AU932" s="52">
        <f t="shared" si="253"/>
        <v>10.536464887522275</v>
      </c>
      <c r="AV932" s="20"/>
      <c r="AW932" s="20"/>
      <c r="AX932" s="20">
        <f t="shared" si="239"/>
        <v>-1.0561878251256569</v>
      </c>
      <c r="AY932" s="20">
        <f t="shared" si="240"/>
        <v>4.442566482712591</v>
      </c>
      <c r="AZ932" s="20"/>
      <c r="BA932" s="20">
        <f t="shared" si="241"/>
        <v>-0.48599707512428336</v>
      </c>
      <c r="BB932" s="20">
        <f t="shared" si="242"/>
        <v>1.3631165072202878</v>
      </c>
      <c r="BC932" s="20"/>
      <c r="BD932" s="20">
        <f t="shared" si="243"/>
        <v>-1.5928049970784859</v>
      </c>
      <c r="BE932" s="20">
        <f t="shared" si="244"/>
        <v>4.730781897589396</v>
      </c>
      <c r="BF932" s="20"/>
      <c r="BG932" s="54">
        <f t="shared" si="245"/>
        <v>338398.50340720004</v>
      </c>
      <c r="BH932" s="54">
        <f t="shared" si="246"/>
        <v>352175.41781295859</v>
      </c>
      <c r="BI932" s="54">
        <f t="shared" si="247"/>
        <v>323640.7017601917</v>
      </c>
      <c r="BJ932" s="20"/>
    </row>
    <row r="933" spans="37:62" x14ac:dyDescent="0.3">
      <c r="AK933">
        <v>929</v>
      </c>
      <c r="AL933">
        <v>464.5</v>
      </c>
      <c r="AN933" s="48">
        <f t="shared" si="248"/>
        <v>98592.180363152598</v>
      </c>
      <c r="AO933" s="48">
        <f t="shared" si="249"/>
        <v>-322068.88792483107</v>
      </c>
      <c r="AP933" s="20"/>
      <c r="AQ933" s="50">
        <f t="shared" si="250"/>
        <v>643.16929288497363</v>
      </c>
      <c r="AR933" s="50">
        <f t="shared" si="251"/>
        <v>-690.54330890387905</v>
      </c>
      <c r="AS933" s="20"/>
      <c r="AT933" s="52">
        <f t="shared" si="252"/>
        <v>-3.1336019733449669</v>
      </c>
      <c r="AU933" s="52">
        <f t="shared" si="253"/>
        <v>10.507828942288853</v>
      </c>
      <c r="AV933" s="20"/>
      <c r="AW933" s="20"/>
      <c r="AX933" s="20">
        <f t="shared" si="239"/>
        <v>-1.0566742043695339</v>
      </c>
      <c r="AY933" s="20">
        <f t="shared" si="240"/>
        <v>4.4310635081476386</v>
      </c>
      <c r="AZ933" s="20"/>
      <c r="BA933" s="20">
        <f t="shared" si="241"/>
        <v>-0.4855210150979537</v>
      </c>
      <c r="BB933" s="20">
        <f t="shared" si="242"/>
        <v>1.3595029879204985</v>
      </c>
      <c r="BC933" s="20"/>
      <c r="BD933" s="20">
        <f t="shared" si="243"/>
        <v>-1.5914067538774792</v>
      </c>
      <c r="BE933" s="20">
        <f t="shared" si="244"/>
        <v>4.7172624462207171</v>
      </c>
      <c r="BF933" s="20"/>
      <c r="BG933" s="54">
        <f t="shared" si="245"/>
        <v>338810.24586373445</v>
      </c>
      <c r="BH933" s="54">
        <f t="shared" si="246"/>
        <v>352610.05596965115</v>
      </c>
      <c r="BI933" s="54">
        <f t="shared" si="247"/>
        <v>324071.9700371885</v>
      </c>
      <c r="BJ933" s="20"/>
    </row>
    <row r="934" spans="37:62" x14ac:dyDescent="0.3">
      <c r="AK934">
        <v>930</v>
      </c>
      <c r="AL934">
        <v>465</v>
      </c>
      <c r="AN934" s="48">
        <f t="shared" si="248"/>
        <v>98913.373309348419</v>
      </c>
      <c r="AO934" s="48">
        <f t="shared" si="249"/>
        <v>-322412.84610066522</v>
      </c>
      <c r="AP934" s="20"/>
      <c r="AQ934" s="50">
        <f t="shared" si="250"/>
        <v>641.6024918983012</v>
      </c>
      <c r="AR934" s="50">
        <f t="shared" si="251"/>
        <v>-685.28939443273464</v>
      </c>
      <c r="AS934" s="20"/>
      <c r="AT934" s="52">
        <f t="shared" si="252"/>
        <v>-3.1322424717382638</v>
      </c>
      <c r="AU934" s="52">
        <f t="shared" si="253"/>
        <v>10.479468359421507</v>
      </c>
      <c r="AV934" s="20"/>
      <c r="AW934" s="20"/>
      <c r="AX934" s="20">
        <f t="shared" si="239"/>
        <v>-1.0571613456163946</v>
      </c>
      <c r="AY934" s="20">
        <f t="shared" si="240"/>
        <v>4.4196705031566159</v>
      </c>
      <c r="AZ934" s="20"/>
      <c r="BA934" s="20">
        <f t="shared" si="241"/>
        <v>-0.48505174322392136</v>
      </c>
      <c r="BB934" s="20">
        <f t="shared" si="242"/>
        <v>1.3559234422834845</v>
      </c>
      <c r="BC934" s="20"/>
      <c r="BD934" s="20">
        <f t="shared" si="243"/>
        <v>-1.5900293828979477</v>
      </c>
      <c r="BE934" s="20">
        <f t="shared" si="244"/>
        <v>4.7038744139814073</v>
      </c>
      <c r="BF934" s="20"/>
      <c r="BG934" s="54">
        <f t="shared" si="245"/>
        <v>339219.40762477281</v>
      </c>
      <c r="BH934" s="54">
        <f t="shared" si="246"/>
        <v>353042.05217587465</v>
      </c>
      <c r="BI934" s="54">
        <f t="shared" si="247"/>
        <v>324500.61186419858</v>
      </c>
      <c r="BJ934" s="20"/>
    </row>
    <row r="935" spans="37:62" x14ac:dyDescent="0.3">
      <c r="AK935">
        <v>931</v>
      </c>
      <c r="AL935">
        <v>465.5</v>
      </c>
      <c r="AN935" s="48">
        <f t="shared" si="248"/>
        <v>99233.783024988588</v>
      </c>
      <c r="AO935" s="48">
        <f t="shared" si="249"/>
        <v>-322754.18086433661</v>
      </c>
      <c r="AP935" s="20"/>
      <c r="AQ935" s="50">
        <f t="shared" si="250"/>
        <v>640.03637066243209</v>
      </c>
      <c r="AR935" s="50">
        <f t="shared" si="251"/>
        <v>-680.04966025302383</v>
      </c>
      <c r="AS935" s="20"/>
      <c r="AT935" s="52">
        <f t="shared" si="252"/>
        <v>-3.1309113576893566</v>
      </c>
      <c r="AU935" s="52">
        <f t="shared" si="253"/>
        <v>10.451380210998153</v>
      </c>
      <c r="AV935" s="20"/>
      <c r="AW935" s="20"/>
      <c r="AX935" s="20">
        <f t="shared" si="239"/>
        <v>-1.0576493711224471</v>
      </c>
      <c r="AY935" s="20">
        <f t="shared" si="240"/>
        <v>4.4083863393417078</v>
      </c>
      <c r="AZ935" s="20"/>
      <c r="BA935" s="20">
        <f t="shared" si="241"/>
        <v>-0.4845892144488656</v>
      </c>
      <c r="BB935" s="20">
        <f t="shared" si="242"/>
        <v>1.3523775143142998</v>
      </c>
      <c r="BC935" s="20"/>
      <c r="BD935" s="20">
        <f t="shared" si="243"/>
        <v>-1.588672772118044</v>
      </c>
      <c r="BE935" s="20">
        <f t="shared" si="244"/>
        <v>4.6906163573421464</v>
      </c>
      <c r="BF935" s="20"/>
      <c r="BG935" s="54">
        <f t="shared" si="245"/>
        <v>339625.99481021019</v>
      </c>
      <c r="BH935" s="54">
        <f t="shared" si="246"/>
        <v>353471.41312579392</v>
      </c>
      <c r="BI935" s="54">
        <f t="shared" si="247"/>
        <v>324926.63381628046</v>
      </c>
      <c r="BJ935" s="20"/>
    </row>
    <row r="936" spans="37:62" x14ac:dyDescent="0.3">
      <c r="AK936">
        <v>932</v>
      </c>
      <c r="AL936">
        <v>466</v>
      </c>
      <c r="AN936" s="48">
        <f t="shared" si="248"/>
        <v>99553.409846400085</v>
      </c>
      <c r="AO936" s="48">
        <f t="shared" si="249"/>
        <v>-323092.89927193674</v>
      </c>
      <c r="AP936" s="20"/>
      <c r="AQ936" s="50">
        <f t="shared" si="250"/>
        <v>638.47091498358736</v>
      </c>
      <c r="AR936" s="50">
        <f t="shared" si="251"/>
        <v>-674.82397014752473</v>
      </c>
      <c r="AS936" s="20"/>
      <c r="AT936" s="52">
        <f t="shared" si="252"/>
        <v>-3.1296085964440716</v>
      </c>
      <c r="AU936" s="52">
        <f t="shared" si="253"/>
        <v>10.423561614401368</v>
      </c>
      <c r="AV936" s="20"/>
      <c r="AW936" s="20"/>
      <c r="AX936" s="20">
        <f t="shared" si="239"/>
        <v>-1.0581384009070824</v>
      </c>
      <c r="AY936" s="20">
        <f t="shared" si="240"/>
        <v>4.3972099054239706</v>
      </c>
      <c r="AZ936" s="20"/>
      <c r="BA936" s="20">
        <f t="shared" si="241"/>
        <v>-0.48413338442118159</v>
      </c>
      <c r="BB936" s="20">
        <f t="shared" si="242"/>
        <v>1.3488648534439294</v>
      </c>
      <c r="BC936" s="20"/>
      <c r="BD936" s="20">
        <f t="shared" si="243"/>
        <v>-1.5873368111158075</v>
      </c>
      <c r="BE936" s="20">
        <f t="shared" si="244"/>
        <v>4.6774868555334672</v>
      </c>
      <c r="BF936" s="20"/>
      <c r="BG936" s="54">
        <f t="shared" si="245"/>
        <v>340030.01348000771</v>
      </c>
      <c r="BH936" s="54">
        <f t="shared" si="246"/>
        <v>353898.14544764982</v>
      </c>
      <c r="BI936" s="54">
        <f t="shared" si="247"/>
        <v>325350.04240401916</v>
      </c>
      <c r="BJ936" s="20"/>
    </row>
    <row r="937" spans="37:62" x14ac:dyDescent="0.3">
      <c r="AK937">
        <v>933</v>
      </c>
      <c r="AL937">
        <v>466.5</v>
      </c>
      <c r="AN937" s="48">
        <f t="shared" si="248"/>
        <v>99872.254102817329</v>
      </c>
      <c r="AO937" s="48">
        <f t="shared" si="249"/>
        <v>-323429.00831180869</v>
      </c>
      <c r="AP937" s="20"/>
      <c r="AQ937" s="50">
        <f t="shared" si="250"/>
        <v>636.90611068536532</v>
      </c>
      <c r="AR937" s="50">
        <f t="shared" si="251"/>
        <v>-669.61218934032399</v>
      </c>
      <c r="AS937" s="20"/>
      <c r="AT937" s="52">
        <f t="shared" si="252"/>
        <v>-3.1283341533454201</v>
      </c>
      <c r="AU937" s="52">
        <f t="shared" si="253"/>
        <v>10.396009731493882</v>
      </c>
      <c r="AV937" s="20"/>
      <c r="AW937" s="20"/>
      <c r="AX937" s="20">
        <f t="shared" si="239"/>
        <v>-1.0586285528104367</v>
      </c>
      <c r="AY937" s="20">
        <f t="shared" si="240"/>
        <v>4.3861401069406627</v>
      </c>
      <c r="AZ937" s="20"/>
      <c r="BA937" s="20">
        <f t="shared" si="241"/>
        <v>-0.48368420948094387</v>
      </c>
      <c r="BB937" s="20">
        <f t="shared" si="242"/>
        <v>1.345385114431763</v>
      </c>
      <c r="BC937" s="20"/>
      <c r="BD937" s="20">
        <f t="shared" si="243"/>
        <v>-1.5860213910540395</v>
      </c>
      <c r="BE937" s="20">
        <f t="shared" si="244"/>
        <v>4.664484510121456</v>
      </c>
      <c r="BF937" s="20"/>
      <c r="BG937" s="54">
        <f t="shared" si="245"/>
        <v>340431.46963478887</v>
      </c>
      <c r="BH937" s="54">
        <f t="shared" si="246"/>
        <v>354322.25570444571</v>
      </c>
      <c r="BI937" s="54">
        <f t="shared" si="247"/>
        <v>325770.84407419217</v>
      </c>
      <c r="BJ937" s="20"/>
    </row>
    <row r="938" spans="37:62" x14ac:dyDescent="0.3">
      <c r="AK938">
        <v>934</v>
      </c>
      <c r="AL938">
        <v>467</v>
      </c>
      <c r="AN938" s="48">
        <f t="shared" si="248"/>
        <v>100190.31611639085</v>
      </c>
      <c r="AO938" s="48">
        <f t="shared" si="249"/>
        <v>-323762.51490526239</v>
      </c>
      <c r="AP938" s="20"/>
      <c r="AQ938" s="50">
        <f t="shared" si="250"/>
        <v>635.34194360869265</v>
      </c>
      <c r="AR938" s="50">
        <f t="shared" si="251"/>
        <v>-664.41418447457704</v>
      </c>
      <c r="AS938" s="20"/>
      <c r="AT938" s="52">
        <f t="shared" si="252"/>
        <v>-3.1270879938650431</v>
      </c>
      <c r="AU938" s="52">
        <f t="shared" si="253"/>
        <v>10.368721767812737</v>
      </c>
      <c r="AV938" s="20"/>
      <c r="AW938" s="20"/>
      <c r="AX938" s="20">
        <f t="shared" si="239"/>
        <v>-1.0591199425495852</v>
      </c>
      <c r="AY938" s="20">
        <f t="shared" si="240"/>
        <v>4.375175865949477</v>
      </c>
      <c r="AZ938" s="20"/>
      <c r="BA938" s="20">
        <f t="shared" si="241"/>
        <v>-0.48324164665002639</v>
      </c>
      <c r="BB938" s="20">
        <f t="shared" si="242"/>
        <v>1.3419379572700656</v>
      </c>
      <c r="BC938" s="20"/>
      <c r="BD938" s="20">
        <f t="shared" si="243"/>
        <v>-1.5847264046654317</v>
      </c>
      <c r="BE938" s="20">
        <f t="shared" si="244"/>
        <v>4.651607944593195</v>
      </c>
      <c r="BF938" s="20"/>
      <c r="BG938" s="54">
        <f t="shared" si="245"/>
        <v>340830.36921642692</v>
      </c>
      <c r="BH938" s="54">
        <f t="shared" si="246"/>
        <v>354743.75039462425</v>
      </c>
      <c r="BI938" s="54">
        <f t="shared" si="247"/>
        <v>326189.04521042487</v>
      </c>
      <c r="BJ938" s="20"/>
    </row>
    <row r="939" spans="37:62" x14ac:dyDescent="0.3">
      <c r="AK939">
        <v>935</v>
      </c>
      <c r="AL939">
        <v>467.5</v>
      </c>
      <c r="AN939" s="48">
        <f t="shared" si="248"/>
        <v>100507.59620219596</v>
      </c>
      <c r="AO939" s="48">
        <f t="shared" si="249"/>
        <v>-324093.42590727872</v>
      </c>
      <c r="AP939" s="20"/>
      <c r="AQ939" s="50">
        <f t="shared" si="250"/>
        <v>633.77839961176016</v>
      </c>
      <c r="AR939" s="50">
        <f t="shared" si="251"/>
        <v>-659.22982359067066</v>
      </c>
      <c r="AS939" s="20"/>
      <c r="AT939" s="52">
        <f t="shared" si="252"/>
        <v>-3.125870083633576</v>
      </c>
      <c r="AU939" s="52">
        <f t="shared" si="253"/>
        <v>10.3416949717809</v>
      </c>
      <c r="AV939" s="20"/>
      <c r="AW939" s="20"/>
      <c r="AX939" s="20">
        <f t="shared" si="239"/>
        <v>-1.0596126837732038</v>
      </c>
      <c r="AY939" s="20">
        <f t="shared" si="240"/>
        <v>4.364316120738664</v>
      </c>
      <c r="AZ939" s="20"/>
      <c r="BA939" s="20">
        <f t="shared" si="241"/>
        <v>-0.48280565362246042</v>
      </c>
      <c r="BB939" s="20">
        <f t="shared" si="242"/>
        <v>1.3385230470906315</v>
      </c>
      <c r="BC939" s="20"/>
      <c r="BD939" s="20">
        <f t="shared" si="243"/>
        <v>-1.5834517462379116</v>
      </c>
      <c r="BE939" s="20">
        <f t="shared" si="244"/>
        <v>4.6388558039516044</v>
      </c>
      <c r="BF939" s="20"/>
      <c r="BG939" s="54">
        <f t="shared" si="245"/>
        <v>341226.71810862317</v>
      </c>
      <c r="BH939" s="54">
        <f t="shared" si="246"/>
        <v>355162.63595273346</v>
      </c>
      <c r="BI939" s="54">
        <f t="shared" si="247"/>
        <v>326604.652133836</v>
      </c>
      <c r="BJ939" s="20"/>
    </row>
    <row r="940" spans="37:62" x14ac:dyDescent="0.3">
      <c r="AK940">
        <v>936</v>
      </c>
      <c r="AL940">
        <v>468</v>
      </c>
      <c r="AN940" s="48">
        <f t="shared" si="248"/>
        <v>100824.09466824138</v>
      </c>
      <c r="AO940" s="48">
        <f t="shared" si="249"/>
        <v>-324421.74810720258</v>
      </c>
      <c r="AP940" s="20"/>
      <c r="AQ940" s="50">
        <f t="shared" si="250"/>
        <v>632.21546456994338</v>
      </c>
      <c r="AR940" s="50">
        <f t="shared" si="251"/>
        <v>-654.05897610478019</v>
      </c>
      <c r="AS940" s="20"/>
      <c r="AT940" s="52">
        <f t="shared" si="252"/>
        <v>-3.1246803884699785</v>
      </c>
      <c r="AU940" s="52">
        <f t="shared" si="253"/>
        <v>10.314926633936212</v>
      </c>
      <c r="AV940" s="20"/>
      <c r="AW940" s="20"/>
      <c r="AX940" s="20">
        <f t="shared" si="239"/>
        <v>-1.060106888114972</v>
      </c>
      <c r="AY940" s="20">
        <f t="shared" si="240"/>
        <v>4.3535598255438455</v>
      </c>
      <c r="AZ940" s="20"/>
      <c r="BA940" s="20">
        <f t="shared" si="241"/>
        <v>-0.48237618875495381</v>
      </c>
      <c r="BB940" s="20">
        <f t="shared" si="242"/>
        <v>1.3351400540733682</v>
      </c>
      <c r="BC940" s="20"/>
      <c r="BD940" s="20">
        <f t="shared" si="243"/>
        <v>-1.5821973116000529</v>
      </c>
      <c r="BE940" s="20">
        <f t="shared" si="244"/>
        <v>4.6262267543189983</v>
      </c>
      <c r="BF940" s="20"/>
      <c r="BG940" s="54">
        <f t="shared" si="245"/>
        <v>341620.52213747654</v>
      </c>
      <c r="BH940" s="54">
        <f t="shared" si="246"/>
        <v>355578.91875008203</v>
      </c>
      <c r="BI940" s="54">
        <f t="shared" si="247"/>
        <v>327017.671103673</v>
      </c>
      <c r="BJ940" s="20"/>
    </row>
    <row r="941" spans="37:62" x14ac:dyDescent="0.3">
      <c r="AK941">
        <v>937</v>
      </c>
      <c r="AL941">
        <v>468.5</v>
      </c>
      <c r="AN941" s="48">
        <f t="shared" si="248"/>
        <v>101139.81181547779</v>
      </c>
      <c r="AO941" s="48">
        <f t="shared" si="249"/>
        <v>-324747.48822942574</v>
      </c>
      <c r="AP941" s="20"/>
      <c r="AQ941" s="50">
        <f t="shared" si="250"/>
        <v>630.65312437570844</v>
      </c>
      <c r="AR941" s="50">
        <f t="shared" si="251"/>
        <v>-648.90151278781207</v>
      </c>
      <c r="AS941" s="20"/>
      <c r="AT941" s="52">
        <f t="shared" si="252"/>
        <v>-3.1235188744098652</v>
      </c>
      <c r="AU941" s="52">
        <f t="shared" si="253"/>
        <v>10.288414086176925</v>
      </c>
      <c r="AV941" s="20"/>
      <c r="AW941" s="20"/>
      <c r="AX941" s="20">
        <f t="shared" si="239"/>
        <v>-1.0606026652455205</v>
      </c>
      <c r="AY941" s="20">
        <f t="shared" si="240"/>
        <v>4.3429059502703948</v>
      </c>
      <c r="AZ941" s="20"/>
      <c r="BA941" s="20">
        <f t="shared" si="241"/>
        <v>-0.4819532110576224</v>
      </c>
      <c r="BB941" s="20">
        <f t="shared" si="242"/>
        <v>1.3317886533569161</v>
      </c>
      <c r="BC941" s="20"/>
      <c r="BD941" s="20">
        <f t="shared" si="243"/>
        <v>-1.5809629981067221</v>
      </c>
      <c r="BE941" s="20">
        <f t="shared" si="244"/>
        <v>4.6137194825496142</v>
      </c>
      <c r="BF941" s="20"/>
      <c r="BG941" s="54">
        <f t="shared" si="245"/>
        <v>342011.78707204456</v>
      </c>
      <c r="BH941" s="54">
        <f t="shared" si="246"/>
        <v>355992.60509538522</v>
      </c>
      <c r="BI941" s="54">
        <f t="shared" si="247"/>
        <v>327428.10831793788</v>
      </c>
      <c r="BJ941" s="20"/>
    </row>
    <row r="942" spans="37:62" x14ac:dyDescent="0.3">
      <c r="AK942">
        <v>938</v>
      </c>
      <c r="AL942">
        <v>469</v>
      </c>
      <c r="AN942" s="48">
        <f t="shared" si="248"/>
        <v>101454.74793780634</v>
      </c>
      <c r="AO942" s="48">
        <f t="shared" si="249"/>
        <v>-325070.65293405886</v>
      </c>
      <c r="AP942" s="20"/>
      <c r="AQ942" s="50">
        <f t="shared" si="250"/>
        <v>629.09136493850349</v>
      </c>
      <c r="AR942" s="50">
        <f t="shared" si="251"/>
        <v>-643.75730574472357</v>
      </c>
      <c r="AS942" s="20"/>
      <c r="AT942" s="52">
        <f t="shared" si="252"/>
        <v>-3.1223855077330009</v>
      </c>
      <c r="AU942" s="52">
        <f t="shared" si="253"/>
        <v>10.262154701024027</v>
      </c>
      <c r="AV942" s="20"/>
      <c r="AW942" s="20"/>
      <c r="AX942" s="20">
        <f t="shared" si="239"/>
        <v>-1.0611001229231223</v>
      </c>
      <c r="AY942" s="20">
        <f t="shared" si="240"/>
        <v>4.332353480221899</v>
      </c>
      <c r="AZ942" s="20"/>
      <c r="BA942" s="20">
        <f t="shared" si="241"/>
        <v>-0.48153668018489143</v>
      </c>
      <c r="BB942" s="20">
        <f t="shared" si="242"/>
        <v>1.3284685249511445</v>
      </c>
      <c r="BC942" s="20"/>
      <c r="BD942" s="20">
        <f t="shared" si="243"/>
        <v>-1.5797487046249874</v>
      </c>
      <c r="BE942" s="20">
        <f t="shared" si="244"/>
        <v>4.6013326958509841</v>
      </c>
      <c r="BF942" s="20"/>
      <c r="BG942" s="54">
        <f t="shared" si="245"/>
        <v>342400.51862489607</v>
      </c>
      <c r="BH942" s="54">
        <f t="shared" si="246"/>
        <v>356403.70123540045</v>
      </c>
      <c r="BI942" s="54">
        <f t="shared" si="247"/>
        <v>327835.96991400362</v>
      </c>
      <c r="BJ942" s="20"/>
    </row>
    <row r="943" spans="37:62" x14ac:dyDescent="0.3">
      <c r="AK943">
        <v>939</v>
      </c>
      <c r="AL943">
        <v>469.5</v>
      </c>
      <c r="AN943" s="48">
        <f t="shared" si="248"/>
        <v>101768.90332208714</v>
      </c>
      <c r="AO943" s="48">
        <f t="shared" si="249"/>
        <v>-325391.24881759356</v>
      </c>
      <c r="AP943" s="20"/>
      <c r="AQ943" s="50">
        <f t="shared" si="250"/>
        <v>627.53017218463697</v>
      </c>
      <c r="AR943" s="50">
        <f t="shared" si="251"/>
        <v>-638.62622839421158</v>
      </c>
      <c r="AS943" s="20"/>
      <c r="AT943" s="52">
        <f t="shared" si="252"/>
        <v>-3.1212802549896752</v>
      </c>
      <c r="AU943" s="52">
        <f t="shared" si="253"/>
        <v>10.236145890898907</v>
      </c>
      <c r="AV943" s="20"/>
      <c r="AW943" s="20"/>
      <c r="AX943" s="20">
        <f t="shared" si="239"/>
        <v>-1.0615993670431367</v>
      </c>
      <c r="AY943" s="20">
        <f t="shared" si="240"/>
        <v>4.321901415834426</v>
      </c>
      <c r="AZ943" s="20"/>
      <c r="BA943" s="20">
        <f t="shared" si="241"/>
        <v>-0.48112655642658086</v>
      </c>
      <c r="BB943" s="20">
        <f t="shared" si="242"/>
        <v>1.3251793536515322</v>
      </c>
      <c r="BC943" s="20"/>
      <c r="BD943" s="20">
        <f t="shared" si="243"/>
        <v>-1.5785543315199577</v>
      </c>
      <c r="BE943" s="20">
        <f t="shared" si="244"/>
        <v>4.5890651214129488</v>
      </c>
      <c r="BF943" s="20"/>
      <c r="BG943" s="54">
        <f t="shared" si="245"/>
        <v>342786.72245265543</v>
      </c>
      <c r="BH943" s="54">
        <f t="shared" si="246"/>
        <v>356812.2133555531</v>
      </c>
      <c r="BI943" s="54">
        <f t="shared" si="247"/>
        <v>328241.26196922053</v>
      </c>
      <c r="BJ943" s="20"/>
    </row>
    <row r="944" spans="37:62" x14ac:dyDescent="0.3">
      <c r="AK944">
        <v>940</v>
      </c>
      <c r="AL944">
        <v>470</v>
      </c>
      <c r="AN944" s="48">
        <f t="shared" si="248"/>
        <v>102082.27824814757</v>
      </c>
      <c r="AO944" s="48">
        <f t="shared" si="249"/>
        <v>-325709.28241355432</v>
      </c>
      <c r="AP944" s="20"/>
      <c r="AQ944" s="50">
        <f t="shared" si="250"/>
        <v>625.96953205714215</v>
      </c>
      <c r="AR944" s="50">
        <f t="shared" si="251"/>
        <v>-633.50815544876218</v>
      </c>
      <c r="AS944" s="20"/>
      <c r="AT944" s="52">
        <f t="shared" si="252"/>
        <v>-3.1202030830264684</v>
      </c>
      <c r="AU944" s="52">
        <f t="shared" si="253"/>
        <v>10.210385107417368</v>
      </c>
      <c r="AV944" s="20"/>
      <c r="AW944" s="20"/>
      <c r="AX944" s="20">
        <f t="shared" si="239"/>
        <v>-1.0621005016861942</v>
      </c>
      <c r="AY944" s="20">
        <f t="shared" si="240"/>
        <v>4.3115487724162875</v>
      </c>
      <c r="AZ944" s="20"/>
      <c r="BA944" s="20">
        <f t="shared" si="241"/>
        <v>-0.48072280069917633</v>
      </c>
      <c r="BB944" s="20">
        <f t="shared" si="242"/>
        <v>1.3219208289553963</v>
      </c>
      <c r="BC944" s="20"/>
      <c r="BD944" s="20">
        <f t="shared" si="243"/>
        <v>-1.5773797806410976</v>
      </c>
      <c r="BE944" s="20">
        <f t="shared" si="244"/>
        <v>4.5769155060456841</v>
      </c>
      <c r="BF944" s="20"/>
      <c r="BG944" s="54">
        <f t="shared" si="245"/>
        <v>343170.40415653872</v>
      </c>
      <c r="BH944" s="54">
        <f t="shared" si="246"/>
        <v>357218.1475805529</v>
      </c>
      <c r="BI944" s="54">
        <f t="shared" si="247"/>
        <v>328643.99050151452</v>
      </c>
      <c r="BJ944" s="20"/>
    </row>
    <row r="945" spans="37:62" x14ac:dyDescent="0.3">
      <c r="AK945">
        <v>941</v>
      </c>
      <c r="AL945">
        <v>470.5</v>
      </c>
      <c r="AN945" s="48">
        <f t="shared" si="248"/>
        <v>102394.87298879077</v>
      </c>
      <c r="AO945" s="48">
        <f t="shared" si="249"/>
        <v>-326024.76019314025</v>
      </c>
      <c r="AP945" s="20"/>
      <c r="AQ945" s="50">
        <f t="shared" si="250"/>
        <v>624.40943051562886</v>
      </c>
      <c r="AR945" s="50">
        <f t="shared" si="251"/>
        <v>-628.40296289505352</v>
      </c>
      <c r="AS945" s="20"/>
      <c r="AT945" s="52">
        <f t="shared" si="252"/>
        <v>-3.1191539590109842</v>
      </c>
      <c r="AU945" s="52">
        <f t="shared" si="253"/>
        <v>10.184869840698271</v>
      </c>
      <c r="AV945" s="20"/>
      <c r="AW945" s="20"/>
      <c r="AX945" s="20">
        <f t="shared" si="239"/>
        <v>-1.062603629165183</v>
      </c>
      <c r="AY945" s="20">
        <f t="shared" si="240"/>
        <v>4.3012945798932467</v>
      </c>
      <c r="AZ945" s="20"/>
      <c r="BA945" s="20">
        <f t="shared" si="241"/>
        <v>-0.48032537453726526</v>
      </c>
      <c r="BB945" s="20">
        <f t="shared" si="242"/>
        <v>1.318692644979879</v>
      </c>
      <c r="BC945" s="20"/>
      <c r="BD945" s="20">
        <f t="shared" si="243"/>
        <v>-1.5762249553085357</v>
      </c>
      <c r="BE945" s="20">
        <f t="shared" si="244"/>
        <v>4.5648826158251454</v>
      </c>
      <c r="BF945" s="20"/>
      <c r="BG945" s="54">
        <f t="shared" si="245"/>
        <v>343551.56928288168</v>
      </c>
      <c r="BH945" s="54">
        <f t="shared" si="246"/>
        <v>357621.50997500087</v>
      </c>
      <c r="BI945" s="54">
        <f t="shared" si="247"/>
        <v>329044.16146997485</v>
      </c>
      <c r="BJ945" s="20"/>
    </row>
    <row r="946" spans="37:62" x14ac:dyDescent="0.3">
      <c r="AK946">
        <v>942</v>
      </c>
      <c r="AL946">
        <v>471</v>
      </c>
      <c r="AN946" s="48">
        <f t="shared" si="248"/>
        <v>102706.68780980371</v>
      </c>
      <c r="AO946" s="48">
        <f t="shared" si="249"/>
        <v>-326337.68856585771</v>
      </c>
      <c r="AP946" s="20"/>
      <c r="AQ946" s="50">
        <f t="shared" si="250"/>
        <v>622.84985353612342</v>
      </c>
      <c r="AR946" s="50">
        <f t="shared" si="251"/>
        <v>-623.31052797470443</v>
      </c>
      <c r="AS946" s="20"/>
      <c r="AT946" s="52">
        <f t="shared" si="252"/>
        <v>-3.1181328504557739</v>
      </c>
      <c r="AU946" s="52">
        <f t="shared" si="253"/>
        <v>10.159597618687043</v>
      </c>
      <c r="AV946" s="20"/>
      <c r="AW946" s="20"/>
      <c r="AX946" s="20">
        <f t="shared" si="239"/>
        <v>-1.0631088500710839</v>
      </c>
      <c r="AY946" s="20">
        <f t="shared" si="240"/>
        <v>4.2911378825591004</v>
      </c>
      <c r="AZ946" s="20"/>
      <c r="BA946" s="20">
        <f t="shared" si="241"/>
        <v>-0.47993424008513103</v>
      </c>
      <c r="BB946" s="20">
        <f t="shared" si="242"/>
        <v>1.3154945003816463</v>
      </c>
      <c r="BC946" s="20"/>
      <c r="BD946" s="20">
        <f t="shared" si="243"/>
        <v>-1.575089760299559</v>
      </c>
      <c r="BE946" s="20">
        <f t="shared" si="244"/>
        <v>4.5529652357462957</v>
      </c>
      <c r="BF946" s="20"/>
      <c r="BG946" s="54">
        <f t="shared" si="245"/>
        <v>343930.22332366044</v>
      </c>
      <c r="BH946" s="54">
        <f t="shared" si="246"/>
        <v>358022.3065439869</v>
      </c>
      <c r="BI946" s="54">
        <f t="shared" si="247"/>
        <v>329441.78077543463</v>
      </c>
      <c r="BJ946" s="20"/>
    </row>
    <row r="947" spans="37:62" x14ac:dyDescent="0.3">
      <c r="AK947">
        <v>943</v>
      </c>
      <c r="AL947">
        <v>471.5</v>
      </c>
      <c r="AN947" s="48">
        <f t="shared" si="248"/>
        <v>103017.72296996546</v>
      </c>
      <c r="AO947" s="48">
        <f t="shared" si="249"/>
        <v>-326648.07388014277</v>
      </c>
      <c r="AP947" s="20"/>
      <c r="AQ947" s="50">
        <f t="shared" si="250"/>
        <v>621.29078711089551</v>
      </c>
      <c r="AR947" s="50">
        <f t="shared" si="251"/>
        <v>-618.23072916536091</v>
      </c>
      <c r="AS947" s="20"/>
      <c r="AT947" s="52">
        <f t="shared" si="252"/>
        <v>-3.1171397252416124</v>
      </c>
      <c r="AU947" s="52">
        <f t="shared" si="253"/>
        <v>10.13456600649404</v>
      </c>
      <c r="AV947" s="20"/>
      <c r="AW947" s="20"/>
      <c r="AX947" s="20">
        <f t="shared" si="239"/>
        <v>-1.0636162633177118</v>
      </c>
      <c r="AY947" s="20">
        <f t="shared" si="240"/>
        <v>4.2810777388316028</v>
      </c>
      <c r="AZ947" s="20"/>
      <c r="BA947" s="20">
        <f t="shared" si="241"/>
        <v>-0.47954936008855653</v>
      </c>
      <c r="BB947" s="20">
        <f t="shared" si="242"/>
        <v>1.3123260982783975</v>
      </c>
      <c r="BC947" s="20"/>
      <c r="BD947" s="20">
        <f t="shared" si="243"/>
        <v>-1.5739741018353441</v>
      </c>
      <c r="BE947" s="20">
        <f t="shared" si="244"/>
        <v>4.5411621693840409</v>
      </c>
      <c r="BF947" s="20"/>
      <c r="BG947" s="54">
        <f t="shared" si="245"/>
        <v>344306.37171700335</v>
      </c>
      <c r="BH947" s="54">
        <f t="shared" si="246"/>
        <v>358420.54323367856</v>
      </c>
      <c r="BI947" s="54">
        <f t="shared" si="247"/>
        <v>329836.85426104086</v>
      </c>
      <c r="BJ947" s="20"/>
    </row>
    <row r="948" spans="37:62" x14ac:dyDescent="0.3">
      <c r="AK948">
        <v>944</v>
      </c>
      <c r="AL948">
        <v>472</v>
      </c>
      <c r="AN948" s="48">
        <f t="shared" si="248"/>
        <v>103327.97872105525</v>
      </c>
      <c r="AO948" s="48">
        <f t="shared" si="249"/>
        <v>-326955.92242397461</v>
      </c>
      <c r="AP948" s="20"/>
      <c r="AQ948" s="50">
        <f t="shared" si="250"/>
        <v>619.73221724827465</v>
      </c>
      <c r="AR948" s="50">
        <f t="shared" si="251"/>
        <v>-613.16344616211393</v>
      </c>
      <c r="AS948" s="20"/>
      <c r="AT948" s="52">
        <f t="shared" si="252"/>
        <v>-3.1161745516398316</v>
      </c>
      <c r="AU948" s="52">
        <f t="shared" si="253"/>
        <v>10.109772605746432</v>
      </c>
      <c r="AV948" s="20"/>
      <c r="AW948" s="20"/>
      <c r="AX948" s="20">
        <f t="shared" si="239"/>
        <v>-1.0641259661852787</v>
      </c>
      <c r="AY948" s="20">
        <f t="shared" si="240"/>
        <v>4.2711132210131399</v>
      </c>
      <c r="AZ948" s="20"/>
      <c r="BA948" s="20">
        <f t="shared" si="241"/>
        <v>-0.47917069788672495</v>
      </c>
      <c r="BB948" s="20">
        <f t="shared" si="242"/>
        <v>1.3091871461718509</v>
      </c>
      <c r="BC948" s="20"/>
      <c r="BD948" s="20">
        <f t="shared" si="243"/>
        <v>-1.5728778875678278</v>
      </c>
      <c r="BE948" s="20">
        <f t="shared" si="244"/>
        <v>4.5294722385614419</v>
      </c>
      <c r="BF948" s="20"/>
      <c r="BG948" s="54">
        <f t="shared" si="245"/>
        <v>344680.01984769636</v>
      </c>
      <c r="BH948" s="54">
        <f t="shared" si="246"/>
        <v>358816.2259319005</v>
      </c>
      <c r="BI948" s="54">
        <f t="shared" si="247"/>
        <v>330229.38771281741</v>
      </c>
      <c r="BJ948" s="20"/>
    </row>
    <row r="949" spans="37:62" x14ac:dyDescent="0.3">
      <c r="AK949">
        <v>945</v>
      </c>
      <c r="AL949">
        <v>472.5</v>
      </c>
      <c r="AN949" s="48">
        <f t="shared" si="248"/>
        <v>103637.45530786042</v>
      </c>
      <c r="AO949" s="48">
        <f t="shared" si="249"/>
        <v>-327261.24042547995</v>
      </c>
      <c r="AP949" s="20"/>
      <c r="AQ949" s="50">
        <f t="shared" si="250"/>
        <v>618.17412997245469</v>
      </c>
      <c r="AR949" s="50">
        <f t="shared" si="251"/>
        <v>-608.1085598592407</v>
      </c>
      <c r="AS949" s="20"/>
      <c r="AT949" s="52">
        <f t="shared" si="252"/>
        <v>-3.115237298334117</v>
      </c>
      <c r="AU949" s="52">
        <f t="shared" si="253"/>
        <v>10.085215053954467</v>
      </c>
      <c r="AV949" s="20"/>
      <c r="AW949" s="20"/>
      <c r="AX949" s="20">
        <f t="shared" si="239"/>
        <v>-1.0646380543629925</v>
      </c>
      <c r="AY949" s="20">
        <f t="shared" si="240"/>
        <v>4.2612434150567671</v>
      </c>
      <c r="AZ949" s="20"/>
      <c r="BA949" s="20">
        <f t="shared" si="241"/>
        <v>-0.47879821740434952</v>
      </c>
      <c r="BB949" s="20">
        <f t="shared" si="242"/>
        <v>1.3060773558725389</v>
      </c>
      <c r="BC949" s="20"/>
      <c r="BD949" s="20">
        <f t="shared" si="243"/>
        <v>-1.5718010265667752</v>
      </c>
      <c r="BE949" s="20">
        <f t="shared" si="244"/>
        <v>4.5178942830251607</v>
      </c>
      <c r="BF949" s="20"/>
      <c r="BG949" s="54">
        <f t="shared" si="245"/>
        <v>345051.17304768047</v>
      </c>
      <c r="BH949" s="54">
        <f t="shared" si="246"/>
        <v>359209.36046870577</v>
      </c>
      <c r="BI949" s="54">
        <f t="shared" si="247"/>
        <v>330619.38686021842</v>
      </c>
      <c r="BJ949" s="20"/>
    </row>
    <row r="950" spans="37:62" x14ac:dyDescent="0.3">
      <c r="AK950">
        <v>946</v>
      </c>
      <c r="AL950">
        <v>473</v>
      </c>
      <c r="AN950" s="48">
        <f t="shared" si="248"/>
        <v>103946.15296818437</v>
      </c>
      <c r="AO950" s="48">
        <f t="shared" si="249"/>
        <v>-327564.03405352781</v>
      </c>
      <c r="AP950" s="20"/>
      <c r="AQ950" s="50">
        <f t="shared" si="250"/>
        <v>616.61651132328768</v>
      </c>
      <c r="AR950" s="50">
        <f t="shared" si="251"/>
        <v>-603.06595233226346</v>
      </c>
      <c r="AS950" s="20"/>
      <c r="AT950" s="52">
        <f t="shared" si="252"/>
        <v>-3.1143279344414112</v>
      </c>
      <c r="AU950" s="52">
        <f t="shared" si="253"/>
        <v>10.060891023890523</v>
      </c>
      <c r="AV950" s="20"/>
      <c r="AW950" s="20"/>
      <c r="AX950" s="20">
        <f t="shared" si="239"/>
        <v>-1.0651526219905227</v>
      </c>
      <c r="AY950" s="20">
        <f t="shared" si="240"/>
        <v>4.2514674203367013</v>
      </c>
      <c r="AZ950" s="20"/>
      <c r="BA950" s="20">
        <f t="shared" si="241"/>
        <v>-0.47843188314388985</v>
      </c>
      <c r="BB950" s="20">
        <f t="shared" si="242"/>
        <v>1.3029964434259862</v>
      </c>
      <c r="BC950" s="20"/>
      <c r="BD950" s="20">
        <f t="shared" si="243"/>
        <v>-1.5707434293069986</v>
      </c>
      <c r="BE950" s="20">
        <f t="shared" si="244"/>
        <v>4.506427160127835</v>
      </c>
      <c r="BF950" s="20"/>
      <c r="BG950" s="54">
        <f t="shared" si="245"/>
        <v>345419.83659654151</v>
      </c>
      <c r="BH950" s="54">
        <f t="shared" si="246"/>
        <v>359599.95261693769</v>
      </c>
      <c r="BI950" s="54">
        <f t="shared" si="247"/>
        <v>331006.85737667419</v>
      </c>
      <c r="BJ950" s="20"/>
    </row>
    <row r="951" spans="37:62" x14ac:dyDescent="0.3">
      <c r="AK951">
        <v>947</v>
      </c>
      <c r="AL951">
        <v>473.5</v>
      </c>
      <c r="AN951" s="48">
        <f t="shared" si="248"/>
        <v>104254.0719328542</v>
      </c>
      <c r="AO951" s="48">
        <f t="shared" si="249"/>
        <v>-327864.30941831594</v>
      </c>
      <c r="AP951" s="20"/>
      <c r="AQ951" s="50">
        <f t="shared" si="250"/>
        <v>615.05934735606695</v>
      </c>
      <c r="AR951" s="50">
        <f t="shared" si="251"/>
        <v>-598.03550682031823</v>
      </c>
      <c r="AS951" s="20"/>
      <c r="AT951" s="52">
        <f t="shared" si="252"/>
        <v>-3.113446429532313</v>
      </c>
      <c r="AU951" s="52">
        <f t="shared" si="253"/>
        <v>10.036798222981879</v>
      </c>
      <c r="AV951" s="20"/>
      <c r="AW951" s="20"/>
      <c r="AX951" s="20">
        <f t="shared" si="239"/>
        <v>-1.0656697616985658</v>
      </c>
      <c r="AY951" s="20">
        <f t="shared" si="240"/>
        <v>4.241784349423952</v>
      </c>
      <c r="AZ951" s="20"/>
      <c r="BA951" s="20">
        <f t="shared" si="241"/>
        <v>-0.47807166017799813</v>
      </c>
      <c r="BB951" s="20">
        <f t="shared" si="242"/>
        <v>1.2999441290406395</v>
      </c>
      <c r="BC951" s="20"/>
      <c r="BD951" s="20">
        <f t="shared" si="243"/>
        <v>-1.5697050076557491</v>
      </c>
      <c r="BE951" s="20">
        <f t="shared" si="244"/>
        <v>4.4950697445172869</v>
      </c>
      <c r="BF951" s="20"/>
      <c r="BG951" s="54">
        <f t="shared" si="245"/>
        <v>345786.01572199317</v>
      </c>
      <c r="BH951" s="54">
        <f t="shared" si="246"/>
        <v>359988.00809278415</v>
      </c>
      <c r="BI951" s="54">
        <f t="shared" si="247"/>
        <v>331391.8048801283</v>
      </c>
      <c r="BJ951" s="20"/>
    </row>
    <row r="952" spans="37:62" x14ac:dyDescent="0.3">
      <c r="AK952">
        <v>948</v>
      </c>
      <c r="AL952">
        <v>474</v>
      </c>
      <c r="AN952" s="48">
        <f t="shared" si="248"/>
        <v>104561.21242572855</v>
      </c>
      <c r="AO952" s="48">
        <f t="shared" si="249"/>
        <v>-328162.07257194823</v>
      </c>
      <c r="AP952" s="20"/>
      <c r="AQ952" s="50">
        <f t="shared" si="250"/>
        <v>613.50262414130077</v>
      </c>
      <c r="AR952" s="50">
        <f t="shared" si="251"/>
        <v>-593.01710770882733</v>
      </c>
      <c r="AS952" s="20"/>
      <c r="AT952" s="52">
        <f t="shared" si="252"/>
        <v>-3.1125927536507261</v>
      </c>
      <c r="AU952" s="52">
        <f t="shared" si="253"/>
        <v>10.012934392715863</v>
      </c>
      <c r="AV952" s="20"/>
      <c r="AW952" s="20"/>
      <c r="AX952" s="20">
        <f t="shared" si="239"/>
        <v>-1.0661895646483353</v>
      </c>
      <c r="AY952" s="20">
        <f t="shared" si="240"/>
        <v>4.2321933278661845</v>
      </c>
      <c r="AZ952" s="20"/>
      <c r="BA952" s="20">
        <f t="shared" si="241"/>
        <v>-0.47771751414202995</v>
      </c>
      <c r="BB952" s="20">
        <f t="shared" si="242"/>
        <v>1.2969201370170669</v>
      </c>
      <c r="BC952" s="20"/>
      <c r="BD952" s="20">
        <f t="shared" si="243"/>
        <v>-1.568685674860361</v>
      </c>
      <c r="BE952" s="20">
        <f t="shared" si="244"/>
        <v>4.4838209278326113</v>
      </c>
      <c r="BF952" s="20"/>
      <c r="BG952" s="54">
        <f t="shared" si="245"/>
        <v>346149.71560035268</v>
      </c>
      <c r="BH952" s="54">
        <f t="shared" si="246"/>
        <v>360373.53255632281</v>
      </c>
      <c r="BI952" s="54">
        <f t="shared" si="247"/>
        <v>331774.23493356712</v>
      </c>
      <c r="BJ952" s="20"/>
    </row>
    <row r="953" spans="37:62" x14ac:dyDescent="0.3">
      <c r="AK953">
        <v>949</v>
      </c>
      <c r="AL953">
        <v>474.5</v>
      </c>
      <c r="AN953" s="48">
        <f t="shared" si="248"/>
        <v>104867.574663705</v>
      </c>
      <c r="AO953" s="48">
        <f t="shared" si="249"/>
        <v>-328457.32950900355</v>
      </c>
      <c r="AP953" s="20"/>
      <c r="AQ953" s="50">
        <f t="shared" si="250"/>
        <v>611.94632776447543</v>
      </c>
      <c r="AR953" s="50">
        <f t="shared" si="251"/>
        <v>-588.01064051246942</v>
      </c>
      <c r="AS953" s="20"/>
      <c r="AT953" s="52">
        <f t="shared" si="252"/>
        <v>-3.1117668773328857</v>
      </c>
      <c r="AU953" s="52">
        <f t="shared" si="253"/>
        <v>9.9892973080575871</v>
      </c>
      <c r="AV953" s="20"/>
      <c r="AW953" s="20"/>
      <c r="AX953" s="20">
        <f t="shared" si="239"/>
        <v>-1.0667121205701877</v>
      </c>
      <c r="AY953" s="20">
        <f t="shared" si="240"/>
        <v>4.2226934939724297</v>
      </c>
      <c r="AZ953" s="20"/>
      <c r="BA953" s="20">
        <f t="shared" si="241"/>
        <v>-0.47736941122678983</v>
      </c>
      <c r="BB953" s="20">
        <f t="shared" si="242"/>
        <v>1.2939241956788612</v>
      </c>
      <c r="BC953" s="20"/>
      <c r="BD953" s="20">
        <f t="shared" si="243"/>
        <v>-1.5676853455359081</v>
      </c>
      <c r="BE953" s="20">
        <f t="shared" si="244"/>
        <v>4.4726796184062954</v>
      </c>
      <c r="BF953" s="20"/>
      <c r="BG953" s="54">
        <f t="shared" si="245"/>
        <v>346510.94135700929</v>
      </c>
      <c r="BH953" s="54">
        <f t="shared" si="246"/>
        <v>360756.53161205852</v>
      </c>
      <c r="BI953" s="54">
        <f t="shared" si="247"/>
        <v>332154.1530455412</v>
      </c>
      <c r="BJ953" s="20"/>
    </row>
    <row r="954" spans="37:62" x14ac:dyDescent="0.3">
      <c r="AK954">
        <v>950</v>
      </c>
      <c r="AL954">
        <v>475</v>
      </c>
      <c r="AN954" s="48">
        <f t="shared" si="248"/>
        <v>105173.15885672758</v>
      </c>
      <c r="AO954" s="48">
        <f t="shared" si="249"/>
        <v>-328750.08616709628</v>
      </c>
      <c r="AP954" s="20"/>
      <c r="AQ954" s="50">
        <f t="shared" si="250"/>
        <v>610.39044432580897</v>
      </c>
      <c r="AR954" s="50">
        <f t="shared" si="251"/>
        <v>-583.01599185844066</v>
      </c>
      <c r="AS954" s="20"/>
      <c r="AT954" s="52">
        <f t="shared" si="252"/>
        <v>-3.1109687716258003</v>
      </c>
      <c r="AU954" s="52">
        <f t="shared" si="253"/>
        <v>9.9658847768798502</v>
      </c>
      <c r="AV954" s="20"/>
      <c r="AW954" s="20"/>
      <c r="AX954" s="20">
        <f t="shared" si="239"/>
        <v>-1.0672375178012388</v>
      </c>
      <c r="AY954" s="20">
        <f t="shared" si="240"/>
        <v>4.2132839986018586</v>
      </c>
      <c r="AZ954" s="20"/>
      <c r="BA954" s="20">
        <f t="shared" si="241"/>
        <v>-0.4770273181713367</v>
      </c>
      <c r="BB954" s="20">
        <f t="shared" si="242"/>
        <v>1.2909560373047511</v>
      </c>
      <c r="BC954" s="20"/>
      <c r="BD954" s="20">
        <f t="shared" si="243"/>
        <v>-1.5667039356532246</v>
      </c>
      <c r="BE954" s="20">
        <f t="shared" si="244"/>
        <v>4.4616447409732407</v>
      </c>
      <c r="BF954" s="20"/>
      <c r="BG954" s="54">
        <f t="shared" si="245"/>
        <v>346869.69806688651</v>
      </c>
      <c r="BH954" s="54">
        <f t="shared" si="246"/>
        <v>361137.01080945262</v>
      </c>
      <c r="BI954" s="54">
        <f t="shared" si="247"/>
        <v>332531.56467067916</v>
      </c>
      <c r="BJ954" s="20"/>
    </row>
    <row r="955" spans="37:62" x14ac:dyDescent="0.3">
      <c r="AK955">
        <v>951</v>
      </c>
      <c r="AL955">
        <v>475.5</v>
      </c>
      <c r="AN955" s="48">
        <f t="shared" si="248"/>
        <v>105477.96520779403</v>
      </c>
      <c r="AO955" s="48">
        <f t="shared" si="249"/>
        <v>-329040.3484274284</v>
      </c>
      <c r="AP955" s="20"/>
      <c r="AQ955" s="50">
        <f t="shared" si="250"/>
        <v>608.83495993999611</v>
      </c>
      <c r="AR955" s="50">
        <f t="shared" si="251"/>
        <v>-578.03304947000072</v>
      </c>
      <c r="AS955" s="20"/>
      <c r="AT955" s="52">
        <f t="shared" si="252"/>
        <v>-3.1101984081051199</v>
      </c>
      <c r="AU955" s="52">
        <f t="shared" si="253"/>
        <v>9.9426946394050475</v>
      </c>
      <c r="AV955" s="20"/>
      <c r="AW955" s="20"/>
      <c r="AX955" s="20">
        <f t="shared" si="239"/>
        <v>-1.0677658433221815</v>
      </c>
      <c r="AY955" s="20">
        <f t="shared" si="240"/>
        <v>4.2039640049572462</v>
      </c>
      <c r="AZ955" s="20"/>
      <c r="BA955" s="20">
        <f t="shared" si="241"/>
        <v>-0.47669120225600303</v>
      </c>
      <c r="BB955" s="20">
        <f t="shared" si="242"/>
        <v>1.2880153980623061</v>
      </c>
      <c r="BC955" s="20"/>
      <c r="BD955" s="20">
        <f t="shared" si="243"/>
        <v>-1.5657413625269356</v>
      </c>
      <c r="BE955" s="20">
        <f t="shared" si="244"/>
        <v>4.450715236385494</v>
      </c>
      <c r="BF955" s="20"/>
      <c r="BG955" s="54">
        <f t="shared" si="245"/>
        <v>347225.99075489689</v>
      </c>
      <c r="BH955" s="54">
        <f t="shared" si="246"/>
        <v>361514.97564344469</v>
      </c>
      <c r="BI955" s="54">
        <f t="shared" si="247"/>
        <v>332906.47521019349</v>
      </c>
      <c r="BJ955" s="20"/>
    </row>
    <row r="956" spans="37:62" x14ac:dyDescent="0.3">
      <c r="AK956">
        <v>952</v>
      </c>
      <c r="AL956">
        <v>476</v>
      </c>
      <c r="AN956" s="48">
        <f t="shared" si="248"/>
        <v>105781.99391296301</v>
      </c>
      <c r="AO956" s="48">
        <f t="shared" si="249"/>
        <v>-329328.12211533351</v>
      </c>
      <c r="AP956" s="20"/>
      <c r="AQ956" s="50">
        <f t="shared" si="250"/>
        <v>607.27986073594354</v>
      </c>
      <c r="AR956" s="50">
        <f t="shared" si="251"/>
        <v>-573.06170215029817</v>
      </c>
      <c r="AS956" s="20"/>
      <c r="AT956" s="52">
        <f t="shared" si="252"/>
        <v>-3.1094557588924312</v>
      </c>
      <c r="AU956" s="52">
        <f t="shared" si="253"/>
        <v>9.9197247676585203</v>
      </c>
      <c r="AV956" s="20"/>
      <c r="AW956" s="20"/>
      <c r="AX956" s="20">
        <f t="shared" si="239"/>
        <v>-1.0682971827931436</v>
      </c>
      <c r="AY956" s="20">
        <f t="shared" si="240"/>
        <v>4.1947326883822802</v>
      </c>
      <c r="AZ956" s="20"/>
      <c r="BA956" s="20">
        <f t="shared" si="241"/>
        <v>-0.47636103129549329</v>
      </c>
      <c r="BB956" s="20">
        <f t="shared" si="242"/>
        <v>1.2851020179428445</v>
      </c>
      <c r="BC956" s="20"/>
      <c r="BD956" s="20">
        <f t="shared" si="243"/>
        <v>-1.5647975448037943</v>
      </c>
      <c r="BE956" s="20">
        <f t="shared" si="244"/>
        <v>4.4398900613333954</v>
      </c>
      <c r="BF956" s="20"/>
      <c r="BG956" s="54">
        <f t="shared" si="245"/>
        <v>347579.82439639047</v>
      </c>
      <c r="BH956" s="54">
        <f t="shared" si="246"/>
        <v>361890.43155496573</v>
      </c>
      <c r="BI956" s="54">
        <f t="shared" si="247"/>
        <v>333278.89001237956</v>
      </c>
      <c r="BJ956" s="20"/>
    </row>
    <row r="957" spans="37:62" x14ac:dyDescent="0.3">
      <c r="AK957">
        <v>953</v>
      </c>
      <c r="AL957">
        <v>476.5</v>
      </c>
      <c r="AN957" s="48">
        <f t="shared" si="248"/>
        <v>106085.2451613611</v>
      </c>
      <c r="AO957" s="48">
        <f t="shared" si="249"/>
        <v>-329613.4130008127</v>
      </c>
      <c r="AP957" s="20"/>
      <c r="AQ957" s="50">
        <f t="shared" si="250"/>
        <v>605.72513285649734</v>
      </c>
      <c r="AR957" s="50">
        <f t="shared" si="251"/>
        <v>-568.10183976646897</v>
      </c>
      <c r="AS957" s="20"/>
      <c r="AT957" s="52">
        <f t="shared" si="252"/>
        <v>-3.1087407966719947</v>
      </c>
      <c r="AU957" s="52">
        <f t="shared" si="253"/>
        <v>9.8969730649333485</v>
      </c>
      <c r="AV957" s="20"/>
      <c r="AW957" s="20"/>
      <c r="AX957" s="20">
        <f t="shared" si="239"/>
        <v>-1.0688316205887736</v>
      </c>
      <c r="AY957" s="20">
        <f t="shared" si="240"/>
        <v>4.1855892361632918</v>
      </c>
      <c r="AZ957" s="20"/>
      <c r="BA957" s="20">
        <f t="shared" si="241"/>
        <v>-0.47603677363215563</v>
      </c>
      <c r="BB957" s="20">
        <f t="shared" si="242"/>
        <v>1.2822156406977829</v>
      </c>
      <c r="BC957" s="20"/>
      <c r="BD957" s="20">
        <f t="shared" si="243"/>
        <v>-1.5638724024510655</v>
      </c>
      <c r="BE957" s="20">
        <f t="shared" si="244"/>
        <v>4.4291681880722749</v>
      </c>
      <c r="BF957" s="20"/>
      <c r="BG957" s="54">
        <f t="shared" si="245"/>
        <v>347931.20391759655</v>
      </c>
      <c r="BH957" s="54">
        <f t="shared" si="246"/>
        <v>362263.38393144443</v>
      </c>
      <c r="BI957" s="54">
        <f t="shared" si="247"/>
        <v>333648.81437310646</v>
      </c>
      <c r="BJ957" s="20"/>
    </row>
    <row r="958" spans="37:62" x14ac:dyDescent="0.3">
      <c r="AK958">
        <v>954</v>
      </c>
      <c r="AL958">
        <v>477</v>
      </c>
      <c r="AN958" s="48">
        <f t="shared" si="248"/>
        <v>106387.71913518976</v>
      </c>
      <c r="AO958" s="48">
        <f t="shared" si="249"/>
        <v>-329896.2267990628</v>
      </c>
      <c r="AP958" s="20"/>
      <c r="AQ958" s="50">
        <f t="shared" si="250"/>
        <v>604.17076245816133</v>
      </c>
      <c r="AR958" s="50">
        <f t="shared" si="251"/>
        <v>-563.15335323400234</v>
      </c>
      <c r="AS958" s="20"/>
      <c r="AT958" s="52">
        <f t="shared" si="252"/>
        <v>-3.10805349470701</v>
      </c>
      <c r="AU958" s="52">
        <f t="shared" si="253"/>
        <v>9.8744374652662081</v>
      </c>
      <c r="AV958" s="20"/>
      <c r="AW958" s="20"/>
      <c r="AX958" s="20">
        <f t="shared" si="239"/>
        <v>-1.0693692398324424</v>
      </c>
      <c r="AY958" s="20">
        <f t="shared" si="240"/>
        <v>4.1765328473347427</v>
      </c>
      <c r="AZ958" s="20"/>
      <c r="BA958" s="20">
        <f t="shared" si="241"/>
        <v>-0.47571839812938227</v>
      </c>
      <c r="BB958" s="20">
        <f t="shared" si="242"/>
        <v>1.2793560137762716</v>
      </c>
      <c r="BC958" s="20"/>
      <c r="BD958" s="20">
        <f t="shared" si="243"/>
        <v>-1.5629658567451854</v>
      </c>
      <c r="BE958" s="20">
        <f t="shared" si="244"/>
        <v>4.4185486041551929</v>
      </c>
      <c r="BF958" s="20"/>
      <c r="BG958" s="54">
        <f t="shared" si="245"/>
        <v>348280.13419605925</v>
      </c>
      <c r="BH958" s="54">
        <f t="shared" si="246"/>
        <v>362633.83810730564</v>
      </c>
      <c r="BI958" s="54">
        <f t="shared" si="247"/>
        <v>334016.25353630132</v>
      </c>
      <c r="BJ958" s="20"/>
    </row>
    <row r="959" spans="37:62" x14ac:dyDescent="0.3">
      <c r="AK959">
        <v>955</v>
      </c>
      <c r="AL959">
        <v>477.5</v>
      </c>
      <c r="AN959" s="48">
        <f t="shared" si="248"/>
        <v>106689.416009732</v>
      </c>
      <c r="AO959" s="48">
        <f t="shared" si="249"/>
        <v>-330176.56917099666</v>
      </c>
      <c r="AP959" s="20"/>
      <c r="AQ959" s="50">
        <f t="shared" si="250"/>
        <v>602.6167357108078</v>
      </c>
      <c r="AR959" s="50">
        <f t="shared" si="251"/>
        <v>-558.2161345013692</v>
      </c>
      <c r="AS959" s="20"/>
      <c r="AT959" s="52">
        <f t="shared" si="252"/>
        <v>-3.1073938268553531</v>
      </c>
      <c r="AU959" s="52">
        <f t="shared" si="253"/>
        <v>9.8521159329240291</v>
      </c>
      <c r="AV959" s="20"/>
      <c r="AW959" s="20"/>
      <c r="AX959" s="20">
        <f t="shared" si="239"/>
        <v>-1.0699101224296956</v>
      </c>
      <c r="AY959" s="20">
        <f t="shared" si="240"/>
        <v>4.1675627324888413</v>
      </c>
      <c r="AZ959" s="20"/>
      <c r="BA959" s="20">
        <f t="shared" si="241"/>
        <v>-0.47540587416511765</v>
      </c>
      <c r="BB959" s="20">
        <f t="shared" si="242"/>
        <v>1.2765228882640454</v>
      </c>
      <c r="BC959" s="20"/>
      <c r="BD959" s="20">
        <f t="shared" si="243"/>
        <v>-1.5620778302605398</v>
      </c>
      <c r="BE959" s="20">
        <f t="shared" si="244"/>
        <v>4.4080303121711415</v>
      </c>
      <c r="BF959" s="20"/>
      <c r="BG959" s="54">
        <f t="shared" si="245"/>
        <v>348626.62006106658</v>
      </c>
      <c r="BH959" s="54">
        <f t="shared" si="246"/>
        <v>363001.79936446156</v>
      </c>
      <c r="BI959" s="54">
        <f t="shared" si="247"/>
        <v>334381.21269442613</v>
      </c>
      <c r="BJ959" s="20"/>
    </row>
    <row r="960" spans="37:62" x14ac:dyDescent="0.3">
      <c r="AK960">
        <v>956</v>
      </c>
      <c r="AL960">
        <v>478</v>
      </c>
      <c r="AN960" s="48">
        <f t="shared" si="248"/>
        <v>106990.33595335906</v>
      </c>
      <c r="AO960" s="48">
        <f t="shared" si="249"/>
        <v>-330454.44572375575</v>
      </c>
      <c r="AP960" s="20"/>
      <c r="AQ960" s="50">
        <f t="shared" si="250"/>
        <v>601.06303879738016</v>
      </c>
      <c r="AR960" s="50">
        <f t="shared" si="251"/>
        <v>-553.29007653490714</v>
      </c>
      <c r="AS960" s="20"/>
      <c r="AT960" s="52">
        <f t="shared" si="252"/>
        <v>-3.1067617675847838</v>
      </c>
      <c r="AU960" s="52">
        <f t="shared" si="253"/>
        <v>9.8300064619010428</v>
      </c>
      <c r="AV960" s="20"/>
      <c r="AW960" s="20"/>
      <c r="AX960" s="20">
        <f t="shared" si="239"/>
        <v>-1.0704543491008798</v>
      </c>
      <c r="AY960" s="20">
        <f t="shared" si="240"/>
        <v>4.1586781135888042</v>
      </c>
      <c r="AZ960" s="20"/>
      <c r="BA960" s="20">
        <f t="shared" si="241"/>
        <v>-0.47509917162550941</v>
      </c>
      <c r="BB960" s="20">
        <f t="shared" si="242"/>
        <v>1.2737160188235555</v>
      </c>
      <c r="BC960" s="20"/>
      <c r="BD960" s="20">
        <f t="shared" si="243"/>
        <v>-1.561208246858395</v>
      </c>
      <c r="BE960" s="20">
        <f t="shared" si="244"/>
        <v>4.3976123294886822</v>
      </c>
      <c r="BF960" s="20"/>
      <c r="BG960" s="54">
        <f t="shared" si="245"/>
        <v>348970.66629407299</v>
      </c>
      <c r="BH960" s="54">
        <f t="shared" si="246"/>
        <v>363367.27293279557</v>
      </c>
      <c r="BI960" s="54">
        <f t="shared" si="247"/>
        <v>334743.69698894734</v>
      </c>
      <c r="BJ960" s="20"/>
    </row>
    <row r="961" spans="37:62" x14ac:dyDescent="0.3">
      <c r="AK961">
        <v>957</v>
      </c>
      <c r="AL961">
        <v>478.5</v>
      </c>
      <c r="AN961" s="48">
        <f t="shared" si="248"/>
        <v>107290.4791275368</v>
      </c>
      <c r="AO961" s="48">
        <f t="shared" si="249"/>
        <v>-330729.86201121547</v>
      </c>
      <c r="AP961" s="20"/>
      <c r="AQ961" s="50">
        <f t="shared" si="250"/>
        <v>599.50965791358772</v>
      </c>
      <c r="AR961" s="50">
        <f t="shared" si="251"/>
        <v>-548.37507330395658</v>
      </c>
      <c r="AS961" s="20"/>
      <c r="AT961" s="52">
        <f t="shared" si="252"/>
        <v>-3.10615729198777</v>
      </c>
      <c r="AU961" s="52">
        <f t="shared" si="253"/>
        <v>9.8081070754263457</v>
      </c>
      <c r="AV961" s="20"/>
      <c r="AW961" s="20"/>
      <c r="AX961" s="20">
        <f t="shared" si="239"/>
        <v>-1.0710019994130318</v>
      </c>
      <c r="AY961" s="20">
        <f t="shared" si="240"/>
        <v>4.149878223785934</v>
      </c>
      <c r="AZ961" s="20"/>
      <c r="BA961" s="20">
        <f t="shared" si="241"/>
        <v>-0.47479826089869709</v>
      </c>
      <c r="BB961" s="20">
        <f t="shared" si="242"/>
        <v>1.2709351636353503</v>
      </c>
      <c r="BC961" s="20"/>
      <c r="BD961" s="20">
        <f t="shared" si="243"/>
        <v>-1.5603570316760411</v>
      </c>
      <c r="BE961" s="20">
        <f t="shared" si="244"/>
        <v>4.3872936880050606</v>
      </c>
      <c r="BF961" s="20"/>
      <c r="BG961" s="54">
        <f t="shared" si="245"/>
        <v>349312.27762911626</v>
      </c>
      <c r="BH961" s="54">
        <f t="shared" si="246"/>
        <v>363730.26399063884</v>
      </c>
      <c r="BI961" s="54">
        <f t="shared" si="247"/>
        <v>335103.71151079918</v>
      </c>
      <c r="BJ961" s="20"/>
    </row>
    <row r="962" spans="37:62" x14ac:dyDescent="0.3">
      <c r="AK962">
        <v>958</v>
      </c>
      <c r="AL962">
        <v>479</v>
      </c>
      <c r="AN962" s="48">
        <f t="shared" si="248"/>
        <v>107589.84568683209</v>
      </c>
      <c r="AO962" s="48">
        <f t="shared" si="249"/>
        <v>-331002.82353448303</v>
      </c>
      <c r="AP962" s="20"/>
      <c r="AQ962" s="50">
        <f t="shared" si="250"/>
        <v>597.95657926759384</v>
      </c>
      <c r="AR962" s="50">
        <f t="shared" si="251"/>
        <v>-543.47101976624344</v>
      </c>
      <c r="AS962" s="20"/>
      <c r="AT962" s="52">
        <f t="shared" si="252"/>
        <v>-3.1055803757958502</v>
      </c>
      <c r="AU962" s="52">
        <f t="shared" si="253"/>
        <v>9.7864158254815834</v>
      </c>
      <c r="AV962" s="20"/>
      <c r="AW962" s="20"/>
      <c r="AX962" s="20">
        <f t="shared" si="239"/>
        <v>-1.0715531518110923</v>
      </c>
      <c r="AY962" s="20">
        <f t="shared" si="240"/>
        <v>4.1411623072405961</v>
      </c>
      <c r="AZ962" s="20"/>
      <c r="BA962" s="20">
        <f t="shared" si="241"/>
        <v>-0.47450311286868546</v>
      </c>
      <c r="BB962" s="20">
        <f t="shared" si="242"/>
        <v>1.2681800843405402</v>
      </c>
      <c r="BC962" s="20"/>
      <c r="BD962" s="20">
        <f t="shared" si="243"/>
        <v>-1.5595241111160723</v>
      </c>
      <c r="BE962" s="20">
        <f t="shared" si="244"/>
        <v>4.3770734339004482</v>
      </c>
      <c r="BF962" s="20"/>
      <c r="BG962" s="54">
        <f t="shared" si="245"/>
        <v>349651.45875322813</v>
      </c>
      <c r="BH962" s="54">
        <f t="shared" si="246"/>
        <v>364090.77766524022</v>
      </c>
      <c r="BI962" s="54">
        <f t="shared" si="247"/>
        <v>335461.26130083977</v>
      </c>
      <c r="BJ962" s="20"/>
    </row>
    <row r="963" spans="37:62" x14ac:dyDescent="0.3">
      <c r="AK963">
        <v>959</v>
      </c>
      <c r="AL963">
        <v>479.5</v>
      </c>
      <c r="AN963" s="48">
        <f t="shared" si="248"/>
        <v>107888.43577891892</v>
      </c>
      <c r="AO963" s="48">
        <f t="shared" si="249"/>
        <v>-331273.33574238798</v>
      </c>
      <c r="AP963" s="20"/>
      <c r="AQ963" s="50">
        <f t="shared" si="250"/>
        <v>596.40378907969591</v>
      </c>
      <c r="AR963" s="50">
        <f t="shared" si="251"/>
        <v>-538.57781185350268</v>
      </c>
      <c r="AS963" s="20"/>
      <c r="AT963" s="52">
        <f t="shared" si="252"/>
        <v>-3.105030995393574</v>
      </c>
      <c r="AU963" s="52">
        <f t="shared" si="253"/>
        <v>9.7649307923283395</v>
      </c>
      <c r="AV963" s="20"/>
      <c r="AW963" s="20"/>
      <c r="AX963" s="20">
        <f t="shared" si="239"/>
        <v>-1.0721078836483058</v>
      </c>
      <c r="AY963" s="20">
        <f t="shared" si="240"/>
        <v>4.1325296189463732</v>
      </c>
      <c r="AZ963" s="20"/>
      <c r="BA963" s="20">
        <f t="shared" si="241"/>
        <v>-0.4742136989093918</v>
      </c>
      <c r="BB963" s="20">
        <f t="shared" si="242"/>
        <v>1.265450545984562</v>
      </c>
      <c r="BC963" s="20"/>
      <c r="BD963" s="20">
        <f t="shared" si="243"/>
        <v>-1.5587094128358763</v>
      </c>
      <c r="BE963" s="20">
        <f t="shared" si="244"/>
        <v>4.3669506273974044</v>
      </c>
      <c r="BF963" s="20"/>
      <c r="BG963" s="54">
        <f t="shared" si="245"/>
        <v>349988.21430683904</v>
      </c>
      <c r="BH963" s="54">
        <f t="shared" si="246"/>
        <v>364448.81903322903</v>
      </c>
      <c r="BI963" s="54">
        <f t="shared" si="247"/>
        <v>335816.35135030036</v>
      </c>
      <c r="BJ963" s="20"/>
    </row>
    <row r="964" spans="37:62" x14ac:dyDescent="0.3">
      <c r="AK964">
        <v>960</v>
      </c>
      <c r="AL964">
        <v>480</v>
      </c>
      <c r="AN964" s="48">
        <f t="shared" si="248"/>
        <v>108186.24954458434</v>
      </c>
      <c r="AO964" s="48">
        <f t="shared" si="249"/>
        <v>-331541.40403196571</v>
      </c>
      <c r="AP964" s="20"/>
      <c r="AQ964" s="50">
        <f t="shared" si="250"/>
        <v>594.85127358199918</v>
      </c>
      <c r="AR964" s="50">
        <f t="shared" si="251"/>
        <v>-533.69534645733847</v>
      </c>
      <c r="AS964" s="20"/>
      <c r="AT964" s="52">
        <f t="shared" si="252"/>
        <v>-3.1045091278318973</v>
      </c>
      <c r="AU964" s="52">
        <f t="shared" si="253"/>
        <v>9.7436500840448286</v>
      </c>
      <c r="AV964" s="20"/>
      <c r="AW964" s="20"/>
      <c r="AX964" s="20">
        <f t="shared" ref="AX964:AX1004" si="254">Masse_1*(q_1x-AN964)/($BG964^2+Aarseth_1^2)^(3/2)</f>
        <v>-1.0726662712159625</v>
      </c>
      <c r="AY964" s="20">
        <f t="shared" ref="AY964:AY1004" si="255">Masse_1*(q_1y-AO964)/($BG964^2+Aarseth_1^2)^(3/2)</f>
        <v>4.1239794245578878</v>
      </c>
      <c r="AZ964" s="20"/>
      <c r="BA964" s="20">
        <f t="shared" ref="BA964:BA1004" si="256">Masse_2*(q_2x-AN964)/($BH964^2+Aarseth_2^2)^(3/2)</f>
        <v>-0.47392999087876081</v>
      </c>
      <c r="BB964" s="20">
        <f t="shared" ref="BB964:BB1004" si="257">Masse_2*(q_2y-AO964)/($BH964^2+Aarseth_2^2)^(3/2)</f>
        <v>1.2627463169619451</v>
      </c>
      <c r="BC964" s="20"/>
      <c r="BD964" s="20">
        <f t="shared" ref="BD964:BD1004" si="258">Masse_3*(q_3x-AN964)/($BI964^2+Aarseth_3^2)^(3/2)</f>
        <v>-1.5579128657371739</v>
      </c>
      <c r="BE964" s="20">
        <f t="shared" ref="BE964:BE1004" si="259">Masse_3*(q_3y-AO964)/($BI964^2+Aarseth_3^2)^(3/2)</f>
        <v>4.3569243425249962</v>
      </c>
      <c r="BF964" s="20"/>
      <c r="BG964" s="54">
        <f t="shared" ref="BG964:BG1004" si="260">SQRT((q_1x-AN964)^2+(q_1y-AO964)^2)</f>
        <v>350322.54888417659</v>
      </c>
      <c r="BH964" s="54">
        <f t="shared" ref="BH964:BH1004" si="261">SQRT((q_2x-AN964)^2+(q_2y-AO964)^2)</f>
        <v>364804.39312107093</v>
      </c>
      <c r="BI964" s="54">
        <f t="shared" ref="BI964:BI1004" si="262">SQRT((q_3x-AN964)^2+(q_3y-AO964)^2)</f>
        <v>336168.98660122871</v>
      </c>
      <c r="BJ964" s="20"/>
    </row>
    <row r="965" spans="37:62" x14ac:dyDescent="0.3">
      <c r="AK965">
        <v>961</v>
      </c>
      <c r="AL965">
        <v>480.5</v>
      </c>
      <c r="AN965" s="48">
        <f t="shared" ref="AN965:AN1004" si="263">AN964+(AQ964*bt)+(0.5*AT964)*bt^2</f>
        <v>108483.28711773436</v>
      </c>
      <c r="AO965" s="48">
        <f t="shared" ref="AO965:AO1004" si="264">AO964+(AR964*bt)+(0.5*AU964)*bt^2</f>
        <v>-331807.03374893387</v>
      </c>
      <c r="AP965" s="20"/>
      <c r="AQ965" s="50">
        <f t="shared" ref="AQ965:AQ1004" si="265">AQ964+(AT964*bt)</f>
        <v>593.29901901808319</v>
      </c>
      <c r="AR965" s="50">
        <f t="shared" ref="AR965:AR1004" si="266">AR964+(AU964*bt)</f>
        <v>-528.82352141531601</v>
      </c>
      <c r="AS965" s="20"/>
      <c r="AT965" s="52">
        <f t="shared" si="252"/>
        <v>-3.1040147508414098</v>
      </c>
      <c r="AU965" s="52">
        <f t="shared" si="253"/>
        <v>9.7225718360726532</v>
      </c>
      <c r="AV965" s="20"/>
      <c r="AW965" s="20"/>
      <c r="AX965" s="20">
        <f t="shared" si="254"/>
        <v>-1.0732283897725032</v>
      </c>
      <c r="AY965" s="20">
        <f t="shared" si="255"/>
        <v>4.115511000222174</v>
      </c>
      <c r="AZ965" s="20"/>
      <c r="BA965" s="20">
        <f t="shared" si="256"/>
        <v>-0.47365196111301849</v>
      </c>
      <c r="BB965" s="20">
        <f t="shared" si="257"/>
        <v>1.2600671689622402</v>
      </c>
      <c r="BC965" s="20"/>
      <c r="BD965" s="20">
        <f t="shared" si="258"/>
        <v>-1.5571343999558882</v>
      </c>
      <c r="BE965" s="20">
        <f t="shared" si="259"/>
        <v>4.3469936668882392</v>
      </c>
      <c r="BF965" s="20"/>
      <c r="BG965" s="54">
        <f t="shared" si="260"/>
        <v>350654.46703365917</v>
      </c>
      <c r="BH965" s="54">
        <f t="shared" si="261"/>
        <v>365157.50490551745</v>
      </c>
      <c r="BI965" s="54">
        <f t="shared" si="262"/>
        <v>336519.17194692529</v>
      </c>
      <c r="BJ965" s="20"/>
    </row>
    <row r="966" spans="37:62" x14ac:dyDescent="0.3">
      <c r="AK966">
        <v>962</v>
      </c>
      <c r="AL966">
        <v>481</v>
      </c>
      <c r="AN966" s="48">
        <f t="shared" si="263"/>
        <v>108779.54862539955</v>
      </c>
      <c r="AO966" s="48">
        <f t="shared" si="264"/>
        <v>-332070.23018816207</v>
      </c>
      <c r="AP966" s="20"/>
      <c r="AQ966" s="50">
        <f t="shared" si="265"/>
        <v>591.74701164266253</v>
      </c>
      <c r="AR966" s="50">
        <f t="shared" si="266"/>
        <v>-523.96223549727972</v>
      </c>
      <c r="AS966" s="20"/>
      <c r="AT966" s="52">
        <f t="shared" si="252"/>
        <v>-3.1035478428450234</v>
      </c>
      <c r="AU966" s="52">
        <f t="shared" si="253"/>
        <v>9.7016942107722368</v>
      </c>
      <c r="AV966" s="20"/>
      <c r="AW966" s="20"/>
      <c r="AX966" s="20">
        <f t="shared" si="254"/>
        <v>-1.0737943135719432</v>
      </c>
      <c r="AY966" s="20">
        <f t="shared" si="255"/>
        <v>4.1071236324133</v>
      </c>
      <c r="AZ966" s="20"/>
      <c r="BA966" s="20">
        <f t="shared" si="256"/>
        <v>-0.47337958242103756</v>
      </c>
      <c r="BB966" s="20">
        <f t="shared" si="257"/>
        <v>1.257412876917031</v>
      </c>
      <c r="BC966" s="20"/>
      <c r="BD966" s="20">
        <f t="shared" si="258"/>
        <v>-1.5563739468520426</v>
      </c>
      <c r="BE966" s="20">
        <f t="shared" si="259"/>
        <v>4.3371577014419058</v>
      </c>
      <c r="BF966" s="20"/>
      <c r="BG966" s="54">
        <f t="shared" si="260"/>
        <v>350983.97325828293</v>
      </c>
      <c r="BH966" s="54">
        <f t="shared" si="261"/>
        <v>365508.15931404848</v>
      </c>
      <c r="BI966" s="54">
        <f t="shared" si="262"/>
        <v>336866.91223237367</v>
      </c>
      <c r="BJ966" s="20"/>
    </row>
    <row r="967" spans="37:62" x14ac:dyDescent="0.3">
      <c r="AK967">
        <v>963</v>
      </c>
      <c r="AL967">
        <v>481.5</v>
      </c>
      <c r="AN967" s="48">
        <f t="shared" si="263"/>
        <v>109075.03418774053</v>
      </c>
      <c r="AO967" s="48">
        <f t="shared" si="264"/>
        <v>-332330.99859413435</v>
      </c>
      <c r="AP967" s="20"/>
      <c r="AQ967" s="50">
        <f t="shared" si="265"/>
        <v>590.19523772124001</v>
      </c>
      <c r="AR967" s="50">
        <f t="shared" si="266"/>
        <v>-519.11138839189357</v>
      </c>
      <c r="AS967" s="20"/>
      <c r="AT967" s="52">
        <f t="shared" si="252"/>
        <v>-3.1031083829703188</v>
      </c>
      <c r="AU967" s="52">
        <f t="shared" si="253"/>
        <v>9.6810153969872452</v>
      </c>
      <c r="AV967" s="20"/>
      <c r="AW967" s="20"/>
      <c r="AX967" s="20">
        <f t="shared" si="254"/>
        <v>-1.0743641158915913</v>
      </c>
      <c r="AY967" s="20">
        <f t="shared" si="255"/>
        <v>4.0988166177700229</v>
      </c>
      <c r="AZ967" s="20"/>
      <c r="BA967" s="20">
        <f t="shared" si="256"/>
        <v>-0.47311282807882327</v>
      </c>
      <c r="BB967" s="20">
        <f t="shared" si="257"/>
        <v>1.2547832189480184</v>
      </c>
      <c r="BC967" s="20"/>
      <c r="BD967" s="20">
        <f t="shared" si="258"/>
        <v>-1.5556314389999042</v>
      </c>
      <c r="BE967" s="20">
        <f t="shared" si="259"/>
        <v>4.3274155602692037</v>
      </c>
      <c r="BF967" s="20"/>
      <c r="BG967" s="54">
        <f t="shared" si="260"/>
        <v>351311.07201600366</v>
      </c>
      <c r="BH967" s="54">
        <f t="shared" si="261"/>
        <v>365856.36122530873</v>
      </c>
      <c r="BI967" s="54">
        <f t="shared" si="262"/>
        <v>337212.21225466416</v>
      </c>
      <c r="BJ967" s="20"/>
    </row>
    <row r="968" spans="37:62" x14ac:dyDescent="0.3">
      <c r="AK968">
        <v>964</v>
      </c>
      <c r="AL968">
        <v>482</v>
      </c>
      <c r="AN968" s="48">
        <f t="shared" si="263"/>
        <v>109369.74391805327</v>
      </c>
      <c r="AO968" s="48">
        <f t="shared" si="264"/>
        <v>-332589.34416140569</v>
      </c>
      <c r="AP968" s="20"/>
      <c r="AQ968" s="50">
        <f t="shared" si="265"/>
        <v>588.64368352975487</v>
      </c>
      <c r="AR968" s="50">
        <f t="shared" si="266"/>
        <v>-514.27088069339993</v>
      </c>
      <c r="AS968" s="20"/>
      <c r="AT968" s="52">
        <f t="shared" si="252"/>
        <v>-3.1026963510616143</v>
      </c>
      <c r="AU968" s="52">
        <f t="shared" si="253"/>
        <v>9.6605336096181205</v>
      </c>
      <c r="AV968" s="20"/>
      <c r="AW968" s="20"/>
      <c r="AX968" s="20">
        <f t="shared" si="254"/>
        <v>-1.0749378690593101</v>
      </c>
      <c r="AY968" s="20">
        <f t="shared" si="255"/>
        <v>4.090589262937244</v>
      </c>
      <c r="AZ968" s="20"/>
      <c r="BA968" s="20">
        <f t="shared" si="256"/>
        <v>-0.47285167182407567</v>
      </c>
      <c r="BB968" s="20">
        <f t="shared" si="257"/>
        <v>1.2521779763160557</v>
      </c>
      <c r="BC968" s="20"/>
      <c r="BD968" s="20">
        <f t="shared" si="258"/>
        <v>-1.5549068101782286</v>
      </c>
      <c r="BE968" s="20">
        <f t="shared" si="259"/>
        <v>4.3177663703648212</v>
      </c>
      <c r="BF968" s="20"/>
      <c r="BG968" s="54">
        <f t="shared" si="260"/>
        <v>351635.76772011333</v>
      </c>
      <c r="BH968" s="54">
        <f t="shared" si="261"/>
        <v>366202.11546953791</v>
      </c>
      <c r="BI968" s="54">
        <f t="shared" si="262"/>
        <v>337555.07676341187</v>
      </c>
      <c r="BJ968" s="20"/>
    </row>
    <row r="969" spans="37:62" x14ac:dyDescent="0.3">
      <c r="AK969">
        <v>965</v>
      </c>
      <c r="AL969">
        <v>482.5</v>
      </c>
      <c r="AN969" s="48">
        <f t="shared" si="263"/>
        <v>109663.67792277427</v>
      </c>
      <c r="AO969" s="48">
        <f t="shared" si="264"/>
        <v>-332845.2720350512</v>
      </c>
      <c r="AP969" s="20"/>
      <c r="AQ969" s="50">
        <f t="shared" si="265"/>
        <v>587.09233535422402</v>
      </c>
      <c r="AR969" s="50">
        <f t="shared" si="266"/>
        <v>-509.44061388859086</v>
      </c>
      <c r="AS969" s="20"/>
      <c r="AT969" s="52">
        <f t="shared" si="252"/>
        <v>-3.1023117276915473</v>
      </c>
      <c r="AU969" s="52">
        <f t="shared" si="253"/>
        <v>9.6402470892035232</v>
      </c>
      <c r="AV969" s="20"/>
      <c r="AW969" s="20"/>
      <c r="AX969" s="20">
        <f t="shared" si="254"/>
        <v>-1.0755156444799499</v>
      </c>
      <c r="AY969" s="20">
        <f t="shared" si="255"/>
        <v>4.0824408844097544</v>
      </c>
      <c r="AZ969" s="20"/>
      <c r="BA969" s="20">
        <f t="shared" si="256"/>
        <v>-0.47259608785091139</v>
      </c>
      <c r="BB969" s="20">
        <f t="shared" si="257"/>
        <v>1.2495969333713308</v>
      </c>
      <c r="BC969" s="20"/>
      <c r="BD969" s="20">
        <f t="shared" si="258"/>
        <v>-1.554199995360686</v>
      </c>
      <c r="BE969" s="20">
        <f t="shared" si="259"/>
        <v>4.3082092714224389</v>
      </c>
      <c r="BF969" s="20"/>
      <c r="BG969" s="54">
        <f t="shared" si="260"/>
        <v>351958.06473961071</v>
      </c>
      <c r="BH969" s="54">
        <f t="shared" si="261"/>
        <v>366545.42682899372</v>
      </c>
      <c r="BI969" s="54">
        <f t="shared" si="262"/>
        <v>337895.51046116813</v>
      </c>
      <c r="BJ969" s="20"/>
    </row>
    <row r="970" spans="37:62" x14ac:dyDescent="0.3">
      <c r="AK970">
        <v>966</v>
      </c>
      <c r="AL970">
        <v>483</v>
      </c>
      <c r="AN970" s="48">
        <f t="shared" si="263"/>
        <v>109956.83630148541</v>
      </c>
      <c r="AO970" s="48">
        <f t="shared" si="264"/>
        <v>-333098.78731110931</v>
      </c>
      <c r="AP970" s="20"/>
      <c r="AQ970" s="50">
        <f t="shared" si="265"/>
        <v>585.54117949037823</v>
      </c>
      <c r="AR970" s="50">
        <f t="shared" si="266"/>
        <v>-504.6204903439891</v>
      </c>
      <c r="AS970" s="20"/>
      <c r="AT970" s="52">
        <f t="shared" si="252"/>
        <v>-3.1019544941725381</v>
      </c>
      <c r="AU970" s="52">
        <f t="shared" si="253"/>
        <v>9.6201541015109591</v>
      </c>
      <c r="AV970" s="20"/>
      <c r="AW970" s="20"/>
      <c r="AX970" s="20">
        <f t="shared" si="254"/>
        <v>-1.0760975126614156</v>
      </c>
      <c r="AY970" s="20">
        <f t="shared" si="255"/>
        <v>4.074370808379876</v>
      </c>
      <c r="AZ970" s="20"/>
      <c r="BA970" s="20">
        <f t="shared" si="256"/>
        <v>-0.47234605080463499</v>
      </c>
      <c r="BB970" s="20">
        <f t="shared" si="257"/>
        <v>1.2470398775043858</v>
      </c>
      <c r="BC970" s="20"/>
      <c r="BD970" s="20">
        <f t="shared" si="258"/>
        <v>-1.5535109307064876</v>
      </c>
      <c r="BE970" s="20">
        <f t="shared" si="259"/>
        <v>4.2987434156266975</v>
      </c>
      <c r="BF970" s="20"/>
      <c r="BG970" s="54">
        <f t="shared" si="260"/>
        <v>352277.96739956719</v>
      </c>
      <c r="BH970" s="54">
        <f t="shared" si="261"/>
        <v>366886.30003837007</v>
      </c>
      <c r="BI970" s="54">
        <f t="shared" si="262"/>
        <v>338233.51800382655</v>
      </c>
      <c r="BJ970" s="20"/>
    </row>
    <row r="971" spans="37:62" x14ac:dyDescent="0.3">
      <c r="AK971">
        <v>967</v>
      </c>
      <c r="AL971">
        <v>483.5</v>
      </c>
      <c r="AN971" s="48">
        <f t="shared" si="263"/>
        <v>110249.21914691884</v>
      </c>
      <c r="AO971" s="48">
        <f t="shared" si="264"/>
        <v>-333349.89503701864</v>
      </c>
      <c r="AP971" s="20"/>
      <c r="AQ971" s="50">
        <f t="shared" si="265"/>
        <v>583.99020224329195</v>
      </c>
      <c r="AR971" s="50">
        <f t="shared" si="266"/>
        <v>-499.81041329323364</v>
      </c>
      <c r="AS971" s="20"/>
      <c r="AT971" s="52">
        <f t="shared" si="252"/>
        <v>-3.1016246325677268</v>
      </c>
      <c r="AU971" s="52">
        <f t="shared" si="253"/>
        <v>9.6002529371347745</v>
      </c>
      <c r="AV971" s="20"/>
      <c r="AW971" s="20"/>
      <c r="AX971" s="20">
        <f t="shared" si="254"/>
        <v>-1.0766835432399966</v>
      </c>
      <c r="AY971" s="20">
        <f t="shared" si="255"/>
        <v>4.066378370587457</v>
      </c>
      <c r="AZ971" s="20"/>
      <c r="BA971" s="20">
        <f t="shared" si="256"/>
        <v>-0.47210153577665043</v>
      </c>
      <c r="BB971" s="20">
        <f t="shared" si="257"/>
        <v>1.2445065990982009</v>
      </c>
      <c r="BC971" s="20"/>
      <c r="BD971" s="20">
        <f t="shared" si="258"/>
        <v>-1.5528395535510797</v>
      </c>
      <c r="BE971" s="20">
        <f t="shared" si="259"/>
        <v>4.2893679674491167</v>
      </c>
      <c r="BF971" s="20"/>
      <c r="BG971" s="54">
        <f t="shared" si="260"/>
        <v>352595.47998148703</v>
      </c>
      <c r="BH971" s="54">
        <f t="shared" si="261"/>
        <v>367224.73978520813</v>
      </c>
      <c r="BI971" s="54">
        <f t="shared" si="262"/>
        <v>338569.10400102264</v>
      </c>
      <c r="BJ971" s="20"/>
    </row>
    <row r="972" spans="37:62" x14ac:dyDescent="0.3">
      <c r="AK972">
        <v>968</v>
      </c>
      <c r="AL972">
        <v>484</v>
      </c>
      <c r="AN972" s="48">
        <f t="shared" si="263"/>
        <v>110540.82654496141</v>
      </c>
      <c r="AO972" s="48">
        <f t="shared" si="264"/>
        <v>-333598.6002120481</v>
      </c>
      <c r="AP972" s="20"/>
      <c r="AQ972" s="50">
        <f t="shared" si="265"/>
        <v>582.43938992700805</v>
      </c>
      <c r="AR972" s="50">
        <f t="shared" si="266"/>
        <v>-495.01028682466625</v>
      </c>
      <c r="AS972" s="20"/>
      <c r="AT972" s="52">
        <f t="shared" si="252"/>
        <v>-3.1013221257018175</v>
      </c>
      <c r="AU972" s="52">
        <f t="shared" si="253"/>
        <v>9.5805419111028627</v>
      </c>
      <c r="AV972" s="20"/>
      <c r="AW972" s="20"/>
      <c r="AX972" s="20">
        <f t="shared" si="254"/>
        <v>-1.0772738050052451</v>
      </c>
      <c r="AY972" s="20">
        <f t="shared" si="255"/>
        <v>4.0584629161731991</v>
      </c>
      <c r="AZ972" s="20"/>
      <c r="BA972" s="20">
        <f t="shared" si="256"/>
        <v>-0.47186251829946818</v>
      </c>
      <c r="BB972" s="20">
        <f t="shared" si="257"/>
        <v>1.2419968914812047</v>
      </c>
      <c r="BC972" s="20"/>
      <c r="BD972" s="20">
        <f t="shared" si="258"/>
        <v>-1.5521858023971042</v>
      </c>
      <c r="BE972" s="20">
        <f t="shared" si="259"/>
        <v>4.2800821034484597</v>
      </c>
      <c r="BF972" s="20"/>
      <c r="BG972" s="54">
        <f t="shared" si="260"/>
        <v>352910.60672366229</v>
      </c>
      <c r="BH972" s="54">
        <f t="shared" si="261"/>
        <v>367560.75071030174</v>
      </c>
      <c r="BI972" s="54">
        <f t="shared" si="262"/>
        <v>338902.27301652805</v>
      </c>
      <c r="BJ972" s="20"/>
    </row>
    <row r="973" spans="37:62" x14ac:dyDescent="0.3">
      <c r="AK973">
        <v>969</v>
      </c>
      <c r="AL973">
        <v>484.5</v>
      </c>
      <c r="AN973" s="48">
        <f t="shared" si="263"/>
        <v>110831.6585746592</v>
      </c>
      <c r="AO973" s="48">
        <f t="shared" si="264"/>
        <v>-333844.90778772155</v>
      </c>
      <c r="AP973" s="20"/>
      <c r="AQ973" s="50">
        <f t="shared" si="265"/>
        <v>580.88872886415709</v>
      </c>
      <c r="AR973" s="50">
        <f t="shared" si="266"/>
        <v>-490.22001586911483</v>
      </c>
      <c r="AS973" s="20"/>
      <c r="AT973" s="52">
        <f t="shared" si="252"/>
        <v>-3.1010469571714498</v>
      </c>
      <c r="AU973" s="52">
        <f t="shared" si="253"/>
        <v>9.5610193624905691</v>
      </c>
      <c r="AV973" s="20"/>
      <c r="AW973" s="20"/>
      <c r="AX973" s="20">
        <f t="shared" si="254"/>
        <v>-1.0778683659242487</v>
      </c>
      <c r="AY973" s="20">
        <f t="shared" si="255"/>
        <v>4.0506237995345913</v>
      </c>
      <c r="AZ973" s="20"/>
      <c r="BA973" s="20">
        <f t="shared" si="256"/>
        <v>-0.47162897434178597</v>
      </c>
      <c r="BB973" s="20">
        <f t="shared" si="257"/>
        <v>1.2395105508811404</v>
      </c>
      <c r="BC973" s="20"/>
      <c r="BD973" s="20">
        <f t="shared" si="258"/>
        <v>-1.551549616905415</v>
      </c>
      <c r="BE973" s="20">
        <f t="shared" si="259"/>
        <v>4.270885012074837</v>
      </c>
      <c r="BF973" s="20"/>
      <c r="BG973" s="54">
        <f t="shared" si="260"/>
        <v>353223.35182152322</v>
      </c>
      <c r="BH973" s="54">
        <f t="shared" si="261"/>
        <v>367894.33740809729</v>
      </c>
      <c r="BI973" s="54">
        <f t="shared" si="262"/>
        <v>339233.02956863894</v>
      </c>
      <c r="BJ973" s="20"/>
    </row>
    <row r="974" spans="37:62" x14ac:dyDescent="0.3">
      <c r="AK974">
        <v>970</v>
      </c>
      <c r="AL974">
        <v>485</v>
      </c>
      <c r="AN974" s="48">
        <f t="shared" si="263"/>
        <v>111121.71530822164</v>
      </c>
      <c r="AO974" s="48">
        <f t="shared" si="264"/>
        <v>-334088.82266823581</v>
      </c>
      <c r="AP974" s="20"/>
      <c r="AQ974" s="50">
        <f t="shared" si="265"/>
        <v>579.33820538557131</v>
      </c>
      <c r="AR974" s="50">
        <f t="shared" si="266"/>
        <v>-485.43950618786954</v>
      </c>
      <c r="AS974" s="20"/>
      <c r="AT974" s="52">
        <f t="shared" si="252"/>
        <v>-3.1007991113554234</v>
      </c>
      <c r="AU974" s="52">
        <f t="shared" si="253"/>
        <v>9.5416836540425898</v>
      </c>
      <c r="AV974" s="20"/>
      <c r="AW974" s="20"/>
      <c r="AX974" s="20">
        <f t="shared" si="254"/>
        <v>-1.078467293165386</v>
      </c>
      <c r="AY974" s="20">
        <f t="shared" si="255"/>
        <v>4.0428603841846726</v>
      </c>
      <c r="AZ974" s="20"/>
      <c r="BA974" s="20">
        <f t="shared" si="256"/>
        <v>-0.47140088030371546</v>
      </c>
      <c r="BB974" s="20">
        <f t="shared" si="257"/>
        <v>1.2370473763799585</v>
      </c>
      <c r="BC974" s="20"/>
      <c r="BD974" s="20">
        <f t="shared" si="258"/>
        <v>-1.5509309378863219</v>
      </c>
      <c r="BE974" s="20">
        <f t="shared" si="259"/>
        <v>4.2617758934779575</v>
      </c>
      <c r="BF974" s="20"/>
      <c r="BG974" s="54">
        <f t="shared" si="260"/>
        <v>353533.71942798333</v>
      </c>
      <c r="BH974" s="54">
        <f t="shared" si="261"/>
        <v>368225.50442708738</v>
      </c>
      <c r="BI974" s="54">
        <f t="shared" si="262"/>
        <v>339561.37813055905</v>
      </c>
      <c r="BJ974" s="20"/>
    </row>
    <row r="975" spans="37:62" x14ac:dyDescent="0.3">
      <c r="AK975">
        <v>971</v>
      </c>
      <c r="AL975">
        <v>485.5</v>
      </c>
      <c r="AN975" s="48">
        <f t="shared" si="263"/>
        <v>111410.99681102551</v>
      </c>
      <c r="AO975" s="48">
        <f t="shared" si="264"/>
        <v>-334330.34971087304</v>
      </c>
      <c r="AP975" s="20"/>
      <c r="AQ975" s="50">
        <f t="shared" si="265"/>
        <v>577.78780582989361</v>
      </c>
      <c r="AR975" s="50">
        <f t="shared" si="266"/>
        <v>-480.66866436084825</v>
      </c>
      <c r="AS975" s="20"/>
      <c r="AT975" s="52">
        <f t="shared" si="252"/>
        <v>-3.1005785734246487</v>
      </c>
      <c r="AU975" s="52">
        <f t="shared" si="253"/>
        <v>9.5225331718024187</v>
      </c>
      <c r="AV975" s="20"/>
      <c r="AW975" s="20"/>
      <c r="AX975" s="20">
        <f t="shared" si="254"/>
        <v>-1.0790706531216527</v>
      </c>
      <c r="AY975" s="20">
        <f t="shared" si="255"/>
        <v>4.0351720426138584</v>
      </c>
      <c r="AZ975" s="20"/>
      <c r="BA975" s="20">
        <f t="shared" si="256"/>
        <v>-0.47117821301205187</v>
      </c>
      <c r="BB975" s="20">
        <f t="shared" si="257"/>
        <v>1.2346071698694541</v>
      </c>
      <c r="BC975" s="20"/>
      <c r="BD975" s="20">
        <f t="shared" si="258"/>
        <v>-1.5503297072909443</v>
      </c>
      <c r="BE975" s="20">
        <f t="shared" si="259"/>
        <v>4.252753959319107</v>
      </c>
      <c r="BF975" s="20"/>
      <c r="BG975" s="54">
        <f t="shared" si="260"/>
        <v>353841.71365377924</v>
      </c>
      <c r="BH975" s="54">
        <f t="shared" si="261"/>
        <v>368554.25627019897</v>
      </c>
      <c r="BI975" s="54">
        <f t="shared" si="262"/>
        <v>339887.32313077676</v>
      </c>
      <c r="BJ975" s="20"/>
    </row>
    <row r="976" spans="37:62" x14ac:dyDescent="0.3">
      <c r="AK976">
        <v>972</v>
      </c>
      <c r="AL976">
        <v>486</v>
      </c>
      <c r="AN976" s="48">
        <f t="shared" si="263"/>
        <v>111699.50314161878</v>
      </c>
      <c r="AO976" s="48">
        <f t="shared" si="264"/>
        <v>-334569.493726407</v>
      </c>
      <c r="AP976" s="20"/>
      <c r="AQ976" s="50">
        <f t="shared" si="265"/>
        <v>576.2375165431813</v>
      </c>
      <c r="AR976" s="50">
        <f t="shared" si="266"/>
        <v>-475.90739777494707</v>
      </c>
      <c r="AS976" s="20"/>
      <c r="AT976" s="52">
        <f t="shared" si="252"/>
        <v>-3.1003853293517398</v>
      </c>
      <c r="AU976" s="52">
        <f t="shared" si="253"/>
        <v>9.5035663247486273</v>
      </c>
      <c r="AV976" s="20"/>
      <c r="AW976" s="20"/>
      <c r="AX976" s="20">
        <f t="shared" si="254"/>
        <v>-1.0796785114333325</v>
      </c>
      <c r="AY976" s="20">
        <f t="shared" si="255"/>
        <v>4.0275581561538329</v>
      </c>
      <c r="AZ976" s="20"/>
      <c r="BA976" s="20">
        <f t="shared" si="256"/>
        <v>-0.47096094971567981</v>
      </c>
      <c r="BB976" s="20">
        <f t="shared" si="257"/>
        <v>1.2321897360078755</v>
      </c>
      <c r="BC976" s="20"/>
      <c r="BD976" s="20">
        <f t="shared" si="258"/>
        <v>-1.5497458682027276</v>
      </c>
      <c r="BE976" s="20">
        <f t="shared" si="259"/>
        <v>4.2438184325869184</v>
      </c>
      <c r="BF976" s="20"/>
      <c r="BG976" s="54">
        <f t="shared" si="260"/>
        <v>354147.33856780594</v>
      </c>
      <c r="BH976" s="54">
        <f t="shared" si="261"/>
        <v>368880.59739517572</v>
      </c>
      <c r="BI976" s="54">
        <f t="shared" si="262"/>
        <v>340210.86895343714</v>
      </c>
      <c r="BJ976" s="20"/>
    </row>
    <row r="977" spans="37:62" x14ac:dyDescent="0.3">
      <c r="AK977">
        <v>973</v>
      </c>
      <c r="AL977">
        <v>486.5</v>
      </c>
      <c r="AN977" s="48">
        <f t="shared" si="263"/>
        <v>111987.23435172421</v>
      </c>
      <c r="AO977" s="48">
        <f t="shared" si="264"/>
        <v>-334806.2594795039</v>
      </c>
      <c r="AP977" s="20"/>
      <c r="AQ977" s="50">
        <f t="shared" si="265"/>
        <v>574.68732387850548</v>
      </c>
      <c r="AR977" s="50">
        <f t="shared" si="266"/>
        <v>-471.15561461257278</v>
      </c>
      <c r="AS977" s="20"/>
      <c r="AT977" s="52">
        <f t="shared" si="252"/>
        <v>-3.1002193659205144</v>
      </c>
      <c r="AU977" s="52">
        <f t="shared" si="253"/>
        <v>9.4847815444388637</v>
      </c>
      <c r="AV977" s="20"/>
      <c r="AW977" s="20"/>
      <c r="AX977" s="20">
        <f t="shared" si="254"/>
        <v>-1.0802909330103676</v>
      </c>
      <c r="AY977" s="20">
        <f t="shared" si="255"/>
        <v>4.0200181148447678</v>
      </c>
      <c r="AZ977" s="20"/>
      <c r="BA977" s="20">
        <f t="shared" si="256"/>
        <v>-0.4707490680810425</v>
      </c>
      <c r="BB977" s="20">
        <f t="shared" si="257"/>
        <v>1.2297948821773017</v>
      </c>
      <c r="BC977" s="20"/>
      <c r="BD977" s="20">
        <f t="shared" si="258"/>
        <v>-1.5491793648291041</v>
      </c>
      <c r="BE977" s="20">
        <f t="shared" si="259"/>
        <v>4.234968547416794</v>
      </c>
      <c r="BF977" s="20"/>
      <c r="BG977" s="54">
        <f t="shared" si="260"/>
        <v>354450.59819744766</v>
      </c>
      <c r="BH977" s="54">
        <f t="shared" si="261"/>
        <v>369204.53221495525</v>
      </c>
      <c r="BI977" s="54">
        <f t="shared" si="262"/>
        <v>340532.01993870857</v>
      </c>
      <c r="BJ977" s="20"/>
    </row>
    <row r="978" spans="37:62" x14ac:dyDescent="0.3">
      <c r="AK978">
        <v>974</v>
      </c>
      <c r="AL978">
        <v>487</v>
      </c>
      <c r="AN978" s="48">
        <f t="shared" si="263"/>
        <v>112274.19048624273</v>
      </c>
      <c r="AO978" s="48">
        <f t="shared" si="264"/>
        <v>-335040.65168911713</v>
      </c>
      <c r="AP978" s="20"/>
      <c r="AQ978" s="50">
        <f t="shared" si="265"/>
        <v>573.1372141955452</v>
      </c>
      <c r="AR978" s="50">
        <f t="shared" si="266"/>
        <v>-466.41322384035334</v>
      </c>
      <c r="AS978" s="20"/>
      <c r="AT978" s="52">
        <f t="shared" ref="AT978:AT1000" si="267">AX978+BA978+BD978</f>
        <v>-3.1000806707351742</v>
      </c>
      <c r="AU978" s="52">
        <f t="shared" ref="AU978:AU1000" si="268">AY978+BB978+BE978</f>
        <v>9.4661772846604535</v>
      </c>
      <c r="AV978" s="20"/>
      <c r="AW978" s="20"/>
      <c r="AX978" s="20">
        <f t="shared" si="254"/>
        <v>-1.0809079820540906</v>
      </c>
      <c r="AY978" s="20">
        <f t="shared" si="255"/>
        <v>4.0125513173044682</v>
      </c>
      <c r="AZ978" s="20"/>
      <c r="BA978" s="20">
        <f t="shared" si="256"/>
        <v>-0.47054254618771346</v>
      </c>
      <c r="BB978" s="20">
        <f t="shared" si="257"/>
        <v>1.2274224184418738</v>
      </c>
      <c r="BC978" s="20"/>
      <c r="BD978" s="20">
        <f t="shared" si="258"/>
        <v>-1.5486301424933699</v>
      </c>
      <c r="BE978" s="20">
        <f t="shared" si="259"/>
        <v>4.2262035489141105</v>
      </c>
      <c r="BF978" s="20"/>
      <c r="BG978" s="54">
        <f t="shared" si="260"/>
        <v>354751.49652890326</v>
      </c>
      <c r="BH978" s="54">
        <f t="shared" si="261"/>
        <v>369526.0650980408</v>
      </c>
      <c r="BI978" s="54">
        <f t="shared" si="262"/>
        <v>340850.7803831441</v>
      </c>
      <c r="BJ978" s="20"/>
    </row>
    <row r="979" spans="37:62" x14ac:dyDescent="0.3">
      <c r="AK979">
        <v>975</v>
      </c>
      <c r="AL979">
        <v>487.5</v>
      </c>
      <c r="AN979" s="48">
        <f t="shared" si="263"/>
        <v>112560.37158325665</v>
      </c>
      <c r="AO979" s="48">
        <f t="shared" si="264"/>
        <v>-335272.67502887669</v>
      </c>
      <c r="AP979" s="20"/>
      <c r="AQ979" s="50">
        <f t="shared" si="265"/>
        <v>571.58717386017759</v>
      </c>
      <c r="AR979" s="50">
        <f t="shared" si="266"/>
        <v>-461.68013519802309</v>
      </c>
      <c r="AS979" s="20"/>
      <c r="AT979" s="52">
        <f t="shared" si="267"/>
        <v>-3.0999692322292454</v>
      </c>
      <c r="AU979" s="52">
        <f t="shared" si="268"/>
        <v>9.4477520210878403</v>
      </c>
      <c r="AV979" s="20"/>
      <c r="AW979" s="20"/>
      <c r="AX979" s="20">
        <f t="shared" si="254"/>
        <v>-1.0815297220785973</v>
      </c>
      <c r="AY979" s="20">
        <f t="shared" si="255"/>
        <v>4.0051571706004054</v>
      </c>
      <c r="AZ979" s="20"/>
      <c r="BA979" s="20">
        <f t="shared" si="256"/>
        <v>-0.47034136252407466</v>
      </c>
      <c r="BB979" s="20">
        <f t="shared" si="257"/>
        <v>1.2250721575068799</v>
      </c>
      <c r="BC979" s="20"/>
      <c r="BD979" s="20">
        <f t="shared" si="258"/>
        <v>-1.5480981476265734</v>
      </c>
      <c r="BE979" s="20">
        <f t="shared" si="259"/>
        <v>4.2175226929805563</v>
      </c>
      <c r="BF979" s="20"/>
      <c r="BG979" s="54">
        <f t="shared" si="260"/>
        <v>355050.03750750743</v>
      </c>
      <c r="BH979" s="54">
        <f t="shared" si="261"/>
        <v>369845.20036886702</v>
      </c>
      <c r="BI979" s="54">
        <f t="shared" si="262"/>
        <v>341167.1545400375</v>
      </c>
      <c r="BJ979" s="20"/>
    </row>
    <row r="980" spans="37:62" x14ac:dyDescent="0.3">
      <c r="AK980">
        <v>976</v>
      </c>
      <c r="AL980">
        <v>488</v>
      </c>
      <c r="AN980" s="48">
        <f t="shared" si="263"/>
        <v>112845.77767403271</v>
      </c>
      <c r="AO980" s="48">
        <f t="shared" si="264"/>
        <v>-335502.33412747306</v>
      </c>
      <c r="AP980" s="20"/>
      <c r="AQ980" s="50">
        <f t="shared" si="265"/>
        <v>570.03718924406292</v>
      </c>
      <c r="AR980" s="50">
        <f t="shared" si="266"/>
        <v>-456.95625918747919</v>
      </c>
      <c r="AS980" s="20"/>
      <c r="AT980" s="52">
        <f t="shared" si="267"/>
        <v>-3.0998850396744211</v>
      </c>
      <c r="AU980" s="52">
        <f t="shared" si="268"/>
        <v>9.4295042509470566</v>
      </c>
      <c r="AV980" s="20"/>
      <c r="AW980" s="20"/>
      <c r="AX980" s="20">
        <f t="shared" si="254"/>
        <v>-1.0821562159316815</v>
      </c>
      <c r="AY980" s="20">
        <f t="shared" si="255"/>
        <v>3.997835090124227</v>
      </c>
      <c r="AZ980" s="20"/>
      <c r="BA980" s="20">
        <f t="shared" si="256"/>
        <v>-0.47014549598303818</v>
      </c>
      <c r="BB980" s="20">
        <f t="shared" si="257"/>
        <v>1.2227439146785131</v>
      </c>
      <c r="BC980" s="20"/>
      <c r="BD980" s="20">
        <f t="shared" si="258"/>
        <v>-1.5475833277597013</v>
      </c>
      <c r="BE980" s="20">
        <f t="shared" si="259"/>
        <v>4.2089252461443163</v>
      </c>
      <c r="BF980" s="20"/>
      <c r="BG980" s="54">
        <f t="shared" si="260"/>
        <v>355346.22503804736</v>
      </c>
      <c r="BH980" s="54">
        <f t="shared" si="261"/>
        <v>370161.94230816135</v>
      </c>
      <c r="BI980" s="54">
        <f t="shared" si="262"/>
        <v>341481.14661977452</v>
      </c>
      <c r="BJ980" s="20"/>
    </row>
    <row r="981" spans="37:62" x14ac:dyDescent="0.3">
      <c r="AK981">
        <v>977</v>
      </c>
      <c r="AL981">
        <v>488.5</v>
      </c>
      <c r="AN981" s="48">
        <f t="shared" si="263"/>
        <v>113130.40878302477</v>
      </c>
      <c r="AO981" s="48">
        <f t="shared" si="264"/>
        <v>-335729.63356903539</v>
      </c>
      <c r="AP981" s="20"/>
      <c r="AQ981" s="50">
        <f t="shared" si="265"/>
        <v>568.48724672422566</v>
      </c>
      <c r="AR981" s="50">
        <f t="shared" si="266"/>
        <v>-452.24150706200567</v>
      </c>
      <c r="AS981" s="20"/>
      <c r="AT981" s="52">
        <f t="shared" si="267"/>
        <v>-3.0998280831890441</v>
      </c>
      <c r="AU981" s="52">
        <f t="shared" si="268"/>
        <v>9.4114324926861634</v>
      </c>
      <c r="AV981" s="20"/>
      <c r="AW981" s="20"/>
      <c r="AX981" s="20">
        <f t="shared" si="254"/>
        <v>-1.0827875258152428</v>
      </c>
      <c r="AY981" s="20">
        <f t="shared" si="255"/>
        <v>3.9905844994683335</v>
      </c>
      <c r="AZ981" s="20"/>
      <c r="BA981" s="20">
        <f t="shared" si="256"/>
        <v>-0.46995492585789916</v>
      </c>
      <c r="BB981" s="20">
        <f t="shared" si="257"/>
        <v>1.2204375078245224</v>
      </c>
      <c r="BC981" s="20"/>
      <c r="BD981" s="20">
        <f t="shared" si="258"/>
        <v>-1.5470856315159021</v>
      </c>
      <c r="BE981" s="20">
        <f t="shared" si="259"/>
        <v>4.2004104853933084</v>
      </c>
      <c r="BF981" s="20"/>
      <c r="BG981" s="54">
        <f t="shared" si="260"/>
        <v>355640.0629850743</v>
      </c>
      <c r="BH981" s="54">
        <f t="shared" si="261"/>
        <v>370476.29515329958</v>
      </c>
      <c r="BI981" s="54">
        <f t="shared" si="262"/>
        <v>341792.76079017861</v>
      </c>
      <c r="BJ981" s="20"/>
    </row>
    <row r="982" spans="37:62" x14ac:dyDescent="0.3">
      <c r="AK982">
        <v>978</v>
      </c>
      <c r="AL982">
        <v>489</v>
      </c>
      <c r="AN982" s="48">
        <f t="shared" si="263"/>
        <v>113414.26492787649</v>
      </c>
      <c r="AO982" s="48">
        <f t="shared" si="264"/>
        <v>-335954.57789350481</v>
      </c>
      <c r="AP982" s="20"/>
      <c r="AQ982" s="50">
        <f t="shared" si="265"/>
        <v>566.93733268263111</v>
      </c>
      <c r="AR982" s="50">
        <f t="shared" si="266"/>
        <v>-447.53579081566261</v>
      </c>
      <c r="AS982" s="20"/>
      <c r="AT982" s="52">
        <f t="shared" si="267"/>
        <v>-3.0997983537465608</v>
      </c>
      <c r="AU982" s="52">
        <f t="shared" si="268"/>
        <v>9.3935352856527032</v>
      </c>
      <c r="AV982" s="20"/>
      <c r="AW982" s="20"/>
      <c r="AX982" s="20">
        <f t="shared" si="254"/>
        <v>-1.0834237133054025</v>
      </c>
      <c r="AY982" s="20">
        <f t="shared" si="255"/>
        <v>3.9834048303052829</v>
      </c>
      <c r="AZ982" s="20"/>
      <c r="BA982" s="20">
        <f t="shared" si="256"/>
        <v>-0.46976963183824799</v>
      </c>
      <c r="BB982" s="20">
        <f t="shared" si="257"/>
        <v>1.2181527573355497</v>
      </c>
      <c r="BC982" s="20"/>
      <c r="BD982" s="20">
        <f t="shared" si="258"/>
        <v>-1.5466050086029099</v>
      </c>
      <c r="BE982" s="20">
        <f t="shared" si="259"/>
        <v>4.1919776980118693</v>
      </c>
      <c r="BF982" s="20"/>
      <c r="BG982" s="54">
        <f t="shared" si="260"/>
        <v>355931.55517321173</v>
      </c>
      <c r="BH982" s="54">
        <f t="shared" si="261"/>
        <v>370788.26309865672</v>
      </c>
      <c r="BI982" s="54">
        <f t="shared" si="262"/>
        <v>342102.00117685244</v>
      </c>
      <c r="BJ982" s="20"/>
    </row>
    <row r="983" spans="37:62" x14ac:dyDescent="0.3">
      <c r="AK983">
        <v>979</v>
      </c>
      <c r="AL983">
        <v>489.5</v>
      </c>
      <c r="AN983" s="48">
        <f t="shared" si="263"/>
        <v>113697.34611942359</v>
      </c>
      <c r="AO983" s="48">
        <f t="shared" si="264"/>
        <v>-336177.17159700196</v>
      </c>
      <c r="AP983" s="20"/>
      <c r="AQ983" s="50">
        <f t="shared" si="265"/>
        <v>565.38743350575783</v>
      </c>
      <c r="AR983" s="50">
        <f t="shared" si="266"/>
        <v>-442.83902317283628</v>
      </c>
      <c r="AS983" s="20"/>
      <c r="AT983" s="52">
        <f t="shared" si="267"/>
        <v>-3.0997958431836978</v>
      </c>
      <c r="AU983" s="52">
        <f t="shared" si="268"/>
        <v>9.3758111897769751</v>
      </c>
      <c r="AV983" s="20"/>
      <c r="AW983" s="20"/>
      <c r="AX983" s="20">
        <f t="shared" si="254"/>
        <v>-1.0840648393720842</v>
      </c>
      <c r="AY983" s="20">
        <f t="shared" si="255"/>
        <v>3.9762955222690368</v>
      </c>
      <c r="AZ983" s="20"/>
      <c r="BA983" s="20">
        <f t="shared" si="256"/>
        <v>-0.46958959400598582</v>
      </c>
      <c r="BB983" s="20">
        <f t="shared" si="257"/>
        <v>1.2158894860872613</v>
      </c>
      <c r="BC983" s="20"/>
      <c r="BD983" s="20">
        <f t="shared" si="258"/>
        <v>-1.5461414098056279</v>
      </c>
      <c r="BE983" s="20">
        <f t="shared" si="259"/>
        <v>4.1836261814206779</v>
      </c>
      <c r="BF983" s="20"/>
      <c r="BG983" s="54">
        <f t="shared" si="260"/>
        <v>356220.70538745803</v>
      </c>
      <c r="BH983" s="54">
        <f t="shared" si="261"/>
        <v>371097.8502959524</v>
      </c>
      <c r="BI983" s="54">
        <f t="shared" si="262"/>
        <v>342408.87186351389</v>
      </c>
      <c r="BJ983" s="20"/>
    </row>
    <row r="984" spans="37:62" x14ac:dyDescent="0.3">
      <c r="AK984">
        <v>980</v>
      </c>
      <c r="AL984">
        <v>490</v>
      </c>
      <c r="AN984" s="48">
        <f t="shared" si="263"/>
        <v>113979.65236169606</v>
      </c>
      <c r="AO984" s="48">
        <f t="shared" si="264"/>
        <v>-336397.41913218965</v>
      </c>
      <c r="AP984" s="20"/>
      <c r="AQ984" s="50">
        <f t="shared" si="265"/>
        <v>563.83753558416595</v>
      </c>
      <c r="AR984" s="50">
        <f t="shared" si="266"/>
        <v>-438.15111757794779</v>
      </c>
      <c r="AS984" s="20"/>
      <c r="AT984" s="52">
        <f t="shared" si="267"/>
        <v>-3.0998205442084625</v>
      </c>
      <c r="AU984" s="52">
        <f t="shared" si="268"/>
        <v>9.358258785261576</v>
      </c>
      <c r="AV984" s="20"/>
      <c r="AW984" s="20"/>
      <c r="AX984" s="20">
        <f t="shared" si="254"/>
        <v>-1.0847109643982984</v>
      </c>
      <c r="AY984" s="20">
        <f t="shared" si="255"/>
        <v>3.9692560228388474</v>
      </c>
      <c r="AZ984" s="20"/>
      <c r="BA984" s="20">
        <f t="shared" si="256"/>
        <v>-0.4694147928313786</v>
      </c>
      <c r="BB984" s="20">
        <f t="shared" si="257"/>
        <v>1.2136475194030918</v>
      </c>
      <c r="BC984" s="20"/>
      <c r="BD984" s="20">
        <f t="shared" si="258"/>
        <v>-1.5456947869787854</v>
      </c>
      <c r="BE984" s="20">
        <f t="shared" si="259"/>
        <v>4.1753552430196361</v>
      </c>
      <c r="BF984" s="20"/>
      <c r="BG984" s="54">
        <f t="shared" si="260"/>
        <v>356507.51737348561</v>
      </c>
      <c r="BH984" s="54">
        <f t="shared" si="261"/>
        <v>371405.06085459149</v>
      </c>
      <c r="BI984" s="54">
        <f t="shared" si="262"/>
        <v>342713.37689232739</v>
      </c>
      <c r="BJ984" s="20"/>
    </row>
    <row r="985" spans="37:62" x14ac:dyDescent="0.3">
      <c r="AK985">
        <v>981</v>
      </c>
      <c r="AL985">
        <v>490.5</v>
      </c>
      <c r="AN985" s="48">
        <f t="shared" si="263"/>
        <v>114261.18365192012</v>
      </c>
      <c r="AO985" s="48">
        <f t="shared" si="264"/>
        <v>-336615.32490863046</v>
      </c>
      <c r="AP985" s="20"/>
      <c r="AQ985" s="50">
        <f t="shared" si="265"/>
        <v>562.28762531206166</v>
      </c>
      <c r="AR985" s="50">
        <f t="shared" si="266"/>
        <v>-433.471988185317</v>
      </c>
      <c r="AS985" s="20"/>
      <c r="AT985" s="52">
        <f t="shared" si="267"/>
        <v>-3.0998724504079758</v>
      </c>
      <c r="AU985" s="52">
        <f t="shared" si="268"/>
        <v>9.3408766722767744</v>
      </c>
      <c r="AV985" s="20"/>
      <c r="AW985" s="20"/>
      <c r="AX985" s="20">
        <f t="shared" si="254"/>
        <v>-1.0853621481989311</v>
      </c>
      <c r="AY985" s="20">
        <f t="shared" si="255"/>
        <v>3.9622857872249546</v>
      </c>
      <c r="AZ985" s="20"/>
      <c r="BA985" s="20">
        <f t="shared" si="256"/>
        <v>-0.46924520916925655</v>
      </c>
      <c r="BB985" s="20">
        <f t="shared" si="257"/>
        <v>1.2114266850178632</v>
      </c>
      <c r="BC985" s="20"/>
      <c r="BD985" s="20">
        <f t="shared" si="258"/>
        <v>-1.5452650930397882</v>
      </c>
      <c r="BE985" s="20">
        <f t="shared" si="259"/>
        <v>4.1671642000339579</v>
      </c>
      <c r="BF985" s="20"/>
      <c r="BG985" s="54">
        <f t="shared" si="260"/>
        <v>356791.99483793537</v>
      </c>
      <c r="BH985" s="54">
        <f t="shared" si="261"/>
        <v>371709.89884200029</v>
      </c>
      <c r="BI985" s="54">
        <f t="shared" si="262"/>
        <v>343015.52026423084</v>
      </c>
      <c r="BJ985" s="20"/>
    </row>
    <row r="986" spans="37:62" x14ac:dyDescent="0.3">
      <c r="AK986">
        <v>982</v>
      </c>
      <c r="AL986">
        <v>491</v>
      </c>
      <c r="AN986" s="48">
        <f t="shared" si="263"/>
        <v>114541.93998051983</v>
      </c>
      <c r="AO986" s="48">
        <f t="shared" si="264"/>
        <v>-336830.89329313906</v>
      </c>
      <c r="AP986" s="20"/>
      <c r="AQ986" s="50">
        <f t="shared" si="265"/>
        <v>560.7376890868577</v>
      </c>
      <c r="AR986" s="50">
        <f t="shared" si="266"/>
        <v>-428.80154984917863</v>
      </c>
      <c r="AS986" s="20"/>
      <c r="AT986" s="52">
        <f t="shared" si="267"/>
        <v>-3.0999515562562312</v>
      </c>
      <c r="AU986" s="52">
        <f t="shared" si="268"/>
        <v>9.323663470662142</v>
      </c>
      <c r="AV986" s="20"/>
      <c r="AW986" s="20"/>
      <c r="AX986" s="20">
        <f t="shared" si="254"/>
        <v>-1.0860184500392924</v>
      </c>
      <c r="AY986" s="20">
        <f t="shared" si="255"/>
        <v>3.9553842782569451</v>
      </c>
      <c r="AZ986" s="20"/>
      <c r="BA986" s="20">
        <f t="shared" si="256"/>
        <v>-0.4690808242552203</v>
      </c>
      <c r="BB986" s="20">
        <f t="shared" si="257"/>
        <v>1.2092268130419108</v>
      </c>
      <c r="BC986" s="20"/>
      <c r="BD986" s="20">
        <f t="shared" si="258"/>
        <v>-1.5448522819617188</v>
      </c>
      <c r="BE986" s="20">
        <f t="shared" si="259"/>
        <v>4.1590523793632865</v>
      </c>
      <c r="BF986" s="20"/>
      <c r="BG986" s="54">
        <f t="shared" si="260"/>
        <v>357074.14144870715</v>
      </c>
      <c r="BH986" s="54">
        <f t="shared" si="261"/>
        <v>372012.36828395724</v>
      </c>
      <c r="BI986" s="54">
        <f t="shared" si="262"/>
        <v>343315.30593925767</v>
      </c>
      <c r="BJ986" s="20"/>
    </row>
    <row r="987" spans="37:62" x14ac:dyDescent="0.3">
      <c r="AK987">
        <v>983</v>
      </c>
      <c r="AL987">
        <v>491.5</v>
      </c>
      <c r="AN987" s="48">
        <f t="shared" si="263"/>
        <v>114821.92133111872</v>
      </c>
      <c r="AO987" s="48">
        <f t="shared" si="264"/>
        <v>-337044.12861012982</v>
      </c>
      <c r="AP987" s="20"/>
      <c r="AQ987" s="50">
        <f t="shared" si="265"/>
        <v>559.1877133087296</v>
      </c>
      <c r="AR987" s="50">
        <f t="shared" si="266"/>
        <v>-424.13971811384755</v>
      </c>
      <c r="AS987" s="20"/>
      <c r="AT987" s="52">
        <f t="shared" si="267"/>
        <v>-3.1000578571216186</v>
      </c>
      <c r="AU987" s="52">
        <f t="shared" si="268"/>
        <v>9.306617819633523</v>
      </c>
      <c r="AV987" s="20"/>
      <c r="AW987" s="20"/>
      <c r="AX987" s="20">
        <f t="shared" si="254"/>
        <v>-1.0866799286531568</v>
      </c>
      <c r="AY987" s="20">
        <f t="shared" si="255"/>
        <v>3.948550966273725</v>
      </c>
      <c r="AZ987" s="20"/>
      <c r="BA987" s="20">
        <f t="shared" si="256"/>
        <v>-0.46892161970200408</v>
      </c>
      <c r="BB987" s="20">
        <f t="shared" si="257"/>
        <v>1.2070477359260929</v>
      </c>
      <c r="BC987" s="20"/>
      <c r="BD987" s="20">
        <f t="shared" si="258"/>
        <v>-1.5444563087664576</v>
      </c>
      <c r="BE987" s="20">
        <f t="shared" si="259"/>
        <v>4.1510191174337061</v>
      </c>
      <c r="BF987" s="20"/>
      <c r="BG987" s="54">
        <f t="shared" si="260"/>
        <v>357353.96083524602</v>
      </c>
      <c r="BH987" s="54">
        <f t="shared" si="261"/>
        <v>372312.47316491924</v>
      </c>
      <c r="BI987" s="54">
        <f t="shared" si="262"/>
        <v>343612.73783685412</v>
      </c>
      <c r="BJ987" s="20"/>
    </row>
    <row r="988" spans="37:62" x14ac:dyDescent="0.3">
      <c r="AK988">
        <v>984</v>
      </c>
      <c r="AL988">
        <v>492</v>
      </c>
      <c r="AN988" s="48">
        <f t="shared" si="263"/>
        <v>115101.12768054094</v>
      </c>
      <c r="AO988" s="48">
        <f t="shared" si="264"/>
        <v>-337255.03514195926</v>
      </c>
      <c r="AP988" s="20"/>
      <c r="AQ988" s="50">
        <f t="shared" si="265"/>
        <v>557.63768438016882</v>
      </c>
      <c r="AR988" s="50">
        <f t="shared" si="266"/>
        <v>-419.48640920403079</v>
      </c>
      <c r="AS988" s="20"/>
      <c r="AT988" s="52">
        <f t="shared" si="267"/>
        <v>-3.1001913492743016</v>
      </c>
      <c r="AU988" s="52">
        <f t="shared" si="268"/>
        <v>9.289738377495727</v>
      </c>
      <c r="AV988" s="20"/>
      <c r="AW988" s="20"/>
      <c r="AX988" s="20">
        <f t="shared" si="254"/>
        <v>-1.0873466422605458</v>
      </c>
      <c r="AY988" s="20">
        <f t="shared" si="255"/>
        <v>3.9417853290159184</v>
      </c>
      <c r="AZ988" s="20"/>
      <c r="BA988" s="20">
        <f t="shared" si="256"/>
        <v>-0.46876757749583425</v>
      </c>
      <c r="BB988" s="20">
        <f t="shared" si="257"/>
        <v>1.2048892884272573</v>
      </c>
      <c r="BC988" s="20"/>
      <c r="BD988" s="20">
        <f t="shared" si="258"/>
        <v>-1.5440771295179219</v>
      </c>
      <c r="BE988" s="20">
        <f t="shared" si="259"/>
        <v>4.1430637600525513</v>
      </c>
      <c r="BF988" s="20"/>
      <c r="BG988" s="54">
        <f t="shared" si="260"/>
        <v>357631.45658882428</v>
      </c>
      <c r="BH988" s="54">
        <f t="shared" si="261"/>
        <v>372610.2174283432</v>
      </c>
      <c r="BI988" s="54">
        <f t="shared" si="262"/>
        <v>343907.81983619247</v>
      </c>
      <c r="BJ988" s="20"/>
    </row>
    <row r="989" spans="37:62" x14ac:dyDescent="0.3">
      <c r="AK989">
        <v>985</v>
      </c>
      <c r="AL989">
        <v>492.5</v>
      </c>
      <c r="AN989" s="48">
        <f t="shared" si="263"/>
        <v>115379.55899881237</v>
      </c>
      <c r="AO989" s="48">
        <f t="shared" si="264"/>
        <v>-337463.61712926411</v>
      </c>
      <c r="AP989" s="20"/>
      <c r="AQ989" s="50">
        <f t="shared" si="265"/>
        <v>556.08758870553163</v>
      </c>
      <c r="AR989" s="50">
        <f t="shared" si="266"/>
        <v>-414.84154001528293</v>
      </c>
      <c r="AS989" s="20"/>
      <c r="AT989" s="52">
        <f t="shared" si="267"/>
        <v>-3.1003520298935472</v>
      </c>
      <c r="AU989" s="52">
        <f t="shared" si="268"/>
        <v>9.2730238213608889</v>
      </c>
      <c r="AV989" s="20"/>
      <c r="AW989" s="20"/>
      <c r="AX989" s="20">
        <f t="shared" si="254"/>
        <v>-1.0880186485851346</v>
      </c>
      <c r="AY989" s="20">
        <f t="shared" si="255"/>
        <v>3.9350868515202002</v>
      </c>
      <c r="AZ989" s="20"/>
      <c r="BA989" s="20">
        <f t="shared" si="256"/>
        <v>-0.46861867999292228</v>
      </c>
      <c r="BB989" s="20">
        <f t="shared" si="257"/>
        <v>1.2027513075745082</v>
      </c>
      <c r="BC989" s="20"/>
      <c r="BD989" s="20">
        <f t="shared" si="258"/>
        <v>-1.5437147013154904</v>
      </c>
      <c r="BE989" s="20">
        <f t="shared" si="259"/>
        <v>4.1351856622661805</v>
      </c>
      <c r="BF989" s="20"/>
      <c r="BG989" s="54">
        <f t="shared" si="260"/>
        <v>357906.63226281997</v>
      </c>
      <c r="BH989" s="54">
        <f t="shared" si="261"/>
        <v>372905.60497700318</v>
      </c>
      <c r="BI989" s="54">
        <f t="shared" si="262"/>
        <v>344200.55577647925</v>
      </c>
      <c r="BJ989" s="20"/>
    </row>
    <row r="990" spans="37:62" x14ac:dyDescent="0.3">
      <c r="AK990">
        <v>986</v>
      </c>
      <c r="AL990">
        <v>493</v>
      </c>
      <c r="AN990" s="48">
        <f t="shared" si="263"/>
        <v>115657.2152491614</v>
      </c>
      <c r="AO990" s="48">
        <f t="shared" si="264"/>
        <v>-337669.87877129408</v>
      </c>
      <c r="AP990" s="20"/>
      <c r="AQ990" s="50">
        <f t="shared" si="265"/>
        <v>554.5374126905848</v>
      </c>
      <c r="AR990" s="50">
        <f t="shared" si="266"/>
        <v>-410.20502810460249</v>
      </c>
      <c r="AS990" s="20"/>
      <c r="AT990" s="52">
        <f t="shared" si="267"/>
        <v>-3.1005398970747873</v>
      </c>
      <c r="AU990" s="52">
        <f t="shared" si="268"/>
        <v>9.2564728468718123</v>
      </c>
      <c r="AV990" s="20"/>
      <c r="AW990" s="20"/>
      <c r="AX990" s="20">
        <f t="shared" si="254"/>
        <v>-1.0886960048712619</v>
      </c>
      <c r="AY990" s="20">
        <f t="shared" si="255"/>
        <v>3.9284550260154063</v>
      </c>
      <c r="AZ990" s="20"/>
      <c r="BA990" s="20">
        <f t="shared" si="256"/>
        <v>-0.46847490991599722</v>
      </c>
      <c r="BB990" s="20">
        <f t="shared" si="257"/>
        <v>1.2006336326360236</v>
      </c>
      <c r="BC990" s="20"/>
      <c r="BD990" s="20">
        <f t="shared" si="258"/>
        <v>-1.5433689822875278</v>
      </c>
      <c r="BE990" s="20">
        <f t="shared" si="259"/>
        <v>4.1273841882203834</v>
      </c>
      <c r="BF990" s="20"/>
      <c r="BG990" s="54">
        <f t="shared" si="260"/>
        <v>358179.4913729906</v>
      </c>
      <c r="BH990" s="54">
        <f t="shared" si="261"/>
        <v>373198.63967330271</v>
      </c>
      <c r="BI990" s="54">
        <f t="shared" si="262"/>
        <v>344490.94945725944</v>
      </c>
      <c r="BJ990" s="20"/>
    </row>
    <row r="991" spans="37:62" x14ac:dyDescent="0.3">
      <c r="AK991">
        <v>987</v>
      </c>
      <c r="AL991">
        <v>493.5</v>
      </c>
      <c r="AN991" s="48">
        <f t="shared" si="263"/>
        <v>115934.09638801955</v>
      </c>
      <c r="AO991" s="48">
        <f t="shared" si="264"/>
        <v>-337873.82422624051</v>
      </c>
      <c r="AP991" s="20"/>
      <c r="AQ991" s="50">
        <f t="shared" si="265"/>
        <v>552.98714274204735</v>
      </c>
      <c r="AR991" s="50">
        <f t="shared" si="266"/>
        <v>-405.57679168116658</v>
      </c>
      <c r="AS991" s="20"/>
      <c r="AT991" s="52">
        <f t="shared" si="267"/>
        <v>-3.1007549498367899</v>
      </c>
      <c r="AU991" s="52">
        <f t="shared" si="268"/>
        <v>9.2400841679312933</v>
      </c>
      <c r="AV991" s="20"/>
      <c r="AW991" s="20"/>
      <c r="AX991" s="20">
        <f t="shared" si="254"/>
        <v>-1.0893787679007376</v>
      </c>
      <c r="AY991" s="20">
        <f t="shared" si="255"/>
        <v>3.9218893518210467</v>
      </c>
      <c r="AZ991" s="20"/>
      <c r="BA991" s="20">
        <f t="shared" si="256"/>
        <v>-0.4683362503509475</v>
      </c>
      <c r="BB991" s="20">
        <f t="shared" si="257"/>
        <v>1.1985361050865901</v>
      </c>
      <c r="BC991" s="20"/>
      <c r="BD991" s="20">
        <f t="shared" si="258"/>
        <v>-1.5430399315851051</v>
      </c>
      <c r="BE991" s="20">
        <f t="shared" si="259"/>
        <v>4.1196587110236571</v>
      </c>
      <c r="BF991" s="20"/>
      <c r="BG991" s="54">
        <f t="shared" si="260"/>
        <v>358450.03739774378</v>
      </c>
      <c r="BH991" s="54">
        <f t="shared" si="261"/>
        <v>373489.32533958275</v>
      </c>
      <c r="BI991" s="54">
        <f t="shared" si="262"/>
        <v>344779.0046387164</v>
      </c>
      <c r="BJ991" s="20"/>
    </row>
    <row r="992" spans="37:62" x14ac:dyDescent="0.3">
      <c r="AK992">
        <v>988</v>
      </c>
      <c r="AL992">
        <v>494</v>
      </c>
      <c r="AN992" s="48">
        <f t="shared" si="263"/>
        <v>116210.20236502185</v>
      </c>
      <c r="AO992" s="48">
        <f t="shared" si="264"/>
        <v>-338075.45761156006</v>
      </c>
      <c r="AP992" s="20"/>
      <c r="AQ992" s="50">
        <f t="shared" si="265"/>
        <v>551.43676526712898</v>
      </c>
      <c r="AR992" s="50">
        <f t="shared" si="266"/>
        <v>-400.95674959720094</v>
      </c>
      <c r="AS992" s="20"/>
      <c r="AT992" s="52">
        <f t="shared" si="267"/>
        <v>-3.1009971881283711</v>
      </c>
      <c r="AU992" s="52">
        <f t="shared" si="268"/>
        <v>9.2238565164354966</v>
      </c>
      <c r="AV992" s="20"/>
      <c r="AW992" s="20"/>
      <c r="AX992" s="20">
        <f t="shared" si="254"/>
        <v>-1.0900669940091685</v>
      </c>
      <c r="AY992" s="20">
        <f t="shared" si="255"/>
        <v>3.9153893352471441</v>
      </c>
      <c r="AZ992" s="20"/>
      <c r="BA992" s="20">
        <f t="shared" si="256"/>
        <v>-0.46820268474348442</v>
      </c>
      <c r="BB992" s="20">
        <f t="shared" si="257"/>
        <v>1.1964585685756182</v>
      </c>
      <c r="BC992" s="20"/>
      <c r="BD992" s="20">
        <f t="shared" si="258"/>
        <v>-1.542727509375718</v>
      </c>
      <c r="BE992" s="20">
        <f t="shared" si="259"/>
        <v>4.1120086126127351</v>
      </c>
      <c r="BF992" s="20"/>
      <c r="BG992" s="54">
        <f t="shared" si="260"/>
        <v>358718.27377840341</v>
      </c>
      <c r="BH992" s="54">
        <f t="shared" si="261"/>
        <v>373777.66575842537</v>
      </c>
      <c r="BI992" s="54">
        <f t="shared" si="262"/>
        <v>345064.72504196729</v>
      </c>
      <c r="BJ992" s="20"/>
    </row>
    <row r="993" spans="37:62" x14ac:dyDescent="0.3">
      <c r="AK993">
        <v>989</v>
      </c>
      <c r="AL993">
        <v>494.5</v>
      </c>
      <c r="AN993" s="48">
        <f t="shared" si="263"/>
        <v>116485.5331230069</v>
      </c>
      <c r="AO993" s="48">
        <f t="shared" si="264"/>
        <v>-338274.78300429409</v>
      </c>
      <c r="AP993" s="20"/>
      <c r="AQ993" s="50">
        <f t="shared" si="265"/>
        <v>549.88626667306482</v>
      </c>
      <c r="AR993" s="50">
        <f t="shared" si="266"/>
        <v>-396.34482133898319</v>
      </c>
      <c r="AS993" s="20"/>
      <c r="AT993" s="52">
        <f t="shared" si="267"/>
        <v>-3.1012666128353743</v>
      </c>
      <c r="AU993" s="52">
        <f t="shared" si="268"/>
        <v>9.207788642013611</v>
      </c>
      <c r="AV993" s="20"/>
      <c r="AW993" s="20"/>
      <c r="AX993" s="20">
        <f t="shared" si="254"/>
        <v>-1.0907607391021561</v>
      </c>
      <c r="AY993" s="20">
        <f t="shared" si="255"/>
        <v>3.9089544894966077</v>
      </c>
      <c r="AZ993" s="20"/>
      <c r="BA993" s="20">
        <f t="shared" si="256"/>
        <v>-0.46807419689591073</v>
      </c>
      <c r="BB993" s="20">
        <f t="shared" si="257"/>
        <v>1.1944008688958485</v>
      </c>
      <c r="BC993" s="20"/>
      <c r="BD993" s="20">
        <f t="shared" si="258"/>
        <v>-1.5424316768373072</v>
      </c>
      <c r="BE993" s="20">
        <f t="shared" si="259"/>
        <v>4.1044332836211561</v>
      </c>
      <c r="BF993" s="20"/>
      <c r="BG993" s="54">
        <f t="shared" si="260"/>
        <v>358984.2039194727</v>
      </c>
      <c r="BH993" s="54">
        <f t="shared" si="261"/>
        <v>374063.66467295319</v>
      </c>
      <c r="BI993" s="54">
        <f t="shared" si="262"/>
        <v>345348.11434935423</v>
      </c>
      <c r="BJ993" s="20"/>
    </row>
    <row r="994" spans="37:62" x14ac:dyDescent="0.3">
      <c r="AK994">
        <v>990</v>
      </c>
      <c r="AL994">
        <v>495</v>
      </c>
      <c r="AN994" s="48">
        <f t="shared" si="263"/>
        <v>116760.08859801682</v>
      </c>
      <c r="AO994" s="48">
        <f t="shared" si="264"/>
        <v>-338471.80444138334</v>
      </c>
      <c r="AP994" s="20"/>
      <c r="AQ994" s="50">
        <f t="shared" si="265"/>
        <v>548.33563336664713</v>
      </c>
      <c r="AR994" s="50">
        <f t="shared" si="266"/>
        <v>-391.74092701797639</v>
      </c>
      <c r="AS994" s="20"/>
      <c r="AT994" s="52">
        <f t="shared" si="267"/>
        <v>-3.1015632257872854</v>
      </c>
      <c r="AU994" s="52">
        <f t="shared" si="268"/>
        <v>9.1918793117715119</v>
      </c>
      <c r="AV994" s="20"/>
      <c r="AW994" s="20"/>
      <c r="AX994" s="20">
        <f t="shared" si="254"/>
        <v>-1.0914600586710081</v>
      </c>
      <c r="AY994" s="20">
        <f t="shared" si="255"/>
        <v>3.902584334568771</v>
      </c>
      <c r="AZ994" s="20"/>
      <c r="BA994" s="20">
        <f t="shared" si="256"/>
        <v>-0.46795077096396026</v>
      </c>
      <c r="BB994" s="20">
        <f t="shared" si="257"/>
        <v>1.1923628539526434</v>
      </c>
      <c r="BC994" s="20"/>
      <c r="BD994" s="20">
        <f t="shared" si="258"/>
        <v>-1.5421523961523171</v>
      </c>
      <c r="BE994" s="20">
        <f t="shared" si="259"/>
        <v>4.0969321232500979</v>
      </c>
      <c r="BF994" s="20"/>
      <c r="BG994" s="54">
        <f t="shared" si="260"/>
        <v>359247.83118889231</v>
      </c>
      <c r="BH994" s="54">
        <f t="shared" si="261"/>
        <v>374347.32578712399</v>
      </c>
      <c r="BI994" s="54">
        <f t="shared" si="262"/>
        <v>345629.17620473169</v>
      </c>
      <c r="BJ994" s="20"/>
    </row>
    <row r="995" spans="37:62" x14ac:dyDescent="0.3">
      <c r="AK995">
        <v>991</v>
      </c>
      <c r="AL995">
        <v>495.5</v>
      </c>
      <c r="AN995" s="48">
        <f t="shared" si="263"/>
        <v>117033.86871929694</v>
      </c>
      <c r="AO995" s="48">
        <f t="shared" si="264"/>
        <v>-338666.52591997839</v>
      </c>
      <c r="AP995" s="20"/>
      <c r="AQ995" s="50">
        <f t="shared" si="265"/>
        <v>546.78485175375351</v>
      </c>
      <c r="AR995" s="50">
        <f t="shared" si="266"/>
        <v>-387.14498736209066</v>
      </c>
      <c r="AS995" s="20"/>
      <c r="AT995" s="52">
        <f t="shared" si="267"/>
        <v>-3.1018870297638759</v>
      </c>
      <c r="AU995" s="52">
        <f t="shared" si="268"/>
        <v>9.1761273100407301</v>
      </c>
      <c r="AV995" s="20"/>
      <c r="AW995" s="20"/>
      <c r="AX995" s="20">
        <f t="shared" si="254"/>
        <v>-1.0921650078082876</v>
      </c>
      <c r="AY995" s="20">
        <f t="shared" si="255"/>
        <v>3.8962783971652031</v>
      </c>
      <c r="AZ995" s="20"/>
      <c r="BA995" s="20">
        <f t="shared" si="256"/>
        <v>-0.46783239145368744</v>
      </c>
      <c r="BB995" s="20">
        <f t="shared" si="257"/>
        <v>1.1903443737338095</v>
      </c>
      <c r="BC995" s="20"/>
      <c r="BD995" s="20">
        <f t="shared" si="258"/>
        <v>-1.5418896305019008</v>
      </c>
      <c r="BE995" s="20">
        <f t="shared" si="259"/>
        <v>4.0895045391417186</v>
      </c>
      <c r="BF995" s="20"/>
      <c r="BG995" s="54">
        <f t="shared" si="260"/>
        <v>359509.15891829628</v>
      </c>
      <c r="BH995" s="54">
        <f t="shared" si="261"/>
        <v>374628.65276602173</v>
      </c>
      <c r="BI995" s="54">
        <f t="shared" si="262"/>
        <v>345907.91421374946</v>
      </c>
      <c r="BJ995" s="20"/>
    </row>
    <row r="996" spans="37:62" x14ac:dyDescent="0.3">
      <c r="AK996">
        <v>992</v>
      </c>
      <c r="AL996">
        <v>496</v>
      </c>
      <c r="AN996" s="48">
        <f t="shared" si="263"/>
        <v>117306.87340929511</v>
      </c>
      <c r="AO996" s="48">
        <f t="shared" si="264"/>
        <v>-338858.9513977457</v>
      </c>
      <c r="AP996" s="20"/>
      <c r="AQ996" s="50">
        <f t="shared" si="265"/>
        <v>545.23390823887155</v>
      </c>
      <c r="AR996" s="50">
        <f t="shared" si="266"/>
        <v>-382.55692370707027</v>
      </c>
      <c r="AS996" s="20"/>
      <c r="AT996" s="52">
        <f t="shared" si="267"/>
        <v>-3.1022380285017412</v>
      </c>
      <c r="AU996" s="52">
        <f t="shared" si="268"/>
        <v>9.1605314381321037</v>
      </c>
      <c r="AV996" s="20"/>
      <c r="AW996" s="20"/>
      <c r="AX996" s="20">
        <f t="shared" si="254"/>
        <v>-1.0928756412230349</v>
      </c>
      <c r="AY996" s="20">
        <f t="shared" si="255"/>
        <v>3.8900362105971338</v>
      </c>
      <c r="AZ996" s="20"/>
      <c r="BA996" s="20">
        <f t="shared" si="256"/>
        <v>-0.46771904321843066</v>
      </c>
      <c r="BB996" s="20">
        <f t="shared" si="257"/>
        <v>1.1883452802799954</v>
      </c>
      <c r="BC996" s="20"/>
      <c r="BD996" s="20">
        <f t="shared" si="258"/>
        <v>-1.5416433440602755</v>
      </c>
      <c r="BE996" s="20">
        <f t="shared" si="259"/>
        <v>4.0821499472549752</v>
      </c>
      <c r="BF996" s="20"/>
      <c r="BG996" s="54">
        <f t="shared" si="260"/>
        <v>359768.19040326308</v>
      </c>
      <c r="BH996" s="54">
        <f t="shared" si="261"/>
        <v>374907.64923614304</v>
      </c>
      <c r="BI996" s="54">
        <f t="shared" si="262"/>
        <v>346184.33194413164</v>
      </c>
      <c r="BJ996" s="20"/>
    </row>
    <row r="997" spans="37:62" x14ac:dyDescent="0.3">
      <c r="AK997">
        <v>993</v>
      </c>
      <c r="AL997">
        <v>496.5</v>
      </c>
      <c r="AN997" s="48">
        <f t="shared" si="263"/>
        <v>117579.10258366098</v>
      </c>
      <c r="AO997" s="48">
        <f t="shared" si="264"/>
        <v>-339049.08479316946</v>
      </c>
      <c r="AP997" s="20"/>
      <c r="AQ997" s="50">
        <f t="shared" si="265"/>
        <v>543.68278922462071</v>
      </c>
      <c r="AR997" s="50">
        <f t="shared" si="266"/>
        <v>-377.97665798800421</v>
      </c>
      <c r="AS997" s="20"/>
      <c r="AT997" s="52">
        <f t="shared" si="267"/>
        <v>-3.1026162267006479</v>
      </c>
      <c r="AU997" s="52">
        <f t="shared" si="268"/>
        <v>9.145090514093706</v>
      </c>
      <c r="AV997" s="20"/>
      <c r="AW997" s="20"/>
      <c r="AX997" s="20">
        <f t="shared" si="254"/>
        <v>-1.0935920132556733</v>
      </c>
      <c r="AY997" s="20">
        <f t="shared" si="255"/>
        <v>3.8838573146944646</v>
      </c>
      <c r="AZ997" s="20"/>
      <c r="BA997" s="20">
        <f t="shared" si="256"/>
        <v>-0.46761071145583921</v>
      </c>
      <c r="BB997" s="20">
        <f t="shared" si="257"/>
        <v>1.1863654276556357</v>
      </c>
      <c r="BC997" s="20"/>
      <c r="BD997" s="20">
        <f t="shared" si="258"/>
        <v>-1.5414135019891351</v>
      </c>
      <c r="BE997" s="20">
        <f t="shared" si="259"/>
        <v>4.0748677717436061</v>
      </c>
      <c r="BF997" s="20"/>
      <c r="BG997" s="54">
        <f t="shared" si="260"/>
        <v>360024.92890356353</v>
      </c>
      <c r="BH997" s="54">
        <f t="shared" si="261"/>
        <v>375184.31878567993</v>
      </c>
      <c r="BI997" s="54">
        <f t="shared" si="262"/>
        <v>346458.43292595202</v>
      </c>
      <c r="BJ997" s="20"/>
    </row>
    <row r="998" spans="37:62" x14ac:dyDescent="0.3">
      <c r="AK998">
        <v>994</v>
      </c>
      <c r="AL998">
        <v>497</v>
      </c>
      <c r="AN998" s="48">
        <f t="shared" si="263"/>
        <v>117850.55615124495</v>
      </c>
      <c r="AO998" s="48">
        <f t="shared" si="264"/>
        <v>-339236.92998584924</v>
      </c>
      <c r="AP998" s="20"/>
      <c r="AQ998" s="50">
        <f t="shared" si="265"/>
        <v>542.13148111127043</v>
      </c>
      <c r="AR998" s="50">
        <f t="shared" si="266"/>
        <v>-373.40411273095737</v>
      </c>
      <c r="AS998" s="20"/>
      <c r="AT998" s="52">
        <f t="shared" si="267"/>
        <v>-3.1030216300300593</v>
      </c>
      <c r="AU998" s="52">
        <f t="shared" si="268"/>
        <v>9.1298033724740826</v>
      </c>
      <c r="AV998" s="20"/>
      <c r="AW998" s="20"/>
      <c r="AX998" s="20">
        <f t="shared" si="254"/>
        <v>-1.0943141778927068</v>
      </c>
      <c r="AY998" s="20">
        <f t="shared" si="255"/>
        <v>3.8777412557166961</v>
      </c>
      <c r="AZ998" s="20"/>
      <c r="BA998" s="20">
        <f t="shared" si="256"/>
        <v>-0.46750738170498379</v>
      </c>
      <c r="BB998" s="20">
        <f t="shared" si="257"/>
        <v>1.184404671920481</v>
      </c>
      <c r="BC998" s="20"/>
      <c r="BD998" s="20">
        <f t="shared" si="258"/>
        <v>-1.541200070432369</v>
      </c>
      <c r="BE998" s="20">
        <f t="shared" si="259"/>
        <v>4.0676574448369065</v>
      </c>
      <c r="BF998" s="20"/>
      <c r="BG998" s="54">
        <f t="shared" si="260"/>
        <v>360279.37764340558</v>
      </c>
      <c r="BH998" s="54">
        <f t="shared" si="261"/>
        <v>375458.66496479808</v>
      </c>
      <c r="BI998" s="54">
        <f t="shared" si="262"/>
        <v>346730.22065190494</v>
      </c>
      <c r="BJ998" s="20"/>
    </row>
    <row r="999" spans="37:62" x14ac:dyDescent="0.3">
      <c r="AK999">
        <v>995</v>
      </c>
      <c r="AL999">
        <v>497.5</v>
      </c>
      <c r="AN999" s="48">
        <f t="shared" si="263"/>
        <v>118121.23401409683</v>
      </c>
      <c r="AO999" s="48">
        <f t="shared" si="264"/>
        <v>-339422.49081679317</v>
      </c>
      <c r="AP999" s="20"/>
      <c r="AQ999" s="50">
        <f t="shared" si="265"/>
        <v>540.5799702962554</v>
      </c>
      <c r="AR999" s="50">
        <f t="shared" si="266"/>
        <v>-368.83921104472034</v>
      </c>
      <c r="AS999" s="20"/>
      <c r="AT999" s="52">
        <f t="shared" si="267"/>
        <v>-3.1034542451353015</v>
      </c>
      <c r="AU999" s="52">
        <f t="shared" si="268"/>
        <v>9.1146688640891291</v>
      </c>
      <c r="AV999" s="20"/>
      <c r="AW999" s="20"/>
      <c r="AX999" s="20">
        <f t="shared" si="254"/>
        <v>-1.0950421887811286</v>
      </c>
      <c r="AY999" s="20">
        <f t="shared" si="255"/>
        <v>3.871687586265411</v>
      </c>
      <c r="AZ999" s="20"/>
      <c r="BA999" s="20">
        <f t="shared" si="256"/>
        <v>-0.46740903984349436</v>
      </c>
      <c r="BB999" s="20">
        <f t="shared" si="257"/>
        <v>1.182462871101561</v>
      </c>
      <c r="BC999" s="20"/>
      <c r="BD999" s="20">
        <f t="shared" si="258"/>
        <v>-1.5410030165106785</v>
      </c>
      <c r="BE999" s="20">
        <f t="shared" si="259"/>
        <v>4.0605184067221565</v>
      </c>
      <c r="BF999" s="20"/>
      <c r="BG999" s="54">
        <f t="shared" si="260"/>
        <v>360531.53981167456</v>
      </c>
      <c r="BH999" s="54">
        <f t="shared" si="261"/>
        <v>375730.69128591137</v>
      </c>
      <c r="BI999" s="54">
        <f t="shared" si="262"/>
        <v>346999.69857757259</v>
      </c>
      <c r="BJ999" s="20"/>
    </row>
    <row r="1000" spans="37:62" x14ac:dyDescent="0.3">
      <c r="AK1000">
        <v>996</v>
      </c>
      <c r="AL1000">
        <v>498</v>
      </c>
      <c r="AN1000" s="48">
        <f t="shared" si="263"/>
        <v>118391.13606746432</v>
      </c>
      <c r="AO1000" s="48">
        <f t="shared" si="264"/>
        <v>-339605.77108870749</v>
      </c>
      <c r="AP1000" s="20"/>
      <c r="AQ1000" s="50">
        <f t="shared" si="265"/>
        <v>539.02824317368777</v>
      </c>
      <c r="AR1000" s="50">
        <f t="shared" si="266"/>
        <v>-364.28187661267577</v>
      </c>
      <c r="AS1000" s="20"/>
      <c r="AT1000" s="52">
        <f t="shared" si="267"/>
        <v>-3.1039140796438041</v>
      </c>
      <c r="AU1000" s="52">
        <f t="shared" si="268"/>
        <v>9.0996858557936804</v>
      </c>
      <c r="AV1000" s="20"/>
      <c r="AW1000" s="20"/>
      <c r="AX1000" s="20">
        <f t="shared" si="254"/>
        <v>-1.0957760992425252</v>
      </c>
      <c r="AY1000" s="20">
        <f t="shared" si="255"/>
        <v>3.8656958651982247</v>
      </c>
      <c r="AZ1000" s="20"/>
      <c r="BA1000" s="20">
        <f t="shared" si="256"/>
        <v>-0.46731567208480812</v>
      </c>
      <c r="BB1000" s="20">
        <f t="shared" si="257"/>
        <v>1.1805398851657856</v>
      </c>
      <c r="BC1000" s="20"/>
      <c r="BD1000" s="20">
        <f t="shared" si="258"/>
        <v>-1.5408223083164705</v>
      </c>
      <c r="BE1000" s="20">
        <f t="shared" si="259"/>
        <v>4.053450105429671</v>
      </c>
      <c r="BF1000" s="20"/>
      <c r="BG1000" s="54">
        <f t="shared" si="260"/>
        <v>360781.41856217111</v>
      </c>
      <c r="BH1000" s="54">
        <f t="shared" si="261"/>
        <v>376000.40122395236</v>
      </c>
      <c r="BI1000" s="54">
        <f t="shared" si="262"/>
        <v>347266.87012168881</v>
      </c>
      <c r="BJ1000" s="20"/>
    </row>
    <row r="1001" spans="37:62" x14ac:dyDescent="0.3">
      <c r="AK1001">
        <v>997</v>
      </c>
      <c r="AL1001">
        <v>498.5</v>
      </c>
      <c r="AN1001" s="48">
        <f t="shared" si="263"/>
        <v>118660.26219979122</v>
      </c>
      <c r="AO1001" s="48">
        <f t="shared" si="264"/>
        <v>-339786.77456628188</v>
      </c>
      <c r="AP1001" s="20"/>
      <c r="AQ1001" s="50">
        <f t="shared" si="265"/>
        <v>537.47628613386587</v>
      </c>
      <c r="AR1001" s="50">
        <f t="shared" si="266"/>
        <v>-359.73203368477891</v>
      </c>
      <c r="AS1001" s="20"/>
      <c r="AT1001" s="52">
        <f t="shared" ref="AT1001:AT1004" si="269">AX1001+BA1001+BD1001</f>
        <v>-3.1044011421713562</v>
      </c>
      <c r="AU1001" s="52">
        <f t="shared" ref="AU1001:AU1004" si="270">AY1001+BB1001+BE1001</f>
        <v>9.0848532302576661</v>
      </c>
      <c r="AV1001" s="20"/>
      <c r="AW1001" s="20"/>
      <c r="AX1001" s="20">
        <f t="shared" si="254"/>
        <v>-1.0965159622870351</v>
      </c>
      <c r="AY1001" s="20">
        <f t="shared" si="255"/>
        <v>3.8597656575446746</v>
      </c>
      <c r="AZ1001" s="20"/>
      <c r="BA1001" s="20">
        <f t="shared" si="256"/>
        <v>-0.46722726497543576</v>
      </c>
      <c r="BB1001" s="20">
        <f t="shared" si="257"/>
        <v>1.1786355759929414</v>
      </c>
      <c r="BC1001" s="20"/>
      <c r="BD1001" s="20">
        <f t="shared" si="258"/>
        <v>-1.5406579149088855</v>
      </c>
      <c r="BE1001" s="20">
        <f t="shared" si="259"/>
        <v>4.0464519967200498</v>
      </c>
      <c r="BF1001" s="20"/>
      <c r="BG1001" s="54">
        <f t="shared" si="260"/>
        <v>361029.0170138448</v>
      </c>
      <c r="BH1001" s="54">
        <f t="shared" si="261"/>
        <v>376267.79821663949</v>
      </c>
      <c r="BI1001" s="54">
        <f t="shared" si="262"/>
        <v>347531.73866639857</v>
      </c>
      <c r="BJ1001" s="20"/>
    </row>
    <row r="1002" spans="37:62" x14ac:dyDescent="0.3">
      <c r="AK1002">
        <v>998</v>
      </c>
      <c r="AL1002">
        <v>499</v>
      </c>
      <c r="AN1002" s="48">
        <f t="shared" si="263"/>
        <v>118928.61229271538</v>
      </c>
      <c r="AO1002" s="48">
        <f t="shared" si="264"/>
        <v>-339965.50497647049</v>
      </c>
      <c r="AP1002" s="20"/>
      <c r="AQ1002" s="50">
        <f t="shared" si="265"/>
        <v>535.92408556278019</v>
      </c>
      <c r="AR1002" s="50">
        <f t="shared" si="266"/>
        <v>-355.18960706965009</v>
      </c>
      <c r="AS1002" s="20"/>
      <c r="AT1002" s="52">
        <f t="shared" si="269"/>
        <v>-3.1049154423281431</v>
      </c>
      <c r="AU1002" s="52">
        <f t="shared" si="270"/>
        <v>9.0701698857459014</v>
      </c>
      <c r="AV1002" s="20"/>
      <c r="AW1002" s="20"/>
      <c r="AX1002" s="20">
        <f t="shared" si="254"/>
        <v>-1.097261830626973</v>
      </c>
      <c r="AY1002" s="20">
        <f t="shared" si="255"/>
        <v>3.853896534423356</v>
      </c>
      <c r="AZ1002" s="20"/>
      <c r="BA1002" s="20">
        <f t="shared" si="256"/>
        <v>-0.46714380539230682</v>
      </c>
      <c r="BB1002" s="20">
        <f t="shared" si="257"/>
        <v>1.1767498073492302</v>
      </c>
      <c r="BC1002" s="20"/>
      <c r="BD1002" s="20">
        <f t="shared" si="258"/>
        <v>-1.5405098063088631</v>
      </c>
      <c r="BE1002" s="20">
        <f t="shared" si="259"/>
        <v>4.0395235439733144</v>
      </c>
      <c r="BF1002" s="20"/>
      <c r="BG1002" s="54">
        <f t="shared" si="260"/>
        <v>361274.33825102501</v>
      </c>
      <c r="BH1002" s="54">
        <f t="shared" si="261"/>
        <v>376532.8856647393</v>
      </c>
      <c r="BI1002" s="54">
        <f t="shared" si="262"/>
        <v>347794.307557514</v>
      </c>
      <c r="BJ1002" s="20"/>
    </row>
    <row r="1003" spans="37:62" x14ac:dyDescent="0.3">
      <c r="AK1003">
        <v>999</v>
      </c>
      <c r="AL1003">
        <v>499.5</v>
      </c>
      <c r="AN1003" s="48">
        <f t="shared" si="263"/>
        <v>119196.18622106648</v>
      </c>
      <c r="AO1003" s="48">
        <f t="shared" si="264"/>
        <v>-340141.96600876958</v>
      </c>
      <c r="AP1003" s="20"/>
      <c r="AQ1003" s="50">
        <f t="shared" si="265"/>
        <v>534.37162784161615</v>
      </c>
      <c r="AR1003" s="50">
        <f t="shared" si="266"/>
        <v>-350.65452212677712</v>
      </c>
      <c r="AS1003" s="20"/>
      <c r="AT1003" s="52">
        <f t="shared" si="269"/>
        <v>-3.1054569907248109</v>
      </c>
      <c r="AU1003" s="52">
        <f t="shared" si="270"/>
        <v>9.0556347359022453</v>
      </c>
      <c r="AV1003" s="20"/>
      <c r="AW1003" s="20"/>
      <c r="AX1003" s="20">
        <f t="shared" si="254"/>
        <v>-1.0980137566902366</v>
      </c>
      <c r="AY1003" s="20">
        <f t="shared" si="255"/>
        <v>3.8480880729606408</v>
      </c>
      <c r="AZ1003" s="20"/>
      <c r="BA1003" s="20">
        <f t="shared" si="256"/>
        <v>-0.4670652805401872</v>
      </c>
      <c r="BB1003" s="20">
        <f t="shared" si="257"/>
        <v>1.1748824448613235</v>
      </c>
      <c r="BC1003" s="20"/>
      <c r="BD1003" s="20">
        <f t="shared" si="258"/>
        <v>-1.5403779534943871</v>
      </c>
      <c r="BE1003" s="20">
        <f t="shared" si="259"/>
        <v>4.0326642180802814</v>
      </c>
      <c r="BF1003" s="20"/>
      <c r="BG1003" s="54">
        <f t="shared" si="260"/>
        <v>361517.38532364805</v>
      </c>
      <c r="BH1003" s="54">
        <f t="shared" si="261"/>
        <v>376795.66693232575</v>
      </c>
      <c r="BI1003" s="54">
        <f t="shared" si="262"/>
        <v>348054.580104767</v>
      </c>
      <c r="BJ1003" s="20"/>
    </row>
    <row r="1004" spans="37:62" x14ac:dyDescent="0.3">
      <c r="AK1004">
        <v>1000</v>
      </c>
      <c r="AL1004">
        <v>500</v>
      </c>
      <c r="AN1004" s="48">
        <f t="shared" si="263"/>
        <v>119462.98385286344</v>
      </c>
      <c r="AO1004" s="48">
        <f t="shared" si="264"/>
        <v>-340316.16131549096</v>
      </c>
      <c r="AP1004" s="20"/>
      <c r="AQ1004" s="50">
        <f t="shared" si="265"/>
        <v>532.81889934625372</v>
      </c>
      <c r="AR1004" s="50">
        <f t="shared" si="266"/>
        <v>-346.12670475882601</v>
      </c>
      <c r="AS1004" s="20"/>
      <c r="AT1004" s="52">
        <f t="shared" si="269"/>
        <v>-3.1060257989785676</v>
      </c>
      <c r="AU1004" s="52">
        <f t="shared" si="270"/>
        <v>9.0412467095380435</v>
      </c>
      <c r="AV1004" s="20"/>
      <c r="AW1004" s="20"/>
      <c r="AX1004" s="20">
        <f t="shared" si="254"/>
        <v>-1.0987717926335552</v>
      </c>
      <c r="AY1004" s="20">
        <f t="shared" si="255"/>
        <v>3.8423398562111557</v>
      </c>
      <c r="AZ1004" s="20"/>
      <c r="BA1004" s="20">
        <f t="shared" si="256"/>
        <v>-0.4669916779491366</v>
      </c>
      <c r="BB1004" s="20">
        <f t="shared" si="257"/>
        <v>1.1730333559908461</v>
      </c>
      <c r="BC1004" s="20"/>
      <c r="BD1004" s="20">
        <f t="shared" si="258"/>
        <v>-1.5402623283958761</v>
      </c>
      <c r="BE1004" s="20">
        <f t="shared" si="259"/>
        <v>4.0258734973360406</v>
      </c>
      <c r="BF1004" s="20"/>
      <c r="BG1004" s="54">
        <f t="shared" si="260"/>
        <v>361758.16124748118</v>
      </c>
      <c r="BH1004" s="54">
        <f t="shared" si="261"/>
        <v>377056.14534703601</v>
      </c>
      <c r="BI1004" s="54">
        <f t="shared" si="262"/>
        <v>348312.55958205799</v>
      </c>
      <c r="BJ1004" s="20"/>
    </row>
    <row r="1005" spans="37:62" x14ac:dyDescent="0.3">
      <c r="AN1005" s="20"/>
      <c r="AO1005" s="20"/>
      <c r="AP1005" s="20"/>
      <c r="AQ1005" s="20"/>
      <c r="AR1005" s="20"/>
      <c r="AS1005" s="20"/>
      <c r="AT1005" s="20"/>
      <c r="AU1005" s="20"/>
      <c r="AV1005" s="20"/>
      <c r="AW1005" s="20"/>
      <c r="AX1005" s="20"/>
      <c r="AY1005" s="20"/>
      <c r="AZ1005" s="20"/>
      <c r="BA1005" s="20"/>
      <c r="BB1005" s="20"/>
      <c r="BC1005" s="20"/>
      <c r="BD1005" s="20"/>
      <c r="BE1005" s="20"/>
      <c r="BF1005" s="20"/>
    </row>
  </sheetData>
  <mergeCells count="67">
    <mergeCell ref="AX2:AY2"/>
    <mergeCell ref="BK3:BL3"/>
    <mergeCell ref="BA2:BB2"/>
    <mergeCell ref="BD2:BE2"/>
    <mergeCell ref="H36:I36"/>
    <mergeCell ref="B22:F22"/>
    <mergeCell ref="B24:F24"/>
    <mergeCell ref="B25:F25"/>
    <mergeCell ref="B26:F26"/>
    <mergeCell ref="B28:F28"/>
    <mergeCell ref="B27:F27"/>
    <mergeCell ref="B29:F29"/>
    <mergeCell ref="B30:F30"/>
    <mergeCell ref="B20:F20"/>
    <mergeCell ref="B21:F21"/>
    <mergeCell ref="B37:F37"/>
    <mergeCell ref="B38:F38"/>
    <mergeCell ref="B32:F32"/>
    <mergeCell ref="B33:F33"/>
    <mergeCell ref="B34:F34"/>
    <mergeCell ref="B36:F36"/>
    <mergeCell ref="B35:F35"/>
    <mergeCell ref="B10:F10"/>
    <mergeCell ref="B11:F11"/>
    <mergeCell ref="B12:F12"/>
    <mergeCell ref="B15:F15"/>
    <mergeCell ref="B16:F16"/>
    <mergeCell ref="B3:F3"/>
    <mergeCell ref="B4:F4"/>
    <mergeCell ref="B5:F5"/>
    <mergeCell ref="B8:F8"/>
    <mergeCell ref="B9:F9"/>
    <mergeCell ref="H4:I4"/>
    <mergeCell ref="H5:I5"/>
    <mergeCell ref="H6:I6"/>
    <mergeCell ref="H9:I9"/>
    <mergeCell ref="H27:I27"/>
    <mergeCell ref="H18:I18"/>
    <mergeCell ref="H19:I19"/>
    <mergeCell ref="H20:I20"/>
    <mergeCell ref="H21:I21"/>
    <mergeCell ref="H22:I22"/>
    <mergeCell ref="H26:I26"/>
    <mergeCell ref="B47:F47"/>
    <mergeCell ref="H47:I47"/>
    <mergeCell ref="B41:F41"/>
    <mergeCell ref="B42:F42"/>
    <mergeCell ref="B43:F43"/>
    <mergeCell ref="H43:I43"/>
    <mergeCell ref="B44:F44"/>
    <mergeCell ref="H44:I44"/>
    <mergeCell ref="B13:F13"/>
    <mergeCell ref="H13:I13"/>
    <mergeCell ref="B45:F45"/>
    <mergeCell ref="H45:I45"/>
    <mergeCell ref="B46:F46"/>
    <mergeCell ref="H46:I46"/>
    <mergeCell ref="H38:I38"/>
    <mergeCell ref="H28:I28"/>
    <mergeCell ref="H29:I29"/>
    <mergeCell ref="H30:I30"/>
    <mergeCell ref="H34:I34"/>
    <mergeCell ref="H35:I35"/>
    <mergeCell ref="H37:I37"/>
    <mergeCell ref="B17:F17"/>
    <mergeCell ref="B18:F18"/>
    <mergeCell ref="B19:F19"/>
  </mergeCells>
  <conditionalFormatting sqref="BK12:BL16">
    <cfRule type="cellIs" dxfId="0" priority="1" operator="equal">
      <formula>$B$9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A90B9-1A3D-43C5-BE98-A87A5312BA4E}">
  <sheetPr codeName="Feuil2"/>
  <dimension ref="A1:AQ552"/>
  <sheetViews>
    <sheetView showGridLines="0" topLeftCell="I1" zoomScaleNormal="100" workbookViewId="0">
      <selection activeCell="V19" sqref="V19"/>
    </sheetView>
  </sheetViews>
  <sheetFormatPr baseColWidth="10" defaultRowHeight="14.4" x14ac:dyDescent="0.3"/>
  <cols>
    <col min="1" max="1" width="0.109375" hidden="1" customWidth="1"/>
    <col min="2" max="2" width="10.77734375" hidden="1" customWidth="1"/>
    <col min="3" max="3" width="13.109375" hidden="1" customWidth="1"/>
    <col min="4" max="4" width="10.88671875" hidden="1" customWidth="1"/>
    <col min="5" max="5" width="0.21875" hidden="1" customWidth="1"/>
    <col min="6" max="6" width="7.33203125" hidden="1" customWidth="1"/>
    <col min="7" max="7" width="8.44140625" hidden="1" customWidth="1"/>
    <col min="8" max="8" width="17.88671875" hidden="1" customWidth="1"/>
    <col min="9" max="9" width="11.21875" customWidth="1"/>
  </cols>
  <sheetData>
    <row r="1" spans="1:43" x14ac:dyDescent="0.3">
      <c r="A1" s="40"/>
      <c r="B1" s="40" t="s">
        <v>56</v>
      </c>
      <c r="C1" s="40" t="s">
        <v>57</v>
      </c>
      <c r="D1" s="40" t="s">
        <v>61</v>
      </c>
      <c r="F1" s="39" t="s">
        <v>73</v>
      </c>
      <c r="G1" s="39">
        <f>dimmantion_vaiseau</f>
        <v>2500</v>
      </c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</row>
    <row r="2" spans="1:43" x14ac:dyDescent="0.3">
      <c r="A2" s="40" t="s">
        <v>62</v>
      </c>
      <c r="B2" s="40">
        <f>pi_x</f>
        <v>0</v>
      </c>
      <c r="C2" s="40">
        <f>pi_y</f>
        <v>0</v>
      </c>
      <c r="D2" s="40">
        <v>0</v>
      </c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</row>
    <row r="3" spans="1:43" x14ac:dyDescent="0.3">
      <c r="A3" s="40" t="s">
        <v>63</v>
      </c>
      <c r="B3" s="40">
        <f>'conditions init+ trajectoires'!AN1004</f>
        <v>119462.98385286344</v>
      </c>
      <c r="C3" s="40">
        <f>'conditions init+ trajectoires'!AO1004</f>
        <v>-340316.16131549096</v>
      </c>
      <c r="D3" s="40">
        <v>1000</v>
      </c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</row>
    <row r="4" spans="1:43" x14ac:dyDescent="0.3">
      <c r="A4" s="40" t="s">
        <v>64</v>
      </c>
      <c r="B4" s="40">
        <f>INDEX(pxj,MATCH(D4,incantation))</f>
        <v>-10192.927132982944</v>
      </c>
      <c r="C4" s="40">
        <f>INDEX(pyj,MATCH(D4,incantation))</f>
        <v>-14173.332774985527</v>
      </c>
      <c r="D4" s="40">
        <v>24</v>
      </c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</row>
    <row r="5" spans="1:43" x14ac:dyDescent="0.3"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</row>
    <row r="6" spans="1:43" x14ac:dyDescent="0.3"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</row>
    <row r="7" spans="1:43" x14ac:dyDescent="0.3"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</row>
    <row r="8" spans="1:43" x14ac:dyDescent="0.3"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</row>
    <row r="9" spans="1:43" x14ac:dyDescent="0.3">
      <c r="B9" s="41" t="s">
        <v>53</v>
      </c>
      <c r="C9" s="41" t="s">
        <v>54</v>
      </c>
      <c r="D9" s="41" t="s">
        <v>67</v>
      </c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</row>
    <row r="10" spans="1:43" x14ac:dyDescent="0.3">
      <c r="B10" s="42">
        <f>INDEX(vxj,MATCH(D4,incantation))</f>
        <v>2646.2434651815656</v>
      </c>
      <c r="C10" s="43">
        <f>INDEX(vyj,MATCH(D4,incantation))</f>
        <v>4943.2677650113719</v>
      </c>
      <c r="D10" s="41">
        <f>ATAN2(B10,C10)-PI()/2</f>
        <v>-0.49150486447049224</v>
      </c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</row>
    <row r="11" spans="1:43" x14ac:dyDescent="0.3"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</row>
    <row r="12" spans="1:43" x14ac:dyDescent="0.3">
      <c r="A12" s="44" t="s">
        <v>72</v>
      </c>
      <c r="B12" s="44"/>
      <c r="C12" s="44"/>
      <c r="D12" s="44" t="s">
        <v>74</v>
      </c>
      <c r="E12" s="44"/>
      <c r="F12" s="45" t="s">
        <v>75</v>
      </c>
      <c r="G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</row>
    <row r="13" spans="1:43" x14ac:dyDescent="0.3">
      <c r="A13" s="44" t="s">
        <v>56</v>
      </c>
      <c r="B13" s="44" t="s">
        <v>57</v>
      </c>
      <c r="C13" s="44"/>
      <c r="D13" s="44" t="s">
        <v>56</v>
      </c>
      <c r="E13" s="44" t="s">
        <v>57</v>
      </c>
      <c r="F13" s="45" t="s">
        <v>56</v>
      </c>
      <c r="G13" s="45" t="s">
        <v>57</v>
      </c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</row>
    <row r="14" spans="1:43" x14ac:dyDescent="0.3">
      <c r="A14" s="44">
        <v>0</v>
      </c>
      <c r="B14" s="44">
        <v>2</v>
      </c>
      <c r="C14" s="44"/>
      <c r="D14" s="44">
        <f>COS($D$10)*A14-SIN($D$10)*B14</f>
        <v>0.94390629229292267</v>
      </c>
      <c r="E14" s="44">
        <f>COS($D$10)*B14-SIN($D$10)*A14</f>
        <v>1.7632472632531795</v>
      </c>
      <c r="F14" s="45">
        <f t="shared" ref="F14:G18" si="0">D14*$G$1+$B$4</f>
        <v>-7833.1614022506383</v>
      </c>
      <c r="G14" s="45">
        <f t="shared" si="0"/>
        <v>-5784.808974849996</v>
      </c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</row>
    <row r="15" spans="1:43" x14ac:dyDescent="0.3">
      <c r="A15" s="44">
        <v>1</v>
      </c>
      <c r="B15" s="44">
        <v>-1</v>
      </c>
      <c r="C15" s="44"/>
      <c r="D15" s="44">
        <f>COS($D$10)*A15-SIN($D$10)*B15</f>
        <v>0.40967048548012841</v>
      </c>
      <c r="E15" s="44">
        <f>COS($D$10)*B15-SIN($D$10)*A15</f>
        <v>-0.40967048548012841</v>
      </c>
      <c r="F15" s="45">
        <f t="shared" si="0"/>
        <v>-9168.7509192826237</v>
      </c>
      <c r="G15" s="45">
        <f t="shared" si="0"/>
        <v>-11217.103346683265</v>
      </c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</row>
    <row r="16" spans="1:43" x14ac:dyDescent="0.3">
      <c r="A16" s="44">
        <v>0</v>
      </c>
      <c r="B16" s="44">
        <v>0</v>
      </c>
      <c r="C16" s="44"/>
      <c r="D16" s="44">
        <f>COS($D$10)*A16-SIN($D$10)*B16</f>
        <v>0</v>
      </c>
      <c r="E16" s="44">
        <f>COS($D$10)*B16-SIN($D$10)*A16</f>
        <v>0</v>
      </c>
      <c r="F16" s="45">
        <f t="shared" si="0"/>
        <v>-10192.927132982944</v>
      </c>
      <c r="G16" s="45">
        <f t="shared" si="0"/>
        <v>-10192.927132982944</v>
      </c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</row>
    <row r="17" spans="1:43" x14ac:dyDescent="0.3">
      <c r="A17" s="44">
        <v>-1</v>
      </c>
      <c r="B17" s="44">
        <v>-1</v>
      </c>
      <c r="C17" s="44"/>
      <c r="D17" s="44">
        <f>COS($D$10)*A17-SIN($D$10)*B17</f>
        <v>-1.3535767777730512</v>
      </c>
      <c r="E17" s="44">
        <f>COS($D$10)*B17-SIN($D$10)*A17</f>
        <v>-1.3535767777730512</v>
      </c>
      <c r="F17" s="45">
        <f t="shared" si="0"/>
        <v>-13576.869077415573</v>
      </c>
      <c r="G17" s="45">
        <f t="shared" si="0"/>
        <v>-13576.869077415573</v>
      </c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</row>
    <row r="18" spans="1:43" x14ac:dyDescent="0.3">
      <c r="A18" s="44">
        <v>0</v>
      </c>
      <c r="B18" s="44">
        <v>2</v>
      </c>
      <c r="C18" s="44"/>
      <c r="D18" s="44">
        <f>COS($D$10)*A18-SIN($D$10)*B18</f>
        <v>0.94390629229292267</v>
      </c>
      <c r="E18" s="44">
        <f>COS($D$10)*B18-SIN($D$10)*A18</f>
        <v>1.7632472632531795</v>
      </c>
      <c r="F18" s="45">
        <f t="shared" si="0"/>
        <v>-7833.1614022506383</v>
      </c>
      <c r="G18" s="45">
        <f t="shared" si="0"/>
        <v>-5784.808974849996</v>
      </c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</row>
    <row r="19" spans="1:43" x14ac:dyDescent="0.3"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</row>
    <row r="20" spans="1:43" x14ac:dyDescent="0.3"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</row>
    <row r="21" spans="1:43" x14ac:dyDescent="0.3"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</row>
    <row r="22" spans="1:43" x14ac:dyDescent="0.3"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</row>
    <row r="23" spans="1:43" x14ac:dyDescent="0.3"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</row>
    <row r="24" spans="1:43" x14ac:dyDescent="0.3"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</row>
    <row r="25" spans="1:43" x14ac:dyDescent="0.3"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</row>
    <row r="26" spans="1:43" x14ac:dyDescent="0.3"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</row>
    <row r="27" spans="1:43" x14ac:dyDescent="0.3"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</row>
    <row r="28" spans="1:43" x14ac:dyDescent="0.3"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</row>
    <row r="29" spans="1:43" x14ac:dyDescent="0.3"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</row>
    <row r="30" spans="1:43" x14ac:dyDescent="0.3"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</row>
    <row r="31" spans="1:43" x14ac:dyDescent="0.3"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</row>
    <row r="32" spans="1:43" x14ac:dyDescent="0.3"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</row>
    <row r="33" spans="9:43" x14ac:dyDescent="0.3"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</row>
    <row r="34" spans="9:43" x14ac:dyDescent="0.3"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</row>
    <row r="35" spans="9:43" x14ac:dyDescent="0.3"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</row>
    <row r="36" spans="9:43" x14ac:dyDescent="0.3"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</row>
    <row r="37" spans="9:43" x14ac:dyDescent="0.3"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</row>
    <row r="38" spans="9:43" x14ac:dyDescent="0.3"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</row>
    <row r="39" spans="9:43" x14ac:dyDescent="0.3"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</row>
    <row r="40" spans="9:43" x14ac:dyDescent="0.3"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</row>
    <row r="41" spans="9:43" x14ac:dyDescent="0.3"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</row>
    <row r="42" spans="9:43" x14ac:dyDescent="0.3"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</row>
    <row r="43" spans="9:43" x14ac:dyDescent="0.3"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</row>
    <row r="44" spans="9:43" x14ac:dyDescent="0.3"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</row>
    <row r="45" spans="9:43" x14ac:dyDescent="0.3"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</row>
    <row r="46" spans="9:43" x14ac:dyDescent="0.3"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</row>
    <row r="47" spans="9:43" x14ac:dyDescent="0.3"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</row>
    <row r="48" spans="9:43" x14ac:dyDescent="0.3"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</row>
    <row r="49" spans="9:43" x14ac:dyDescent="0.3"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</row>
    <row r="50" spans="9:43" x14ac:dyDescent="0.3"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</row>
    <row r="51" spans="9:43" x14ac:dyDescent="0.3"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</row>
    <row r="52" spans="9:43" x14ac:dyDescent="0.3"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</row>
    <row r="53" spans="9:43" x14ac:dyDescent="0.3"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</row>
    <row r="54" spans="9:43" x14ac:dyDescent="0.3"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</row>
    <row r="55" spans="9:43" x14ac:dyDescent="0.3"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</row>
    <row r="56" spans="9:43" x14ac:dyDescent="0.3"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</row>
    <row r="57" spans="9:43" x14ac:dyDescent="0.3"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</row>
    <row r="58" spans="9:43" x14ac:dyDescent="0.3"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</row>
    <row r="59" spans="9:43" x14ac:dyDescent="0.3"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</row>
    <row r="60" spans="9:43" x14ac:dyDescent="0.3"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</row>
    <row r="61" spans="9:43" x14ac:dyDescent="0.3"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</row>
    <row r="62" spans="9:43" x14ac:dyDescent="0.3"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</row>
    <row r="63" spans="9:43" x14ac:dyDescent="0.3"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</row>
    <row r="64" spans="9:43" x14ac:dyDescent="0.3"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</row>
    <row r="65" spans="9:43" x14ac:dyDescent="0.3"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</row>
    <row r="66" spans="9:43" x14ac:dyDescent="0.3"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</row>
    <row r="67" spans="9:43" x14ac:dyDescent="0.3"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</row>
    <row r="68" spans="9:43" x14ac:dyDescent="0.3"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</row>
    <row r="69" spans="9:43" x14ac:dyDescent="0.3"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</row>
    <row r="70" spans="9:43" x14ac:dyDescent="0.3"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</row>
    <row r="71" spans="9:43" x14ac:dyDescent="0.3"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</row>
    <row r="72" spans="9:43" x14ac:dyDescent="0.3"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</row>
    <row r="73" spans="9:43" x14ac:dyDescent="0.3"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</row>
    <row r="74" spans="9:43" x14ac:dyDescent="0.3"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</row>
    <row r="75" spans="9:43" x14ac:dyDescent="0.3"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</row>
    <row r="76" spans="9:43" x14ac:dyDescent="0.3"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</row>
    <row r="77" spans="9:43" x14ac:dyDescent="0.3"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</row>
    <row r="78" spans="9:43" x14ac:dyDescent="0.3"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</row>
    <row r="79" spans="9:43" x14ac:dyDescent="0.3"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</row>
    <row r="80" spans="9:43" x14ac:dyDescent="0.3"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</row>
    <row r="81" spans="9:43" x14ac:dyDescent="0.3"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</row>
    <row r="82" spans="9:43" x14ac:dyDescent="0.3"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</row>
    <row r="83" spans="9:43" x14ac:dyDescent="0.3"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</row>
    <row r="84" spans="9:43" x14ac:dyDescent="0.3"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</row>
    <row r="85" spans="9:43" x14ac:dyDescent="0.3"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</row>
    <row r="86" spans="9:43" x14ac:dyDescent="0.3"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</row>
    <row r="87" spans="9:43" x14ac:dyDescent="0.3"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</row>
    <row r="88" spans="9:43" x14ac:dyDescent="0.3"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</row>
    <row r="89" spans="9:43" x14ac:dyDescent="0.3"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</row>
    <row r="90" spans="9:43" x14ac:dyDescent="0.3"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</row>
    <row r="91" spans="9:43" x14ac:dyDescent="0.3"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</row>
    <row r="92" spans="9:43" x14ac:dyDescent="0.3"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</row>
    <row r="93" spans="9:43" x14ac:dyDescent="0.3"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</row>
    <row r="94" spans="9:43" x14ac:dyDescent="0.3"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</row>
    <row r="95" spans="9:43" x14ac:dyDescent="0.3"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</row>
    <row r="96" spans="9:43" x14ac:dyDescent="0.3"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</row>
    <row r="97" spans="9:43" x14ac:dyDescent="0.3"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</row>
    <row r="98" spans="9:43" x14ac:dyDescent="0.3"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</row>
    <row r="99" spans="9:43" x14ac:dyDescent="0.3"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</row>
    <row r="100" spans="9:43" x14ac:dyDescent="0.3"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</row>
    <row r="101" spans="9:43" x14ac:dyDescent="0.3"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</row>
    <row r="102" spans="9:43" x14ac:dyDescent="0.3"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</row>
    <row r="103" spans="9:43" x14ac:dyDescent="0.3"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</row>
    <row r="104" spans="9:43" x14ac:dyDescent="0.3"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</row>
    <row r="105" spans="9:43" x14ac:dyDescent="0.3"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</row>
    <row r="106" spans="9:43" x14ac:dyDescent="0.3"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</row>
    <row r="107" spans="9:43" x14ac:dyDescent="0.3"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</row>
    <row r="108" spans="9:43" x14ac:dyDescent="0.3"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</row>
    <row r="109" spans="9:43" x14ac:dyDescent="0.3"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</row>
    <row r="110" spans="9:43" x14ac:dyDescent="0.3"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</row>
    <row r="111" spans="9:43" x14ac:dyDescent="0.3"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</row>
    <row r="112" spans="9:43" x14ac:dyDescent="0.3"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</row>
    <row r="113" spans="9:43" x14ac:dyDescent="0.3"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</row>
    <row r="114" spans="9:43" x14ac:dyDescent="0.3"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</row>
    <row r="115" spans="9:43" x14ac:dyDescent="0.3"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</row>
    <row r="116" spans="9:43" x14ac:dyDescent="0.3"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</row>
    <row r="117" spans="9:43" x14ac:dyDescent="0.3"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</row>
    <row r="118" spans="9:43" x14ac:dyDescent="0.3"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</row>
    <row r="119" spans="9:43" x14ac:dyDescent="0.3"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</row>
    <row r="120" spans="9:43" x14ac:dyDescent="0.3"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</row>
    <row r="121" spans="9:43" x14ac:dyDescent="0.3"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</row>
    <row r="122" spans="9:43" x14ac:dyDescent="0.3"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</row>
    <row r="123" spans="9:43" x14ac:dyDescent="0.3"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</row>
    <row r="124" spans="9:43" x14ac:dyDescent="0.3"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</row>
    <row r="125" spans="9:43" x14ac:dyDescent="0.3"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</row>
    <row r="126" spans="9:43" x14ac:dyDescent="0.3"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</row>
    <row r="127" spans="9:43" x14ac:dyDescent="0.3"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</row>
    <row r="128" spans="9:43" x14ac:dyDescent="0.3"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</row>
    <row r="129" spans="9:43" x14ac:dyDescent="0.3"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</row>
    <row r="130" spans="9:43" x14ac:dyDescent="0.3"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</row>
    <row r="131" spans="9:43" x14ac:dyDescent="0.3"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</row>
    <row r="132" spans="9:43" x14ac:dyDescent="0.3"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</row>
    <row r="133" spans="9:43" x14ac:dyDescent="0.3"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</row>
    <row r="134" spans="9:43" x14ac:dyDescent="0.3"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</row>
    <row r="135" spans="9:43" x14ac:dyDescent="0.3"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</row>
    <row r="136" spans="9:43" x14ac:dyDescent="0.3"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</row>
    <row r="137" spans="9:43" x14ac:dyDescent="0.3"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</row>
    <row r="138" spans="9:43" x14ac:dyDescent="0.3"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</row>
    <row r="139" spans="9:43" x14ac:dyDescent="0.3"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</row>
    <row r="140" spans="9:43" x14ac:dyDescent="0.3"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</row>
    <row r="141" spans="9:43" x14ac:dyDescent="0.3"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</row>
    <row r="142" spans="9:43" x14ac:dyDescent="0.3"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</row>
    <row r="143" spans="9:43" x14ac:dyDescent="0.3"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</row>
    <row r="144" spans="9:43" x14ac:dyDescent="0.3"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</row>
    <row r="145" spans="9:43" x14ac:dyDescent="0.3"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</row>
    <row r="146" spans="9:43" x14ac:dyDescent="0.3"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</row>
    <row r="147" spans="9:43" x14ac:dyDescent="0.3"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</row>
    <row r="148" spans="9:43" x14ac:dyDescent="0.3"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</row>
    <row r="149" spans="9:43" x14ac:dyDescent="0.3"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</row>
    <row r="150" spans="9:43" x14ac:dyDescent="0.3"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</row>
    <row r="151" spans="9:43" x14ac:dyDescent="0.3"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</row>
    <row r="152" spans="9:43" x14ac:dyDescent="0.3"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</row>
    <row r="153" spans="9:43" x14ac:dyDescent="0.3"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</row>
    <row r="154" spans="9:43" x14ac:dyDescent="0.3"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</row>
    <row r="155" spans="9:43" x14ac:dyDescent="0.3"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</row>
    <row r="156" spans="9:43" x14ac:dyDescent="0.3"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</row>
    <row r="157" spans="9:43" x14ac:dyDescent="0.3"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</row>
    <row r="158" spans="9:43" x14ac:dyDescent="0.3"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</row>
    <row r="159" spans="9:43" x14ac:dyDescent="0.3"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</row>
    <row r="160" spans="9:43" x14ac:dyDescent="0.3"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</row>
    <row r="161" spans="9:43" x14ac:dyDescent="0.3"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</row>
    <row r="162" spans="9:43" x14ac:dyDescent="0.3"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</row>
    <row r="163" spans="9:43" x14ac:dyDescent="0.3"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</row>
    <row r="164" spans="9:43" x14ac:dyDescent="0.3"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</row>
    <row r="165" spans="9:43" x14ac:dyDescent="0.3"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</row>
    <row r="166" spans="9:43" x14ac:dyDescent="0.3"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</row>
    <row r="167" spans="9:43" x14ac:dyDescent="0.3"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</row>
    <row r="168" spans="9:43" x14ac:dyDescent="0.3"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</row>
    <row r="169" spans="9:43" x14ac:dyDescent="0.3"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</row>
    <row r="170" spans="9:43" x14ac:dyDescent="0.3"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</row>
    <row r="171" spans="9:43" x14ac:dyDescent="0.3"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</row>
    <row r="172" spans="9:43" x14ac:dyDescent="0.3"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</row>
    <row r="173" spans="9:43" x14ac:dyDescent="0.3"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</row>
    <row r="174" spans="9:43" x14ac:dyDescent="0.3"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</row>
    <row r="175" spans="9:43" x14ac:dyDescent="0.3"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</row>
    <row r="176" spans="9:43" x14ac:dyDescent="0.3"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</row>
    <row r="177" spans="9:43" x14ac:dyDescent="0.3"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</row>
    <row r="178" spans="9:43" x14ac:dyDescent="0.3"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</row>
    <row r="179" spans="9:43" x14ac:dyDescent="0.3"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</row>
    <row r="180" spans="9:43" x14ac:dyDescent="0.3"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</row>
    <row r="181" spans="9:43" x14ac:dyDescent="0.3"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</row>
    <row r="182" spans="9:43" x14ac:dyDescent="0.3"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</row>
    <row r="183" spans="9:43" x14ac:dyDescent="0.3"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</row>
    <row r="184" spans="9:43" x14ac:dyDescent="0.3"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</row>
    <row r="185" spans="9:43" x14ac:dyDescent="0.3"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</row>
    <row r="186" spans="9:43" x14ac:dyDescent="0.3"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</row>
    <row r="187" spans="9:43" x14ac:dyDescent="0.3"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</row>
    <row r="188" spans="9:43" x14ac:dyDescent="0.3"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</row>
    <row r="189" spans="9:43" x14ac:dyDescent="0.3"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</row>
    <row r="190" spans="9:43" x14ac:dyDescent="0.3"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</row>
    <row r="191" spans="9:43" x14ac:dyDescent="0.3"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</row>
    <row r="192" spans="9:43" x14ac:dyDescent="0.3"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</row>
    <row r="193" spans="9:43" x14ac:dyDescent="0.3"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</row>
    <row r="194" spans="9:43" x14ac:dyDescent="0.3"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</row>
    <row r="195" spans="9:43" x14ac:dyDescent="0.3"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</row>
    <row r="196" spans="9:43" x14ac:dyDescent="0.3"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</row>
    <row r="197" spans="9:43" x14ac:dyDescent="0.3"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</row>
    <row r="198" spans="9:43" x14ac:dyDescent="0.3"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</row>
    <row r="199" spans="9:43" x14ac:dyDescent="0.3"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</row>
    <row r="200" spans="9:43" x14ac:dyDescent="0.3"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</row>
    <row r="201" spans="9:43" x14ac:dyDescent="0.3"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</row>
    <row r="202" spans="9:43" x14ac:dyDescent="0.3"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</row>
    <row r="203" spans="9:43" x14ac:dyDescent="0.3"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</row>
    <row r="204" spans="9:43" x14ac:dyDescent="0.3"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</row>
    <row r="205" spans="9:43" x14ac:dyDescent="0.3"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</row>
    <row r="206" spans="9:43" x14ac:dyDescent="0.3"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</row>
    <row r="207" spans="9:43" x14ac:dyDescent="0.3"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</row>
    <row r="208" spans="9:43" x14ac:dyDescent="0.3"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</row>
    <row r="209" spans="9:43" x14ac:dyDescent="0.3"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</row>
    <row r="210" spans="9:43" x14ac:dyDescent="0.3"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</row>
    <row r="211" spans="9:43" x14ac:dyDescent="0.3"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</row>
    <row r="212" spans="9:43" x14ac:dyDescent="0.3"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</row>
    <row r="213" spans="9:43" x14ac:dyDescent="0.3"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</row>
    <row r="214" spans="9:43" x14ac:dyDescent="0.3"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</row>
    <row r="215" spans="9:43" x14ac:dyDescent="0.3"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</row>
    <row r="216" spans="9:43" x14ac:dyDescent="0.3"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</row>
    <row r="217" spans="9:43" x14ac:dyDescent="0.3"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</row>
    <row r="218" spans="9:43" x14ac:dyDescent="0.3"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</row>
    <row r="219" spans="9:43" x14ac:dyDescent="0.3"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</row>
    <row r="220" spans="9:43" x14ac:dyDescent="0.3"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</row>
    <row r="221" spans="9:43" x14ac:dyDescent="0.3"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6"/>
      <c r="AP221" s="46"/>
      <c r="AQ221" s="46"/>
    </row>
    <row r="222" spans="9:43" x14ac:dyDescent="0.3"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/>
      <c r="AN222" s="46"/>
      <c r="AO222" s="46"/>
      <c r="AP222" s="46"/>
      <c r="AQ222" s="46"/>
    </row>
    <row r="223" spans="9:43" x14ac:dyDescent="0.3"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6"/>
      <c r="AP223" s="46"/>
      <c r="AQ223" s="46"/>
    </row>
    <row r="224" spans="9:43" x14ac:dyDescent="0.3"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/>
      <c r="AN224" s="46"/>
      <c r="AO224" s="46"/>
      <c r="AP224" s="46"/>
      <c r="AQ224" s="46"/>
    </row>
    <row r="225" spans="9:43" x14ac:dyDescent="0.3"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/>
      <c r="AN225" s="46"/>
      <c r="AO225" s="46"/>
      <c r="AP225" s="46"/>
      <c r="AQ225" s="46"/>
    </row>
    <row r="226" spans="9:43" x14ac:dyDescent="0.3"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</row>
    <row r="227" spans="9:43" x14ac:dyDescent="0.3"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6"/>
      <c r="AM227" s="46"/>
      <c r="AN227" s="46"/>
      <c r="AO227" s="46"/>
      <c r="AP227" s="46"/>
      <c r="AQ227" s="46"/>
    </row>
    <row r="228" spans="9:43" x14ac:dyDescent="0.3"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</row>
    <row r="229" spans="9:43" x14ac:dyDescent="0.3"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/>
      <c r="AN229" s="46"/>
      <c r="AO229" s="46"/>
      <c r="AP229" s="46"/>
      <c r="AQ229" s="46"/>
    </row>
    <row r="230" spans="9:43" x14ac:dyDescent="0.3"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/>
      <c r="AN230" s="46"/>
      <c r="AO230" s="46"/>
      <c r="AP230" s="46"/>
      <c r="AQ230" s="46"/>
    </row>
    <row r="231" spans="9:43" x14ac:dyDescent="0.3"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6"/>
      <c r="AM231" s="46"/>
      <c r="AN231" s="46"/>
      <c r="AO231" s="46"/>
      <c r="AP231" s="46"/>
      <c r="AQ231" s="46"/>
    </row>
    <row r="232" spans="9:43" x14ac:dyDescent="0.3"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6"/>
      <c r="AM232" s="46"/>
      <c r="AN232" s="46"/>
      <c r="AO232" s="46"/>
      <c r="AP232" s="46"/>
      <c r="AQ232" s="46"/>
    </row>
    <row r="233" spans="9:43" x14ac:dyDescent="0.3"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/>
      <c r="AN233" s="46"/>
      <c r="AO233" s="46"/>
      <c r="AP233" s="46"/>
      <c r="AQ233" s="46"/>
    </row>
    <row r="234" spans="9:43" x14ac:dyDescent="0.3"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6"/>
      <c r="AM234" s="46"/>
      <c r="AN234" s="46"/>
      <c r="AO234" s="46"/>
      <c r="AP234" s="46"/>
      <c r="AQ234" s="46"/>
    </row>
    <row r="235" spans="9:43" x14ac:dyDescent="0.3"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6"/>
      <c r="AM235" s="46"/>
      <c r="AN235" s="46"/>
      <c r="AO235" s="46"/>
      <c r="AP235" s="46"/>
      <c r="AQ235" s="46"/>
    </row>
    <row r="236" spans="9:43" x14ac:dyDescent="0.3"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/>
      <c r="AN236" s="46"/>
      <c r="AO236" s="46"/>
      <c r="AP236" s="46"/>
      <c r="AQ236" s="46"/>
    </row>
    <row r="237" spans="9:43" x14ac:dyDescent="0.3"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6"/>
      <c r="AM237" s="46"/>
      <c r="AN237" s="46"/>
      <c r="AO237" s="46"/>
      <c r="AP237" s="46"/>
      <c r="AQ237" s="46"/>
    </row>
    <row r="238" spans="9:43" x14ac:dyDescent="0.3"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6"/>
      <c r="AM238" s="46"/>
      <c r="AN238" s="46"/>
      <c r="AO238" s="46"/>
      <c r="AP238" s="46"/>
      <c r="AQ238" s="46"/>
    </row>
    <row r="239" spans="9:43" x14ac:dyDescent="0.3"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  <c r="AP239" s="46"/>
      <c r="AQ239" s="46"/>
    </row>
    <row r="240" spans="9:43" x14ac:dyDescent="0.3"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/>
      <c r="AN240" s="46"/>
      <c r="AO240" s="46"/>
      <c r="AP240" s="46"/>
      <c r="AQ240" s="46"/>
    </row>
    <row r="241" spans="9:43" x14ac:dyDescent="0.3"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/>
      <c r="AN241" s="46"/>
      <c r="AO241" s="46"/>
      <c r="AP241" s="46"/>
      <c r="AQ241" s="46"/>
    </row>
    <row r="242" spans="9:43" x14ac:dyDescent="0.3"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/>
      <c r="AN242" s="46"/>
      <c r="AO242" s="46"/>
      <c r="AP242" s="46"/>
      <c r="AQ242" s="46"/>
    </row>
    <row r="243" spans="9:43" x14ac:dyDescent="0.3"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</row>
    <row r="244" spans="9:43" x14ac:dyDescent="0.3"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6"/>
      <c r="AP244" s="46"/>
      <c r="AQ244" s="46"/>
    </row>
    <row r="245" spans="9:43" x14ac:dyDescent="0.3"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</row>
    <row r="246" spans="9:43" x14ac:dyDescent="0.3"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6"/>
      <c r="AN246" s="46"/>
      <c r="AO246" s="46"/>
      <c r="AP246" s="46"/>
      <c r="AQ246" s="46"/>
    </row>
    <row r="247" spans="9:43" x14ac:dyDescent="0.3"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/>
      <c r="AN247" s="46"/>
      <c r="AO247" s="46"/>
      <c r="AP247" s="46"/>
      <c r="AQ247" s="46"/>
    </row>
    <row r="248" spans="9:43" x14ac:dyDescent="0.3"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6"/>
      <c r="AP248" s="46"/>
      <c r="AQ248" s="46"/>
    </row>
    <row r="249" spans="9:43" x14ac:dyDescent="0.3"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/>
      <c r="AN249" s="46"/>
      <c r="AO249" s="46"/>
      <c r="AP249" s="46"/>
      <c r="AQ249" s="46"/>
    </row>
    <row r="250" spans="9:43" x14ac:dyDescent="0.3"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6"/>
      <c r="AM250" s="46"/>
      <c r="AN250" s="46"/>
      <c r="AO250" s="46"/>
      <c r="AP250" s="46"/>
      <c r="AQ250" s="46"/>
    </row>
    <row r="251" spans="9:43" x14ac:dyDescent="0.3"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6"/>
      <c r="AP251" s="46"/>
      <c r="AQ251" s="46"/>
    </row>
    <row r="252" spans="9:43" x14ac:dyDescent="0.3"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6"/>
      <c r="AM252" s="46"/>
      <c r="AN252" s="46"/>
      <c r="AO252" s="46"/>
      <c r="AP252" s="46"/>
      <c r="AQ252" s="46"/>
    </row>
    <row r="253" spans="9:43" x14ac:dyDescent="0.3"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6"/>
      <c r="AM253" s="46"/>
      <c r="AN253" s="46"/>
      <c r="AO253" s="46"/>
      <c r="AP253" s="46"/>
      <c r="AQ253" s="46"/>
    </row>
    <row r="254" spans="9:43" x14ac:dyDescent="0.3"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6"/>
      <c r="AM254" s="46"/>
      <c r="AN254" s="46"/>
      <c r="AO254" s="46"/>
      <c r="AP254" s="46"/>
      <c r="AQ254" s="46"/>
    </row>
    <row r="255" spans="9:43" x14ac:dyDescent="0.3"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6"/>
      <c r="AM255" s="46"/>
      <c r="AN255" s="46"/>
      <c r="AO255" s="46"/>
      <c r="AP255" s="46"/>
      <c r="AQ255" s="46"/>
    </row>
    <row r="256" spans="9:43" x14ac:dyDescent="0.3"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6"/>
      <c r="AM256" s="46"/>
      <c r="AN256" s="46"/>
      <c r="AO256" s="46"/>
      <c r="AP256" s="46"/>
      <c r="AQ256" s="46"/>
    </row>
    <row r="257" spans="9:43" x14ac:dyDescent="0.3"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/>
      <c r="AN257" s="46"/>
      <c r="AO257" s="46"/>
      <c r="AP257" s="46"/>
      <c r="AQ257" s="46"/>
    </row>
    <row r="258" spans="9:43" x14ac:dyDescent="0.3"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6"/>
      <c r="AM258" s="46"/>
      <c r="AN258" s="46"/>
      <c r="AO258" s="46"/>
      <c r="AP258" s="46"/>
      <c r="AQ258" s="46"/>
    </row>
    <row r="259" spans="9:43" x14ac:dyDescent="0.3"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6"/>
      <c r="AM259" s="46"/>
      <c r="AN259" s="46"/>
      <c r="AO259" s="46"/>
      <c r="AP259" s="46"/>
      <c r="AQ259" s="46"/>
    </row>
    <row r="260" spans="9:43" x14ac:dyDescent="0.3"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/>
      <c r="AN260" s="46"/>
      <c r="AO260" s="46"/>
      <c r="AP260" s="46"/>
      <c r="AQ260" s="46"/>
    </row>
    <row r="261" spans="9:43" x14ac:dyDescent="0.3"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6"/>
      <c r="AP261" s="46"/>
      <c r="AQ261" s="46"/>
    </row>
    <row r="262" spans="9:43" x14ac:dyDescent="0.3"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/>
      <c r="AN262" s="46"/>
      <c r="AO262" s="46"/>
      <c r="AP262" s="46"/>
      <c r="AQ262" s="46"/>
    </row>
    <row r="263" spans="9:43" x14ac:dyDescent="0.3"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6"/>
      <c r="AP263" s="46"/>
      <c r="AQ263" s="46"/>
    </row>
    <row r="264" spans="9:43" x14ac:dyDescent="0.3"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6"/>
      <c r="AM264" s="46"/>
      <c r="AN264" s="46"/>
      <c r="AO264" s="46"/>
      <c r="AP264" s="46"/>
      <c r="AQ264" s="46"/>
    </row>
    <row r="265" spans="9:43" x14ac:dyDescent="0.3"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/>
      <c r="AN265" s="46"/>
      <c r="AO265" s="46"/>
      <c r="AP265" s="46"/>
      <c r="AQ265" s="46"/>
    </row>
    <row r="266" spans="9:43" x14ac:dyDescent="0.3"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  <c r="AL266" s="46"/>
      <c r="AM266" s="46"/>
      <c r="AN266" s="46"/>
      <c r="AO266" s="46"/>
      <c r="AP266" s="46"/>
      <c r="AQ266" s="46"/>
    </row>
    <row r="267" spans="9:43" x14ac:dyDescent="0.3"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6"/>
      <c r="AM267" s="46"/>
      <c r="AN267" s="46"/>
      <c r="AO267" s="46"/>
      <c r="AP267" s="46"/>
      <c r="AQ267" s="46"/>
    </row>
    <row r="268" spans="9:43" x14ac:dyDescent="0.3"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  <c r="AL268" s="46"/>
      <c r="AM268" s="46"/>
      <c r="AN268" s="46"/>
      <c r="AO268" s="46"/>
      <c r="AP268" s="46"/>
      <c r="AQ268" s="46"/>
    </row>
    <row r="269" spans="9:43" x14ac:dyDescent="0.3"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6"/>
      <c r="AM269" s="46"/>
      <c r="AN269" s="46"/>
      <c r="AO269" s="46"/>
      <c r="AP269" s="46"/>
      <c r="AQ269" s="46"/>
    </row>
    <row r="270" spans="9:43" x14ac:dyDescent="0.3"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  <c r="AL270" s="46"/>
      <c r="AM270" s="46"/>
      <c r="AN270" s="46"/>
      <c r="AO270" s="46"/>
      <c r="AP270" s="46"/>
      <c r="AQ270" s="46"/>
    </row>
    <row r="271" spans="9:43" x14ac:dyDescent="0.3"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6"/>
      <c r="AM271" s="46"/>
      <c r="AN271" s="46"/>
      <c r="AO271" s="46"/>
      <c r="AP271" s="46"/>
      <c r="AQ271" s="46"/>
    </row>
    <row r="272" spans="9:43" x14ac:dyDescent="0.3"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  <c r="AL272" s="46"/>
      <c r="AM272" s="46"/>
      <c r="AN272" s="46"/>
      <c r="AO272" s="46"/>
      <c r="AP272" s="46"/>
      <c r="AQ272" s="46"/>
    </row>
    <row r="273" spans="9:43" x14ac:dyDescent="0.3"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6"/>
      <c r="AM273" s="46"/>
      <c r="AN273" s="46"/>
      <c r="AO273" s="46"/>
      <c r="AP273" s="46"/>
      <c r="AQ273" s="46"/>
    </row>
    <row r="274" spans="9:43" x14ac:dyDescent="0.3"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  <c r="AL274" s="46"/>
      <c r="AM274" s="46"/>
      <c r="AN274" s="46"/>
      <c r="AO274" s="46"/>
      <c r="AP274" s="46"/>
      <c r="AQ274" s="46"/>
    </row>
    <row r="275" spans="9:43" x14ac:dyDescent="0.3"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  <c r="AL275" s="46"/>
      <c r="AM275" s="46"/>
      <c r="AN275" s="46"/>
      <c r="AO275" s="46"/>
      <c r="AP275" s="46"/>
      <c r="AQ275" s="46"/>
    </row>
    <row r="276" spans="9:43" x14ac:dyDescent="0.3"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  <c r="AL276" s="46"/>
      <c r="AM276" s="46"/>
      <c r="AN276" s="46"/>
      <c r="AO276" s="46"/>
      <c r="AP276" s="46"/>
      <c r="AQ276" s="46"/>
    </row>
    <row r="277" spans="9:43" x14ac:dyDescent="0.3"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6"/>
      <c r="AM277" s="46"/>
      <c r="AN277" s="46"/>
      <c r="AO277" s="46"/>
      <c r="AP277" s="46"/>
      <c r="AQ277" s="46"/>
    </row>
    <row r="278" spans="9:43" x14ac:dyDescent="0.3"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6"/>
      <c r="AN278" s="46"/>
      <c r="AO278" s="46"/>
      <c r="AP278" s="46"/>
      <c r="AQ278" s="46"/>
    </row>
    <row r="279" spans="9:43" x14ac:dyDescent="0.3"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6"/>
      <c r="AM279" s="46"/>
      <c r="AN279" s="46"/>
      <c r="AO279" s="46"/>
      <c r="AP279" s="46"/>
      <c r="AQ279" s="46"/>
    </row>
    <row r="280" spans="9:43" x14ac:dyDescent="0.3"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  <c r="AL280" s="46"/>
      <c r="AM280" s="46"/>
      <c r="AN280" s="46"/>
      <c r="AO280" s="46"/>
      <c r="AP280" s="46"/>
      <c r="AQ280" s="46"/>
    </row>
    <row r="281" spans="9:43" x14ac:dyDescent="0.3"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6"/>
      <c r="AM281" s="46"/>
      <c r="AN281" s="46"/>
      <c r="AO281" s="46"/>
      <c r="AP281" s="46"/>
      <c r="AQ281" s="46"/>
    </row>
    <row r="282" spans="9:43" x14ac:dyDescent="0.3"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  <c r="AL282" s="46"/>
      <c r="AM282" s="46"/>
      <c r="AN282" s="46"/>
      <c r="AO282" s="46"/>
      <c r="AP282" s="46"/>
      <c r="AQ282" s="46"/>
    </row>
    <row r="283" spans="9:43" x14ac:dyDescent="0.3"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6"/>
      <c r="AM283" s="46"/>
      <c r="AN283" s="46"/>
      <c r="AO283" s="46"/>
      <c r="AP283" s="46"/>
      <c r="AQ283" s="46"/>
    </row>
    <row r="284" spans="9:43" x14ac:dyDescent="0.3"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  <c r="AL284" s="46"/>
      <c r="AM284" s="46"/>
      <c r="AN284" s="46"/>
      <c r="AO284" s="46"/>
      <c r="AP284" s="46"/>
      <c r="AQ284" s="46"/>
    </row>
    <row r="285" spans="9:43" x14ac:dyDescent="0.3"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6"/>
      <c r="AM285" s="46"/>
      <c r="AN285" s="46"/>
      <c r="AO285" s="46"/>
      <c r="AP285" s="46"/>
      <c r="AQ285" s="46"/>
    </row>
    <row r="286" spans="9:43" x14ac:dyDescent="0.3"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  <c r="AL286" s="46"/>
      <c r="AM286" s="46"/>
      <c r="AN286" s="46"/>
      <c r="AO286" s="46"/>
      <c r="AP286" s="46"/>
      <c r="AQ286" s="46"/>
    </row>
    <row r="287" spans="9:43" x14ac:dyDescent="0.3"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6"/>
      <c r="AM287" s="46"/>
      <c r="AN287" s="46"/>
      <c r="AO287" s="46"/>
      <c r="AP287" s="46"/>
      <c r="AQ287" s="46"/>
    </row>
    <row r="288" spans="9:43" x14ac:dyDescent="0.3"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  <c r="AL288" s="46"/>
      <c r="AM288" s="46"/>
      <c r="AN288" s="46"/>
      <c r="AO288" s="46"/>
      <c r="AP288" s="46"/>
      <c r="AQ288" s="46"/>
    </row>
    <row r="289" spans="9:43" x14ac:dyDescent="0.3"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6"/>
      <c r="AM289" s="46"/>
      <c r="AN289" s="46"/>
      <c r="AO289" s="46"/>
      <c r="AP289" s="46"/>
      <c r="AQ289" s="46"/>
    </row>
    <row r="290" spans="9:43" x14ac:dyDescent="0.3"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  <c r="AL290" s="46"/>
      <c r="AM290" s="46"/>
      <c r="AN290" s="46"/>
      <c r="AO290" s="46"/>
      <c r="AP290" s="46"/>
      <c r="AQ290" s="46"/>
    </row>
    <row r="291" spans="9:43" x14ac:dyDescent="0.3"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  <c r="AL291" s="46"/>
      <c r="AM291" s="46"/>
      <c r="AN291" s="46"/>
      <c r="AO291" s="46"/>
      <c r="AP291" s="46"/>
      <c r="AQ291" s="46"/>
    </row>
    <row r="292" spans="9:43" x14ac:dyDescent="0.3"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  <c r="AL292" s="46"/>
      <c r="AM292" s="46"/>
      <c r="AN292" s="46"/>
      <c r="AO292" s="46"/>
      <c r="AP292" s="46"/>
      <c r="AQ292" s="46"/>
    </row>
    <row r="293" spans="9:43" x14ac:dyDescent="0.3"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6"/>
      <c r="AM293" s="46"/>
      <c r="AN293" s="46"/>
      <c r="AO293" s="46"/>
      <c r="AP293" s="46"/>
      <c r="AQ293" s="46"/>
    </row>
    <row r="294" spans="9:43" x14ac:dyDescent="0.3"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/>
      <c r="AN294" s="46"/>
      <c r="AO294" s="46"/>
      <c r="AP294" s="46"/>
      <c r="AQ294" s="46"/>
    </row>
    <row r="295" spans="9:43" x14ac:dyDescent="0.3"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6"/>
      <c r="AM295" s="46"/>
      <c r="AN295" s="46"/>
      <c r="AO295" s="46"/>
      <c r="AP295" s="46"/>
      <c r="AQ295" s="46"/>
    </row>
    <row r="296" spans="9:43" x14ac:dyDescent="0.3"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  <c r="AL296" s="46"/>
      <c r="AM296" s="46"/>
      <c r="AN296" s="46"/>
      <c r="AO296" s="46"/>
      <c r="AP296" s="46"/>
      <c r="AQ296" s="46"/>
    </row>
    <row r="297" spans="9:43" x14ac:dyDescent="0.3"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  <c r="AL297" s="46"/>
      <c r="AM297" s="46"/>
      <c r="AN297" s="46"/>
      <c r="AO297" s="46"/>
      <c r="AP297" s="46"/>
      <c r="AQ297" s="46"/>
    </row>
    <row r="298" spans="9:43" x14ac:dyDescent="0.3"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6"/>
      <c r="AM298" s="46"/>
      <c r="AN298" s="46"/>
      <c r="AO298" s="46"/>
      <c r="AP298" s="46"/>
      <c r="AQ298" s="46"/>
    </row>
    <row r="299" spans="9:43" x14ac:dyDescent="0.3"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6"/>
      <c r="AM299" s="46"/>
      <c r="AN299" s="46"/>
      <c r="AO299" s="46"/>
      <c r="AP299" s="46"/>
      <c r="AQ299" s="46"/>
    </row>
    <row r="300" spans="9:43" x14ac:dyDescent="0.3"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  <c r="AL300" s="46"/>
      <c r="AM300" s="46"/>
      <c r="AN300" s="46"/>
      <c r="AO300" s="46"/>
      <c r="AP300" s="46"/>
      <c r="AQ300" s="46"/>
    </row>
    <row r="301" spans="9:43" x14ac:dyDescent="0.3"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6"/>
      <c r="AM301" s="46"/>
      <c r="AN301" s="46"/>
      <c r="AO301" s="46"/>
      <c r="AP301" s="46"/>
      <c r="AQ301" s="46"/>
    </row>
    <row r="302" spans="9:43" x14ac:dyDescent="0.3"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  <c r="AL302" s="46"/>
      <c r="AM302" s="46"/>
      <c r="AN302" s="46"/>
      <c r="AO302" s="46"/>
      <c r="AP302" s="46"/>
      <c r="AQ302" s="46"/>
    </row>
    <row r="303" spans="9:43" x14ac:dyDescent="0.3"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6"/>
      <c r="AM303" s="46"/>
      <c r="AN303" s="46"/>
      <c r="AO303" s="46"/>
      <c r="AP303" s="46"/>
      <c r="AQ303" s="46"/>
    </row>
    <row r="304" spans="9:43" x14ac:dyDescent="0.3"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  <c r="AL304" s="46"/>
      <c r="AM304" s="46"/>
      <c r="AN304" s="46"/>
      <c r="AO304" s="46"/>
      <c r="AP304" s="46"/>
      <c r="AQ304" s="46"/>
    </row>
    <row r="305" spans="9:43" x14ac:dyDescent="0.3"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6"/>
      <c r="AM305" s="46"/>
      <c r="AN305" s="46"/>
      <c r="AO305" s="46"/>
      <c r="AP305" s="46"/>
      <c r="AQ305" s="46"/>
    </row>
    <row r="306" spans="9:43" x14ac:dyDescent="0.3"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  <c r="AL306" s="46"/>
      <c r="AM306" s="46"/>
      <c r="AN306" s="46"/>
      <c r="AO306" s="46"/>
      <c r="AP306" s="46"/>
      <c r="AQ306" s="46"/>
    </row>
    <row r="307" spans="9:43" x14ac:dyDescent="0.3"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6"/>
      <c r="AM307" s="46"/>
      <c r="AN307" s="46"/>
      <c r="AO307" s="46"/>
      <c r="AP307" s="46"/>
      <c r="AQ307" s="46"/>
    </row>
    <row r="308" spans="9:43" x14ac:dyDescent="0.3"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6"/>
      <c r="AM308" s="46"/>
      <c r="AN308" s="46"/>
      <c r="AO308" s="46"/>
      <c r="AP308" s="46"/>
      <c r="AQ308" s="46"/>
    </row>
    <row r="309" spans="9:43" x14ac:dyDescent="0.3"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6"/>
      <c r="AM309" s="46"/>
      <c r="AN309" s="46"/>
      <c r="AO309" s="46"/>
      <c r="AP309" s="46"/>
      <c r="AQ309" s="46"/>
    </row>
    <row r="310" spans="9:43" x14ac:dyDescent="0.3"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6"/>
      <c r="AN310" s="46"/>
      <c r="AO310" s="46"/>
      <c r="AP310" s="46"/>
      <c r="AQ310" s="46"/>
    </row>
    <row r="311" spans="9:43" x14ac:dyDescent="0.3"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  <c r="AL311" s="46"/>
      <c r="AM311" s="46"/>
      <c r="AN311" s="46"/>
      <c r="AO311" s="46"/>
      <c r="AP311" s="46"/>
      <c r="AQ311" s="46"/>
    </row>
    <row r="312" spans="9:43" x14ac:dyDescent="0.3"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6"/>
      <c r="AM312" s="46"/>
      <c r="AN312" s="46"/>
      <c r="AO312" s="46"/>
      <c r="AP312" s="46"/>
      <c r="AQ312" s="46"/>
    </row>
    <row r="313" spans="9:43" x14ac:dyDescent="0.3"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6"/>
      <c r="AM313" s="46"/>
      <c r="AN313" s="46"/>
      <c r="AO313" s="46"/>
      <c r="AP313" s="46"/>
      <c r="AQ313" s="46"/>
    </row>
    <row r="314" spans="9:43" x14ac:dyDescent="0.3"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  <c r="AG314" s="46"/>
      <c r="AH314" s="46"/>
      <c r="AI314" s="46"/>
      <c r="AJ314" s="46"/>
      <c r="AK314" s="46"/>
      <c r="AL314" s="46"/>
      <c r="AM314" s="46"/>
      <c r="AN314" s="46"/>
      <c r="AO314" s="46"/>
      <c r="AP314" s="46"/>
      <c r="AQ314" s="46"/>
    </row>
    <row r="315" spans="9:43" x14ac:dyDescent="0.3"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6"/>
      <c r="AM315" s="46"/>
      <c r="AN315" s="46"/>
      <c r="AO315" s="46"/>
      <c r="AP315" s="46"/>
      <c r="AQ315" s="46"/>
    </row>
    <row r="316" spans="9:43" x14ac:dyDescent="0.3"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  <c r="AG316" s="46"/>
      <c r="AH316" s="46"/>
      <c r="AI316" s="46"/>
      <c r="AJ316" s="46"/>
      <c r="AK316" s="46"/>
      <c r="AL316" s="46"/>
      <c r="AM316" s="46"/>
      <c r="AN316" s="46"/>
      <c r="AO316" s="46"/>
      <c r="AP316" s="46"/>
      <c r="AQ316" s="46"/>
    </row>
    <row r="317" spans="9:43" x14ac:dyDescent="0.3"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6"/>
      <c r="AM317" s="46"/>
      <c r="AN317" s="46"/>
      <c r="AO317" s="46"/>
      <c r="AP317" s="46"/>
      <c r="AQ317" s="46"/>
    </row>
    <row r="318" spans="9:43" x14ac:dyDescent="0.3"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  <c r="AG318" s="46"/>
      <c r="AH318" s="46"/>
      <c r="AI318" s="46"/>
      <c r="AJ318" s="46"/>
      <c r="AK318" s="46"/>
      <c r="AL318" s="46"/>
      <c r="AM318" s="46"/>
      <c r="AN318" s="46"/>
      <c r="AO318" s="46"/>
      <c r="AP318" s="46"/>
      <c r="AQ318" s="46"/>
    </row>
    <row r="319" spans="9:43" x14ac:dyDescent="0.3"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6"/>
      <c r="AM319" s="46"/>
      <c r="AN319" s="46"/>
      <c r="AO319" s="46"/>
      <c r="AP319" s="46"/>
      <c r="AQ319" s="46"/>
    </row>
    <row r="320" spans="9:43" x14ac:dyDescent="0.3"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6"/>
      <c r="AM320" s="46"/>
      <c r="AN320" s="46"/>
      <c r="AO320" s="46"/>
      <c r="AP320" s="46"/>
      <c r="AQ320" s="46"/>
    </row>
    <row r="321" spans="9:43" x14ac:dyDescent="0.3"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6"/>
      <c r="AM321" s="46"/>
      <c r="AN321" s="46"/>
      <c r="AO321" s="46"/>
      <c r="AP321" s="46"/>
      <c r="AQ321" s="46"/>
    </row>
    <row r="322" spans="9:43" x14ac:dyDescent="0.3"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  <c r="AG322" s="46"/>
      <c r="AH322" s="46"/>
      <c r="AI322" s="46"/>
      <c r="AJ322" s="46"/>
      <c r="AK322" s="46"/>
      <c r="AL322" s="46"/>
      <c r="AM322" s="46"/>
      <c r="AN322" s="46"/>
      <c r="AO322" s="46"/>
      <c r="AP322" s="46"/>
      <c r="AQ322" s="46"/>
    </row>
    <row r="323" spans="9:43" x14ac:dyDescent="0.3"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6"/>
      <c r="AM323" s="46"/>
      <c r="AN323" s="46"/>
      <c r="AO323" s="46"/>
      <c r="AP323" s="46"/>
      <c r="AQ323" s="46"/>
    </row>
    <row r="324" spans="9:43" x14ac:dyDescent="0.3"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  <c r="AG324" s="46"/>
      <c r="AH324" s="46"/>
      <c r="AI324" s="46"/>
      <c r="AJ324" s="46"/>
      <c r="AK324" s="46"/>
      <c r="AL324" s="46"/>
      <c r="AM324" s="46"/>
      <c r="AN324" s="46"/>
      <c r="AO324" s="46"/>
      <c r="AP324" s="46"/>
      <c r="AQ324" s="46"/>
    </row>
    <row r="325" spans="9:43" x14ac:dyDescent="0.3"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  <c r="AG325" s="46"/>
      <c r="AH325" s="46"/>
      <c r="AI325" s="46"/>
      <c r="AJ325" s="46"/>
      <c r="AK325" s="46"/>
      <c r="AL325" s="46"/>
      <c r="AM325" s="46"/>
      <c r="AN325" s="46"/>
      <c r="AO325" s="46"/>
      <c r="AP325" s="46"/>
      <c r="AQ325" s="46"/>
    </row>
    <row r="326" spans="9:43" x14ac:dyDescent="0.3"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6"/>
      <c r="AN326" s="46"/>
      <c r="AO326" s="46"/>
      <c r="AP326" s="46"/>
      <c r="AQ326" s="46"/>
    </row>
    <row r="327" spans="9:43" x14ac:dyDescent="0.3"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6"/>
      <c r="AM327" s="46"/>
      <c r="AN327" s="46"/>
      <c r="AO327" s="46"/>
      <c r="AP327" s="46"/>
      <c r="AQ327" s="46"/>
    </row>
    <row r="328" spans="9:43" x14ac:dyDescent="0.3"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  <c r="AG328" s="46"/>
      <c r="AH328" s="46"/>
      <c r="AI328" s="46"/>
      <c r="AJ328" s="46"/>
      <c r="AK328" s="46"/>
      <c r="AL328" s="46"/>
      <c r="AM328" s="46"/>
      <c r="AN328" s="46"/>
      <c r="AO328" s="46"/>
      <c r="AP328" s="46"/>
      <c r="AQ328" s="46"/>
    </row>
    <row r="329" spans="9:43" x14ac:dyDescent="0.3"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6"/>
      <c r="AM329" s="46"/>
      <c r="AN329" s="46"/>
      <c r="AO329" s="46"/>
      <c r="AP329" s="46"/>
      <c r="AQ329" s="46"/>
    </row>
    <row r="330" spans="9:43" x14ac:dyDescent="0.3"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  <c r="AG330" s="46"/>
      <c r="AH330" s="46"/>
      <c r="AI330" s="46"/>
      <c r="AJ330" s="46"/>
      <c r="AK330" s="46"/>
      <c r="AL330" s="46"/>
      <c r="AM330" s="46"/>
      <c r="AN330" s="46"/>
      <c r="AO330" s="46"/>
      <c r="AP330" s="46"/>
      <c r="AQ330" s="46"/>
    </row>
    <row r="331" spans="9:43" x14ac:dyDescent="0.3"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  <c r="AG331" s="46"/>
      <c r="AH331" s="46"/>
      <c r="AI331" s="46"/>
      <c r="AJ331" s="46"/>
      <c r="AK331" s="46"/>
      <c r="AL331" s="46"/>
      <c r="AM331" s="46"/>
      <c r="AN331" s="46"/>
      <c r="AO331" s="46"/>
      <c r="AP331" s="46"/>
      <c r="AQ331" s="46"/>
    </row>
    <row r="332" spans="9:43" x14ac:dyDescent="0.3"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  <c r="AG332" s="46"/>
      <c r="AH332" s="46"/>
      <c r="AI332" s="46"/>
      <c r="AJ332" s="46"/>
      <c r="AK332" s="46"/>
      <c r="AL332" s="46"/>
      <c r="AM332" s="46"/>
      <c r="AN332" s="46"/>
      <c r="AO332" s="46"/>
      <c r="AP332" s="46"/>
      <c r="AQ332" s="46"/>
    </row>
    <row r="333" spans="9:43" x14ac:dyDescent="0.3"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6"/>
      <c r="AM333" s="46"/>
      <c r="AN333" s="46"/>
      <c r="AO333" s="46"/>
      <c r="AP333" s="46"/>
      <c r="AQ333" s="46"/>
    </row>
    <row r="334" spans="9:43" x14ac:dyDescent="0.3"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  <c r="AG334" s="46"/>
      <c r="AH334" s="46"/>
      <c r="AI334" s="46"/>
      <c r="AJ334" s="46"/>
      <c r="AK334" s="46"/>
      <c r="AL334" s="46"/>
      <c r="AM334" s="46"/>
      <c r="AN334" s="46"/>
      <c r="AO334" s="46"/>
      <c r="AP334" s="46"/>
      <c r="AQ334" s="46"/>
    </row>
    <row r="335" spans="9:43" x14ac:dyDescent="0.3"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6"/>
      <c r="AM335" s="46"/>
      <c r="AN335" s="46"/>
      <c r="AO335" s="46"/>
      <c r="AP335" s="46"/>
      <c r="AQ335" s="46"/>
    </row>
    <row r="336" spans="9:43" x14ac:dyDescent="0.3"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  <c r="AG336" s="46"/>
      <c r="AH336" s="46"/>
      <c r="AI336" s="46"/>
      <c r="AJ336" s="46"/>
      <c r="AK336" s="46"/>
      <c r="AL336" s="46"/>
      <c r="AM336" s="46"/>
      <c r="AN336" s="46"/>
      <c r="AO336" s="46"/>
      <c r="AP336" s="46"/>
      <c r="AQ336" s="46"/>
    </row>
    <row r="337" spans="9:43" x14ac:dyDescent="0.3"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6"/>
      <c r="AM337" s="46"/>
      <c r="AN337" s="46"/>
      <c r="AO337" s="46"/>
      <c r="AP337" s="46"/>
      <c r="AQ337" s="46"/>
    </row>
    <row r="338" spans="9:43" x14ac:dyDescent="0.3"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  <c r="AG338" s="46"/>
      <c r="AH338" s="46"/>
      <c r="AI338" s="46"/>
      <c r="AJ338" s="46"/>
      <c r="AK338" s="46"/>
      <c r="AL338" s="46"/>
      <c r="AM338" s="46"/>
      <c r="AN338" s="46"/>
      <c r="AO338" s="46"/>
      <c r="AP338" s="46"/>
      <c r="AQ338" s="46"/>
    </row>
    <row r="339" spans="9:43" x14ac:dyDescent="0.3"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6"/>
      <c r="AM339" s="46"/>
      <c r="AN339" s="46"/>
      <c r="AO339" s="46"/>
      <c r="AP339" s="46"/>
      <c r="AQ339" s="46"/>
    </row>
    <row r="340" spans="9:43" x14ac:dyDescent="0.3"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  <c r="AG340" s="46"/>
      <c r="AH340" s="46"/>
      <c r="AI340" s="46"/>
      <c r="AJ340" s="46"/>
      <c r="AK340" s="46"/>
      <c r="AL340" s="46"/>
      <c r="AM340" s="46"/>
      <c r="AN340" s="46"/>
      <c r="AO340" s="46"/>
      <c r="AP340" s="46"/>
      <c r="AQ340" s="46"/>
    </row>
    <row r="341" spans="9:43" x14ac:dyDescent="0.3"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6"/>
      <c r="AM341" s="46"/>
      <c r="AN341" s="46"/>
      <c r="AO341" s="46"/>
      <c r="AP341" s="46"/>
      <c r="AQ341" s="46"/>
    </row>
    <row r="342" spans="9:43" x14ac:dyDescent="0.3"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6"/>
      <c r="AN342" s="46"/>
      <c r="AO342" s="46"/>
      <c r="AP342" s="46"/>
      <c r="AQ342" s="46"/>
    </row>
    <row r="343" spans="9:43" x14ac:dyDescent="0.3"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6"/>
      <c r="AM343" s="46"/>
      <c r="AN343" s="46"/>
      <c r="AO343" s="46"/>
      <c r="AP343" s="46"/>
      <c r="AQ343" s="46"/>
    </row>
    <row r="344" spans="9:43" x14ac:dyDescent="0.3"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  <c r="AG344" s="46"/>
      <c r="AH344" s="46"/>
      <c r="AI344" s="46"/>
      <c r="AJ344" s="46"/>
      <c r="AK344" s="46"/>
      <c r="AL344" s="46"/>
      <c r="AM344" s="46"/>
      <c r="AN344" s="46"/>
      <c r="AO344" s="46"/>
      <c r="AP344" s="46"/>
      <c r="AQ344" s="46"/>
    </row>
    <row r="345" spans="9:43" x14ac:dyDescent="0.3"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6"/>
      <c r="AM345" s="46"/>
      <c r="AN345" s="46"/>
      <c r="AO345" s="46"/>
      <c r="AP345" s="46"/>
      <c r="AQ345" s="46"/>
    </row>
    <row r="346" spans="9:43" x14ac:dyDescent="0.3"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6"/>
      <c r="AM346" s="46"/>
      <c r="AN346" s="46"/>
      <c r="AO346" s="46"/>
      <c r="AP346" s="46"/>
      <c r="AQ346" s="46"/>
    </row>
    <row r="347" spans="9:43" x14ac:dyDescent="0.3"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6"/>
      <c r="AM347" s="46"/>
      <c r="AN347" s="46"/>
      <c r="AO347" s="46"/>
      <c r="AP347" s="46"/>
      <c r="AQ347" s="46"/>
    </row>
    <row r="348" spans="9:43" x14ac:dyDescent="0.3"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6"/>
      <c r="AM348" s="46"/>
      <c r="AN348" s="46"/>
      <c r="AO348" s="46"/>
      <c r="AP348" s="46"/>
      <c r="AQ348" s="46"/>
    </row>
    <row r="349" spans="9:43" x14ac:dyDescent="0.3"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6"/>
      <c r="AM349" s="46"/>
      <c r="AN349" s="46"/>
      <c r="AO349" s="46"/>
      <c r="AP349" s="46"/>
      <c r="AQ349" s="46"/>
    </row>
    <row r="350" spans="9:43" x14ac:dyDescent="0.3"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6"/>
      <c r="AM350" s="46"/>
      <c r="AN350" s="46"/>
      <c r="AO350" s="46"/>
      <c r="AP350" s="46"/>
      <c r="AQ350" s="46"/>
    </row>
    <row r="351" spans="9:43" x14ac:dyDescent="0.3"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6"/>
      <c r="AM351" s="46"/>
      <c r="AN351" s="46"/>
      <c r="AO351" s="46"/>
      <c r="AP351" s="46"/>
      <c r="AQ351" s="46"/>
    </row>
    <row r="352" spans="9:43" x14ac:dyDescent="0.3"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6"/>
      <c r="AM352" s="46"/>
      <c r="AN352" s="46"/>
      <c r="AO352" s="46"/>
      <c r="AP352" s="46"/>
      <c r="AQ352" s="46"/>
    </row>
    <row r="353" spans="9:43" x14ac:dyDescent="0.3"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6"/>
      <c r="AM353" s="46"/>
      <c r="AN353" s="46"/>
      <c r="AO353" s="46"/>
      <c r="AP353" s="46"/>
      <c r="AQ353" s="46"/>
    </row>
    <row r="354" spans="9:43" x14ac:dyDescent="0.3"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6"/>
      <c r="AM354" s="46"/>
      <c r="AN354" s="46"/>
      <c r="AO354" s="46"/>
      <c r="AP354" s="46"/>
      <c r="AQ354" s="46"/>
    </row>
    <row r="355" spans="9:43" x14ac:dyDescent="0.3"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6"/>
      <c r="AM355" s="46"/>
      <c r="AN355" s="46"/>
      <c r="AO355" s="46"/>
      <c r="AP355" s="46"/>
      <c r="AQ355" s="46"/>
    </row>
    <row r="356" spans="9:43" x14ac:dyDescent="0.3"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6"/>
      <c r="AM356" s="46"/>
      <c r="AN356" s="46"/>
      <c r="AO356" s="46"/>
      <c r="AP356" s="46"/>
      <c r="AQ356" s="46"/>
    </row>
    <row r="357" spans="9:43" x14ac:dyDescent="0.3"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6"/>
      <c r="AM357" s="46"/>
      <c r="AN357" s="46"/>
      <c r="AO357" s="46"/>
      <c r="AP357" s="46"/>
      <c r="AQ357" s="46"/>
    </row>
    <row r="358" spans="9:43" x14ac:dyDescent="0.3"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6"/>
      <c r="AN358" s="46"/>
      <c r="AO358" s="46"/>
      <c r="AP358" s="46"/>
      <c r="AQ358" s="46"/>
    </row>
    <row r="359" spans="9:43" x14ac:dyDescent="0.3"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6"/>
      <c r="AM359" s="46"/>
      <c r="AN359" s="46"/>
      <c r="AO359" s="46"/>
      <c r="AP359" s="46"/>
      <c r="AQ359" s="46"/>
    </row>
    <row r="360" spans="9:43" x14ac:dyDescent="0.3"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6"/>
      <c r="AM360" s="46"/>
      <c r="AN360" s="46"/>
      <c r="AO360" s="46"/>
      <c r="AP360" s="46"/>
      <c r="AQ360" s="46"/>
    </row>
    <row r="361" spans="9:43" x14ac:dyDescent="0.3"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6"/>
      <c r="AM361" s="46"/>
      <c r="AN361" s="46"/>
      <c r="AO361" s="46"/>
      <c r="AP361" s="46"/>
      <c r="AQ361" s="46"/>
    </row>
    <row r="362" spans="9:43" x14ac:dyDescent="0.3"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6"/>
      <c r="AM362" s="46"/>
      <c r="AN362" s="46"/>
      <c r="AO362" s="46"/>
      <c r="AP362" s="46"/>
      <c r="AQ362" s="46"/>
    </row>
    <row r="363" spans="9:43" x14ac:dyDescent="0.3"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6"/>
      <c r="AM363" s="46"/>
      <c r="AN363" s="46"/>
      <c r="AO363" s="46"/>
      <c r="AP363" s="46"/>
      <c r="AQ363" s="46"/>
    </row>
    <row r="364" spans="9:43" x14ac:dyDescent="0.3"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6"/>
      <c r="AM364" s="46"/>
      <c r="AN364" s="46"/>
      <c r="AO364" s="46"/>
      <c r="AP364" s="46"/>
      <c r="AQ364" s="46"/>
    </row>
    <row r="365" spans="9:43" x14ac:dyDescent="0.3"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6"/>
      <c r="AM365" s="46"/>
      <c r="AN365" s="46"/>
      <c r="AO365" s="46"/>
      <c r="AP365" s="46"/>
      <c r="AQ365" s="46"/>
    </row>
    <row r="366" spans="9:43" x14ac:dyDescent="0.3"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6"/>
      <c r="AM366" s="46"/>
      <c r="AN366" s="46"/>
      <c r="AO366" s="46"/>
      <c r="AP366" s="46"/>
      <c r="AQ366" s="46"/>
    </row>
    <row r="367" spans="9:43" x14ac:dyDescent="0.3"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/>
      <c r="AN367" s="46"/>
      <c r="AO367" s="46"/>
      <c r="AP367" s="46"/>
      <c r="AQ367" s="46"/>
    </row>
    <row r="368" spans="9:43" x14ac:dyDescent="0.3"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6"/>
      <c r="AM368" s="46"/>
      <c r="AN368" s="46"/>
      <c r="AO368" s="46"/>
      <c r="AP368" s="46"/>
      <c r="AQ368" s="46"/>
    </row>
    <row r="369" spans="9:43" x14ac:dyDescent="0.3"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6"/>
      <c r="AM369" s="46"/>
      <c r="AN369" s="46"/>
      <c r="AO369" s="46"/>
      <c r="AP369" s="46"/>
      <c r="AQ369" s="46"/>
    </row>
    <row r="370" spans="9:43" x14ac:dyDescent="0.3"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6"/>
      <c r="AM370" s="46"/>
      <c r="AN370" s="46"/>
      <c r="AO370" s="46"/>
      <c r="AP370" s="46"/>
      <c r="AQ370" s="46"/>
    </row>
    <row r="371" spans="9:43" x14ac:dyDescent="0.3"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/>
      <c r="AN371" s="46"/>
      <c r="AO371" s="46"/>
      <c r="AP371" s="46"/>
      <c r="AQ371" s="46"/>
    </row>
    <row r="372" spans="9:43" x14ac:dyDescent="0.3"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6"/>
      <c r="AM372" s="46"/>
      <c r="AN372" s="46"/>
      <c r="AO372" s="46"/>
      <c r="AP372" s="46"/>
      <c r="AQ372" s="46"/>
    </row>
    <row r="373" spans="9:43" x14ac:dyDescent="0.3"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6"/>
      <c r="AM373" s="46"/>
      <c r="AN373" s="46"/>
      <c r="AO373" s="46"/>
      <c r="AP373" s="46"/>
      <c r="AQ373" s="46"/>
    </row>
    <row r="374" spans="9:43" x14ac:dyDescent="0.3"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6"/>
      <c r="AN374" s="46"/>
      <c r="AO374" s="46"/>
      <c r="AP374" s="46"/>
      <c r="AQ374" s="46"/>
    </row>
    <row r="375" spans="9:43" x14ac:dyDescent="0.3"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/>
      <c r="AN375" s="46"/>
      <c r="AO375" s="46"/>
      <c r="AP375" s="46"/>
      <c r="AQ375" s="46"/>
    </row>
    <row r="376" spans="9:43" x14ac:dyDescent="0.3"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6"/>
      <c r="AM376" s="46"/>
      <c r="AN376" s="46"/>
      <c r="AO376" s="46"/>
      <c r="AP376" s="46"/>
      <c r="AQ376" s="46"/>
    </row>
    <row r="377" spans="9:43" x14ac:dyDescent="0.3"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6"/>
      <c r="AM377" s="46"/>
      <c r="AN377" s="46"/>
      <c r="AO377" s="46"/>
      <c r="AP377" s="46"/>
      <c r="AQ377" s="46"/>
    </row>
    <row r="378" spans="9:43" x14ac:dyDescent="0.3"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6"/>
      <c r="AM378" s="46"/>
      <c r="AN378" s="46"/>
      <c r="AO378" s="46"/>
      <c r="AP378" s="46"/>
      <c r="AQ378" s="46"/>
    </row>
    <row r="379" spans="9:43" x14ac:dyDescent="0.3"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6"/>
      <c r="AM379" s="46"/>
      <c r="AN379" s="46"/>
      <c r="AO379" s="46"/>
      <c r="AP379" s="46"/>
      <c r="AQ379" s="46"/>
    </row>
    <row r="380" spans="9:43" x14ac:dyDescent="0.3"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6"/>
      <c r="AM380" s="46"/>
      <c r="AN380" s="46"/>
      <c r="AO380" s="46"/>
      <c r="AP380" s="46"/>
      <c r="AQ380" s="46"/>
    </row>
    <row r="381" spans="9:43" x14ac:dyDescent="0.3"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6"/>
      <c r="AM381" s="46"/>
      <c r="AN381" s="46"/>
      <c r="AO381" s="46"/>
      <c r="AP381" s="46"/>
      <c r="AQ381" s="46"/>
    </row>
    <row r="382" spans="9:43" x14ac:dyDescent="0.3"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6"/>
      <c r="AM382" s="46"/>
      <c r="AN382" s="46"/>
      <c r="AO382" s="46"/>
      <c r="AP382" s="46"/>
      <c r="AQ382" s="46"/>
    </row>
    <row r="383" spans="9:43" x14ac:dyDescent="0.3"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6"/>
      <c r="AM383" s="46"/>
      <c r="AN383" s="46"/>
      <c r="AO383" s="46"/>
      <c r="AP383" s="46"/>
      <c r="AQ383" s="46"/>
    </row>
    <row r="384" spans="9:43" x14ac:dyDescent="0.3"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6"/>
      <c r="AM384" s="46"/>
      <c r="AN384" s="46"/>
      <c r="AO384" s="46"/>
      <c r="AP384" s="46"/>
      <c r="AQ384" s="46"/>
    </row>
    <row r="385" spans="9:43" x14ac:dyDescent="0.3"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6"/>
      <c r="AM385" s="46"/>
      <c r="AN385" s="46"/>
      <c r="AO385" s="46"/>
      <c r="AP385" s="46"/>
      <c r="AQ385" s="46"/>
    </row>
    <row r="386" spans="9:43" x14ac:dyDescent="0.3"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6"/>
      <c r="AM386" s="46"/>
      <c r="AN386" s="46"/>
      <c r="AO386" s="46"/>
      <c r="AP386" s="46"/>
      <c r="AQ386" s="46"/>
    </row>
    <row r="387" spans="9:43" x14ac:dyDescent="0.3"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6"/>
      <c r="AM387" s="46"/>
      <c r="AN387" s="46"/>
      <c r="AO387" s="46"/>
      <c r="AP387" s="46"/>
      <c r="AQ387" s="46"/>
    </row>
    <row r="388" spans="9:43" x14ac:dyDescent="0.3"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O388" s="46"/>
      <c r="AP388" s="46"/>
      <c r="AQ388" s="46"/>
    </row>
    <row r="389" spans="9:43" x14ac:dyDescent="0.3"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6"/>
      <c r="AM389" s="46"/>
      <c r="AN389" s="46"/>
      <c r="AO389" s="46"/>
      <c r="AP389" s="46"/>
      <c r="AQ389" s="46"/>
    </row>
    <row r="390" spans="9:43" x14ac:dyDescent="0.3"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6"/>
      <c r="AN390" s="46"/>
      <c r="AO390" s="46"/>
      <c r="AP390" s="46"/>
      <c r="AQ390" s="46"/>
    </row>
    <row r="391" spans="9:43" x14ac:dyDescent="0.3"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6"/>
      <c r="AM391" s="46"/>
      <c r="AN391" s="46"/>
      <c r="AO391" s="46"/>
      <c r="AP391" s="46"/>
      <c r="AQ391" s="46"/>
    </row>
    <row r="392" spans="9:43" x14ac:dyDescent="0.3"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  <c r="AG392" s="46"/>
      <c r="AH392" s="46"/>
      <c r="AI392" s="46"/>
      <c r="AJ392" s="46"/>
      <c r="AK392" s="46"/>
      <c r="AL392" s="46"/>
      <c r="AM392" s="46"/>
      <c r="AN392" s="46"/>
      <c r="AO392" s="46"/>
      <c r="AP392" s="46"/>
      <c r="AQ392" s="46"/>
    </row>
    <row r="393" spans="9:43" x14ac:dyDescent="0.3"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6"/>
      <c r="AM393" s="46"/>
      <c r="AN393" s="46"/>
      <c r="AO393" s="46"/>
      <c r="AP393" s="46"/>
      <c r="AQ393" s="46"/>
    </row>
    <row r="394" spans="9:43" x14ac:dyDescent="0.3"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  <c r="AG394" s="46"/>
      <c r="AH394" s="46"/>
      <c r="AI394" s="46"/>
      <c r="AJ394" s="46"/>
      <c r="AK394" s="46"/>
      <c r="AL394" s="46"/>
      <c r="AM394" s="46"/>
      <c r="AN394" s="46"/>
      <c r="AO394" s="46"/>
      <c r="AP394" s="46"/>
      <c r="AQ394" s="46"/>
    </row>
    <row r="395" spans="9:43" x14ac:dyDescent="0.3"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6"/>
      <c r="AM395" s="46"/>
      <c r="AN395" s="46"/>
      <c r="AO395" s="46"/>
      <c r="AP395" s="46"/>
      <c r="AQ395" s="46"/>
    </row>
    <row r="396" spans="9:43" x14ac:dyDescent="0.3"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  <c r="AG396" s="46"/>
      <c r="AH396" s="46"/>
      <c r="AI396" s="46"/>
      <c r="AJ396" s="46"/>
      <c r="AK396" s="46"/>
      <c r="AL396" s="46"/>
      <c r="AM396" s="46"/>
      <c r="AN396" s="46"/>
      <c r="AO396" s="46"/>
      <c r="AP396" s="46"/>
      <c r="AQ396" s="46"/>
    </row>
    <row r="397" spans="9:43" x14ac:dyDescent="0.3"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6"/>
      <c r="AM397" s="46"/>
      <c r="AN397" s="46"/>
      <c r="AO397" s="46"/>
      <c r="AP397" s="46"/>
      <c r="AQ397" s="46"/>
    </row>
    <row r="398" spans="9:43" x14ac:dyDescent="0.3"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  <c r="AG398" s="46"/>
      <c r="AH398" s="46"/>
      <c r="AI398" s="46"/>
      <c r="AJ398" s="46"/>
      <c r="AK398" s="46"/>
      <c r="AL398" s="46"/>
      <c r="AM398" s="46"/>
      <c r="AN398" s="46"/>
      <c r="AO398" s="46"/>
      <c r="AP398" s="46"/>
      <c r="AQ398" s="46"/>
    </row>
    <row r="399" spans="9:43" x14ac:dyDescent="0.3"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6"/>
      <c r="AM399" s="46"/>
      <c r="AN399" s="46"/>
      <c r="AO399" s="46"/>
      <c r="AP399" s="46"/>
      <c r="AQ399" s="46"/>
    </row>
    <row r="400" spans="9:43" x14ac:dyDescent="0.3"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  <c r="AG400" s="46"/>
      <c r="AH400" s="46"/>
      <c r="AI400" s="46"/>
      <c r="AJ400" s="46"/>
      <c r="AK400" s="46"/>
      <c r="AL400" s="46"/>
      <c r="AM400" s="46"/>
      <c r="AN400" s="46"/>
      <c r="AO400" s="46"/>
      <c r="AP400" s="46"/>
      <c r="AQ400" s="46"/>
    </row>
    <row r="401" spans="9:43" x14ac:dyDescent="0.3"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6"/>
      <c r="AM401" s="46"/>
      <c r="AN401" s="46"/>
      <c r="AO401" s="46"/>
      <c r="AP401" s="46"/>
      <c r="AQ401" s="46"/>
    </row>
    <row r="402" spans="9:43" x14ac:dyDescent="0.3"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6"/>
      <c r="AM402" s="46"/>
      <c r="AN402" s="46"/>
      <c r="AO402" s="46"/>
      <c r="AP402" s="46"/>
      <c r="AQ402" s="46"/>
    </row>
    <row r="403" spans="9:43" x14ac:dyDescent="0.3"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6"/>
      <c r="AM403" s="46"/>
      <c r="AN403" s="46"/>
      <c r="AO403" s="46"/>
      <c r="AP403" s="46"/>
      <c r="AQ403" s="46"/>
    </row>
    <row r="404" spans="9:43" x14ac:dyDescent="0.3"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6"/>
      <c r="AM404" s="46"/>
      <c r="AN404" s="46"/>
      <c r="AO404" s="46"/>
      <c r="AP404" s="46"/>
      <c r="AQ404" s="46"/>
    </row>
    <row r="405" spans="9:43" x14ac:dyDescent="0.3"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</row>
    <row r="406" spans="9:43" x14ac:dyDescent="0.3"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6"/>
      <c r="AN406" s="46"/>
      <c r="AO406" s="46"/>
      <c r="AP406" s="46"/>
      <c r="AQ406" s="46"/>
    </row>
    <row r="407" spans="9:43" x14ac:dyDescent="0.3"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6"/>
      <c r="AM407" s="46"/>
      <c r="AN407" s="46"/>
      <c r="AO407" s="46"/>
      <c r="AP407" s="46"/>
      <c r="AQ407" s="46"/>
    </row>
    <row r="408" spans="9:43" x14ac:dyDescent="0.3"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6"/>
      <c r="AM408" s="46"/>
      <c r="AN408" s="46"/>
      <c r="AO408" s="46"/>
      <c r="AP408" s="46"/>
      <c r="AQ408" s="46"/>
    </row>
    <row r="409" spans="9:43" x14ac:dyDescent="0.3"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6"/>
      <c r="AM409" s="46"/>
      <c r="AN409" s="46"/>
      <c r="AO409" s="46"/>
      <c r="AP409" s="46"/>
      <c r="AQ409" s="46"/>
    </row>
    <row r="410" spans="9:43" x14ac:dyDescent="0.3"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6"/>
      <c r="AM410" s="46"/>
      <c r="AN410" s="46"/>
      <c r="AO410" s="46"/>
      <c r="AP410" s="46"/>
      <c r="AQ410" s="46"/>
    </row>
    <row r="411" spans="9:43" x14ac:dyDescent="0.3"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6"/>
      <c r="AM411" s="46"/>
      <c r="AN411" s="46"/>
      <c r="AO411" s="46"/>
      <c r="AP411" s="46"/>
      <c r="AQ411" s="46"/>
    </row>
    <row r="412" spans="9:43" x14ac:dyDescent="0.3"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6"/>
      <c r="AM412" s="46"/>
      <c r="AN412" s="46"/>
      <c r="AO412" s="46"/>
      <c r="AP412" s="46"/>
      <c r="AQ412" s="46"/>
    </row>
    <row r="413" spans="9:43" x14ac:dyDescent="0.3"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6"/>
      <c r="AM413" s="46"/>
      <c r="AN413" s="46"/>
      <c r="AO413" s="46"/>
      <c r="AP413" s="46"/>
      <c r="AQ413" s="46"/>
    </row>
    <row r="414" spans="9:43" x14ac:dyDescent="0.3"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6"/>
      <c r="AM414" s="46"/>
      <c r="AN414" s="46"/>
      <c r="AO414" s="46"/>
      <c r="AP414" s="46"/>
      <c r="AQ414" s="46"/>
    </row>
    <row r="415" spans="9:43" x14ac:dyDescent="0.3"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6"/>
      <c r="AM415" s="46"/>
      <c r="AN415" s="46"/>
      <c r="AO415" s="46"/>
      <c r="AP415" s="46"/>
      <c r="AQ415" s="46"/>
    </row>
    <row r="416" spans="9:43" x14ac:dyDescent="0.3"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6"/>
      <c r="AM416" s="46"/>
      <c r="AN416" s="46"/>
      <c r="AO416" s="46"/>
      <c r="AP416" s="46"/>
      <c r="AQ416" s="46"/>
    </row>
    <row r="417" spans="9:43" x14ac:dyDescent="0.3"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6"/>
      <c r="AM417" s="46"/>
      <c r="AN417" s="46"/>
      <c r="AO417" s="46"/>
      <c r="AP417" s="46"/>
      <c r="AQ417" s="46"/>
    </row>
    <row r="418" spans="9:43" x14ac:dyDescent="0.3"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6"/>
      <c r="AM418" s="46"/>
      <c r="AN418" s="46"/>
      <c r="AO418" s="46"/>
      <c r="AP418" s="46"/>
      <c r="AQ418" s="46"/>
    </row>
    <row r="419" spans="9:43" x14ac:dyDescent="0.3"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6"/>
      <c r="AM419" s="46"/>
      <c r="AN419" s="46"/>
      <c r="AO419" s="46"/>
      <c r="AP419" s="46"/>
      <c r="AQ419" s="46"/>
    </row>
    <row r="420" spans="9:43" x14ac:dyDescent="0.3"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6"/>
      <c r="AM420" s="46"/>
      <c r="AN420" s="46"/>
      <c r="AO420" s="46"/>
      <c r="AP420" s="46"/>
      <c r="AQ420" s="46"/>
    </row>
    <row r="421" spans="9:43" x14ac:dyDescent="0.3"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6"/>
      <c r="AM421" s="46"/>
      <c r="AN421" s="46"/>
      <c r="AO421" s="46"/>
      <c r="AP421" s="46"/>
      <c r="AQ421" s="46"/>
    </row>
    <row r="422" spans="9:43" x14ac:dyDescent="0.3"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6"/>
      <c r="AM422" s="46"/>
      <c r="AN422" s="46"/>
      <c r="AO422" s="46"/>
      <c r="AP422" s="46"/>
      <c r="AQ422" s="46"/>
    </row>
    <row r="423" spans="9:43" x14ac:dyDescent="0.3"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6"/>
      <c r="AM423" s="46"/>
      <c r="AN423" s="46"/>
      <c r="AO423" s="46"/>
      <c r="AP423" s="46"/>
      <c r="AQ423" s="46"/>
    </row>
    <row r="424" spans="9:43" x14ac:dyDescent="0.3"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6"/>
      <c r="AM424" s="46"/>
      <c r="AN424" s="46"/>
      <c r="AO424" s="46"/>
      <c r="AP424" s="46"/>
      <c r="AQ424" s="46"/>
    </row>
    <row r="425" spans="9:43" x14ac:dyDescent="0.3"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6"/>
      <c r="AM425" s="46"/>
      <c r="AN425" s="46"/>
      <c r="AO425" s="46"/>
      <c r="AP425" s="46"/>
      <c r="AQ425" s="46"/>
    </row>
    <row r="426" spans="9:43" x14ac:dyDescent="0.3"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6"/>
      <c r="AM426" s="46"/>
      <c r="AN426" s="46"/>
      <c r="AO426" s="46"/>
      <c r="AP426" s="46"/>
      <c r="AQ426" s="46"/>
    </row>
    <row r="427" spans="9:43" x14ac:dyDescent="0.3"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6"/>
      <c r="AM427" s="46"/>
      <c r="AN427" s="46"/>
      <c r="AO427" s="46"/>
      <c r="AP427" s="46"/>
      <c r="AQ427" s="46"/>
    </row>
    <row r="428" spans="9:43" x14ac:dyDescent="0.3"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6"/>
      <c r="AM428" s="46"/>
      <c r="AN428" s="46"/>
      <c r="AO428" s="46"/>
      <c r="AP428" s="46"/>
      <c r="AQ428" s="46"/>
    </row>
    <row r="429" spans="9:43" x14ac:dyDescent="0.3"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6"/>
      <c r="AM429" s="46"/>
      <c r="AN429" s="46"/>
      <c r="AO429" s="46"/>
      <c r="AP429" s="46"/>
      <c r="AQ429" s="46"/>
    </row>
    <row r="430" spans="9:43" x14ac:dyDescent="0.3"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6"/>
      <c r="AM430" s="46"/>
      <c r="AN430" s="46"/>
      <c r="AO430" s="46"/>
      <c r="AP430" s="46"/>
      <c r="AQ430" s="46"/>
    </row>
    <row r="431" spans="9:43" x14ac:dyDescent="0.3"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6"/>
      <c r="AM431" s="46"/>
      <c r="AN431" s="46"/>
      <c r="AO431" s="46"/>
      <c r="AP431" s="46"/>
      <c r="AQ431" s="46"/>
    </row>
    <row r="432" spans="9:43" x14ac:dyDescent="0.3"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6"/>
      <c r="AM432" s="46"/>
      <c r="AN432" s="46"/>
      <c r="AO432" s="46"/>
      <c r="AP432" s="46"/>
      <c r="AQ432" s="46"/>
    </row>
    <row r="433" spans="9:43" x14ac:dyDescent="0.3"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6"/>
      <c r="AM433" s="46"/>
      <c r="AN433" s="46"/>
      <c r="AO433" s="46"/>
      <c r="AP433" s="46"/>
      <c r="AQ433" s="46"/>
    </row>
    <row r="434" spans="9:43" x14ac:dyDescent="0.3"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6"/>
      <c r="AM434" s="46"/>
      <c r="AN434" s="46"/>
      <c r="AO434" s="46"/>
      <c r="AP434" s="46"/>
      <c r="AQ434" s="46"/>
    </row>
    <row r="435" spans="9:43" x14ac:dyDescent="0.3"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6"/>
      <c r="AM435" s="46"/>
      <c r="AN435" s="46"/>
      <c r="AO435" s="46"/>
      <c r="AP435" s="46"/>
      <c r="AQ435" s="46"/>
    </row>
    <row r="436" spans="9:43" x14ac:dyDescent="0.3"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6"/>
      <c r="AM436" s="46"/>
      <c r="AN436" s="46"/>
      <c r="AO436" s="46"/>
      <c r="AP436" s="46"/>
      <c r="AQ436" s="46"/>
    </row>
    <row r="437" spans="9:43" x14ac:dyDescent="0.3"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6"/>
      <c r="AM437" s="46"/>
      <c r="AN437" s="46"/>
      <c r="AO437" s="46"/>
      <c r="AP437" s="46"/>
      <c r="AQ437" s="46"/>
    </row>
    <row r="438" spans="9:43" x14ac:dyDescent="0.3"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6"/>
      <c r="AM438" s="46"/>
      <c r="AN438" s="46"/>
      <c r="AO438" s="46"/>
      <c r="AP438" s="46"/>
      <c r="AQ438" s="46"/>
    </row>
    <row r="439" spans="9:43" x14ac:dyDescent="0.3"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6"/>
      <c r="AM439" s="46"/>
      <c r="AN439" s="46"/>
      <c r="AO439" s="46"/>
      <c r="AP439" s="46"/>
      <c r="AQ439" s="46"/>
    </row>
    <row r="440" spans="9:43" x14ac:dyDescent="0.3"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6"/>
      <c r="AM440" s="46"/>
      <c r="AN440" s="46"/>
      <c r="AO440" s="46"/>
      <c r="AP440" s="46"/>
      <c r="AQ440" s="46"/>
    </row>
    <row r="441" spans="9:43" x14ac:dyDescent="0.3"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6"/>
      <c r="AM441" s="46"/>
      <c r="AN441" s="46"/>
      <c r="AO441" s="46"/>
      <c r="AP441" s="46"/>
      <c r="AQ441" s="46"/>
    </row>
    <row r="442" spans="9:43" x14ac:dyDescent="0.3"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6"/>
      <c r="AM442" s="46"/>
      <c r="AN442" s="46"/>
      <c r="AO442" s="46"/>
      <c r="AP442" s="46"/>
      <c r="AQ442" s="46"/>
    </row>
    <row r="443" spans="9:43" x14ac:dyDescent="0.3"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6"/>
      <c r="AM443" s="46"/>
      <c r="AN443" s="46"/>
      <c r="AO443" s="46"/>
      <c r="AP443" s="46"/>
      <c r="AQ443" s="46"/>
    </row>
    <row r="444" spans="9:43" x14ac:dyDescent="0.3"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6"/>
      <c r="AM444" s="46"/>
      <c r="AN444" s="46"/>
      <c r="AO444" s="46"/>
      <c r="AP444" s="46"/>
      <c r="AQ444" s="46"/>
    </row>
    <row r="445" spans="9:43" x14ac:dyDescent="0.3"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6"/>
      <c r="AM445" s="46"/>
      <c r="AN445" s="46"/>
      <c r="AO445" s="46"/>
      <c r="AP445" s="46"/>
      <c r="AQ445" s="46"/>
    </row>
    <row r="446" spans="9:43" x14ac:dyDescent="0.3"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6"/>
      <c r="AM446" s="46"/>
      <c r="AN446" s="46"/>
      <c r="AO446" s="46"/>
      <c r="AP446" s="46"/>
      <c r="AQ446" s="46"/>
    </row>
    <row r="447" spans="9:43" x14ac:dyDescent="0.3"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6"/>
      <c r="AM447" s="46"/>
      <c r="AN447" s="46"/>
      <c r="AO447" s="46"/>
      <c r="AP447" s="46"/>
      <c r="AQ447" s="46"/>
    </row>
    <row r="448" spans="9:43" x14ac:dyDescent="0.3"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6"/>
      <c r="AM448" s="46"/>
      <c r="AN448" s="46"/>
      <c r="AO448" s="46"/>
      <c r="AP448" s="46"/>
      <c r="AQ448" s="46"/>
    </row>
    <row r="449" spans="9:43" x14ac:dyDescent="0.3"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6"/>
      <c r="AM449" s="46"/>
      <c r="AN449" s="46"/>
      <c r="AO449" s="46"/>
      <c r="AP449" s="46"/>
      <c r="AQ449" s="46"/>
    </row>
    <row r="450" spans="9:43" x14ac:dyDescent="0.3"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6"/>
      <c r="AM450" s="46"/>
      <c r="AN450" s="46"/>
      <c r="AO450" s="46"/>
      <c r="AP450" s="46"/>
      <c r="AQ450" s="46"/>
    </row>
    <row r="451" spans="9:43" x14ac:dyDescent="0.3"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/>
    </row>
    <row r="452" spans="9:43" x14ac:dyDescent="0.3"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6"/>
      <c r="AM452" s="46"/>
      <c r="AN452" s="46"/>
      <c r="AO452" s="46"/>
      <c r="AP452" s="46"/>
      <c r="AQ452" s="46"/>
    </row>
    <row r="453" spans="9:43" x14ac:dyDescent="0.3"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6"/>
      <c r="AM453" s="46"/>
      <c r="AN453" s="46"/>
      <c r="AO453" s="46"/>
      <c r="AP453" s="46"/>
      <c r="AQ453" s="46"/>
    </row>
    <row r="454" spans="9:43" x14ac:dyDescent="0.3"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  <c r="AG454" s="46"/>
      <c r="AH454" s="46"/>
      <c r="AI454" s="46"/>
      <c r="AJ454" s="46"/>
      <c r="AK454" s="46"/>
      <c r="AL454" s="46"/>
      <c r="AM454" s="46"/>
      <c r="AN454" s="46"/>
      <c r="AO454" s="46"/>
      <c r="AP454" s="46"/>
      <c r="AQ454" s="46"/>
    </row>
    <row r="455" spans="9:43" x14ac:dyDescent="0.3"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6"/>
      <c r="AM455" s="46"/>
      <c r="AN455" s="46"/>
      <c r="AO455" s="46"/>
      <c r="AP455" s="46"/>
      <c r="AQ455" s="46"/>
    </row>
    <row r="456" spans="9:43" x14ac:dyDescent="0.3"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  <c r="AG456" s="46"/>
      <c r="AH456" s="46"/>
      <c r="AI456" s="46"/>
      <c r="AJ456" s="46"/>
      <c r="AK456" s="46"/>
      <c r="AL456" s="46"/>
      <c r="AM456" s="46"/>
      <c r="AN456" s="46"/>
      <c r="AO456" s="46"/>
      <c r="AP456" s="46"/>
      <c r="AQ456" s="46"/>
    </row>
    <row r="457" spans="9:43" x14ac:dyDescent="0.3"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6"/>
      <c r="AM457" s="46"/>
      <c r="AN457" s="46"/>
      <c r="AO457" s="46"/>
      <c r="AP457" s="46"/>
      <c r="AQ457" s="46"/>
    </row>
    <row r="458" spans="9:43" x14ac:dyDescent="0.3"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  <c r="AG458" s="46"/>
      <c r="AH458" s="46"/>
      <c r="AI458" s="46"/>
      <c r="AJ458" s="46"/>
      <c r="AK458" s="46"/>
      <c r="AL458" s="46"/>
      <c r="AM458" s="46"/>
      <c r="AN458" s="46"/>
      <c r="AO458" s="46"/>
      <c r="AP458" s="46"/>
      <c r="AQ458" s="46"/>
    </row>
    <row r="459" spans="9:43" x14ac:dyDescent="0.3"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6"/>
      <c r="AM459" s="46"/>
      <c r="AN459" s="46"/>
      <c r="AO459" s="46"/>
      <c r="AP459" s="46"/>
      <c r="AQ459" s="46"/>
    </row>
    <row r="460" spans="9:43" x14ac:dyDescent="0.3"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  <c r="AG460" s="46"/>
      <c r="AH460" s="46"/>
      <c r="AI460" s="46"/>
      <c r="AJ460" s="46"/>
      <c r="AK460" s="46"/>
      <c r="AL460" s="46"/>
      <c r="AM460" s="46"/>
      <c r="AN460" s="46"/>
      <c r="AO460" s="46"/>
      <c r="AP460" s="46"/>
      <c r="AQ460" s="46"/>
    </row>
    <row r="461" spans="9:43" x14ac:dyDescent="0.3"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6"/>
      <c r="AM461" s="46"/>
      <c r="AN461" s="46"/>
      <c r="AO461" s="46"/>
      <c r="AP461" s="46"/>
      <c r="AQ461" s="46"/>
    </row>
    <row r="462" spans="9:43" x14ac:dyDescent="0.3"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  <c r="AG462" s="46"/>
      <c r="AH462" s="46"/>
      <c r="AI462" s="46"/>
      <c r="AJ462" s="46"/>
      <c r="AK462" s="46"/>
      <c r="AL462" s="46"/>
      <c r="AM462" s="46"/>
      <c r="AN462" s="46"/>
      <c r="AO462" s="46"/>
      <c r="AP462" s="46"/>
      <c r="AQ462" s="46"/>
    </row>
    <row r="463" spans="9:43" x14ac:dyDescent="0.3"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6"/>
      <c r="AM463" s="46"/>
      <c r="AN463" s="46"/>
      <c r="AO463" s="46"/>
      <c r="AP463" s="46"/>
      <c r="AQ463" s="46"/>
    </row>
    <row r="464" spans="9:43" x14ac:dyDescent="0.3"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  <c r="AG464" s="46"/>
      <c r="AH464" s="46"/>
      <c r="AI464" s="46"/>
      <c r="AJ464" s="46"/>
      <c r="AK464" s="46"/>
      <c r="AL464" s="46"/>
      <c r="AM464" s="46"/>
      <c r="AN464" s="46"/>
      <c r="AO464" s="46"/>
      <c r="AP464" s="46"/>
      <c r="AQ464" s="46"/>
    </row>
    <row r="465" spans="9:43" x14ac:dyDescent="0.3"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  <c r="AG465" s="46"/>
      <c r="AH465" s="46"/>
      <c r="AI465" s="46"/>
      <c r="AJ465" s="46"/>
      <c r="AK465" s="46"/>
      <c r="AL465" s="46"/>
      <c r="AM465" s="46"/>
      <c r="AN465" s="46"/>
      <c r="AO465" s="46"/>
      <c r="AP465" s="46"/>
      <c r="AQ465" s="46"/>
    </row>
    <row r="466" spans="9:43" x14ac:dyDescent="0.3"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  <c r="AG466" s="46"/>
      <c r="AH466" s="46"/>
      <c r="AI466" s="46"/>
      <c r="AJ466" s="46"/>
      <c r="AK466" s="46"/>
      <c r="AL466" s="46"/>
      <c r="AM466" s="46"/>
      <c r="AN466" s="46"/>
      <c r="AO466" s="46"/>
      <c r="AP466" s="46"/>
      <c r="AQ466" s="46"/>
    </row>
    <row r="467" spans="9:43" x14ac:dyDescent="0.3"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  <c r="AG467" s="46"/>
      <c r="AH467" s="46"/>
      <c r="AI467" s="46"/>
      <c r="AJ467" s="46"/>
      <c r="AK467" s="46"/>
      <c r="AL467" s="46"/>
      <c r="AM467" s="46"/>
      <c r="AN467" s="46"/>
      <c r="AO467" s="46"/>
      <c r="AP467" s="46"/>
      <c r="AQ467" s="46"/>
    </row>
    <row r="468" spans="9:43" x14ac:dyDescent="0.3"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  <c r="AG468" s="46"/>
      <c r="AH468" s="46"/>
      <c r="AI468" s="46"/>
      <c r="AJ468" s="46"/>
      <c r="AK468" s="46"/>
      <c r="AL468" s="46"/>
      <c r="AM468" s="46"/>
      <c r="AN468" s="46"/>
      <c r="AO468" s="46"/>
      <c r="AP468" s="46"/>
      <c r="AQ468" s="46"/>
    </row>
    <row r="469" spans="9:43" x14ac:dyDescent="0.3"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  <c r="AG469" s="46"/>
      <c r="AH469" s="46"/>
      <c r="AI469" s="46"/>
      <c r="AJ469" s="46"/>
      <c r="AK469" s="46"/>
      <c r="AL469" s="46"/>
      <c r="AM469" s="46"/>
      <c r="AN469" s="46"/>
      <c r="AO469" s="46"/>
      <c r="AP469" s="46"/>
      <c r="AQ469" s="46"/>
    </row>
    <row r="470" spans="9:43" x14ac:dyDescent="0.3"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  <c r="AG470" s="46"/>
      <c r="AH470" s="46"/>
      <c r="AI470" s="46"/>
      <c r="AJ470" s="46"/>
      <c r="AK470" s="46"/>
      <c r="AL470" s="46"/>
      <c r="AM470" s="46"/>
      <c r="AN470" s="46"/>
      <c r="AO470" s="46"/>
      <c r="AP470" s="46"/>
      <c r="AQ470" s="46"/>
    </row>
    <row r="471" spans="9:43" x14ac:dyDescent="0.3"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  <c r="AG471" s="46"/>
      <c r="AH471" s="46"/>
      <c r="AI471" s="46"/>
      <c r="AJ471" s="46"/>
      <c r="AK471" s="46"/>
      <c r="AL471" s="46"/>
      <c r="AM471" s="46"/>
      <c r="AN471" s="46"/>
      <c r="AO471" s="46"/>
      <c r="AP471" s="46"/>
      <c r="AQ471" s="46"/>
    </row>
    <row r="472" spans="9:43" x14ac:dyDescent="0.3"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  <c r="AG472" s="46"/>
      <c r="AH472" s="46"/>
      <c r="AI472" s="46"/>
      <c r="AJ472" s="46"/>
      <c r="AK472" s="46"/>
      <c r="AL472" s="46"/>
      <c r="AM472" s="46"/>
      <c r="AN472" s="46"/>
      <c r="AO472" s="46"/>
      <c r="AP472" s="46"/>
      <c r="AQ472" s="46"/>
    </row>
    <row r="473" spans="9:43" x14ac:dyDescent="0.3"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  <c r="AG473" s="46"/>
      <c r="AH473" s="46"/>
      <c r="AI473" s="46"/>
      <c r="AJ473" s="46"/>
      <c r="AK473" s="46"/>
      <c r="AL473" s="46"/>
      <c r="AM473" s="46"/>
      <c r="AN473" s="46"/>
      <c r="AO473" s="46"/>
      <c r="AP473" s="46"/>
      <c r="AQ473" s="46"/>
    </row>
    <row r="474" spans="9:43" x14ac:dyDescent="0.3"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  <c r="AG474" s="46"/>
      <c r="AH474" s="46"/>
      <c r="AI474" s="46"/>
      <c r="AJ474" s="46"/>
      <c r="AK474" s="46"/>
      <c r="AL474" s="46"/>
      <c r="AM474" s="46"/>
      <c r="AN474" s="46"/>
      <c r="AO474" s="46"/>
      <c r="AP474" s="46"/>
      <c r="AQ474" s="46"/>
    </row>
    <row r="475" spans="9:43" x14ac:dyDescent="0.3"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  <c r="AG475" s="46"/>
      <c r="AH475" s="46"/>
      <c r="AI475" s="46"/>
      <c r="AJ475" s="46"/>
      <c r="AK475" s="46"/>
      <c r="AL475" s="46"/>
      <c r="AM475" s="46"/>
      <c r="AN475" s="46"/>
      <c r="AO475" s="46"/>
      <c r="AP475" s="46"/>
      <c r="AQ475" s="46"/>
    </row>
    <row r="476" spans="9:43" x14ac:dyDescent="0.3"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  <c r="AG476" s="46"/>
      <c r="AH476" s="46"/>
      <c r="AI476" s="46"/>
      <c r="AJ476" s="46"/>
      <c r="AK476" s="46"/>
      <c r="AL476" s="46"/>
      <c r="AM476" s="46"/>
      <c r="AN476" s="46"/>
      <c r="AO476" s="46"/>
      <c r="AP476" s="46"/>
      <c r="AQ476" s="46"/>
    </row>
    <row r="477" spans="9:43" x14ac:dyDescent="0.3"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  <c r="AG477" s="46"/>
      <c r="AH477" s="46"/>
      <c r="AI477" s="46"/>
      <c r="AJ477" s="46"/>
      <c r="AK477" s="46"/>
      <c r="AL477" s="46"/>
      <c r="AM477" s="46"/>
      <c r="AN477" s="46"/>
      <c r="AO477" s="46"/>
      <c r="AP477" s="46"/>
      <c r="AQ477" s="46"/>
    </row>
    <row r="478" spans="9:43" x14ac:dyDescent="0.3"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  <c r="AG478" s="46"/>
      <c r="AH478" s="46"/>
      <c r="AI478" s="46"/>
      <c r="AJ478" s="46"/>
      <c r="AK478" s="46"/>
      <c r="AL478" s="46"/>
      <c r="AM478" s="46"/>
      <c r="AN478" s="46"/>
      <c r="AO478" s="46"/>
      <c r="AP478" s="46"/>
      <c r="AQ478" s="46"/>
    </row>
    <row r="479" spans="9:43" x14ac:dyDescent="0.3"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  <c r="AG479" s="46"/>
      <c r="AH479" s="46"/>
      <c r="AI479" s="46"/>
      <c r="AJ479" s="46"/>
      <c r="AK479" s="46"/>
      <c r="AL479" s="46"/>
      <c r="AM479" s="46"/>
      <c r="AN479" s="46"/>
      <c r="AO479" s="46"/>
      <c r="AP479" s="46"/>
      <c r="AQ479" s="46"/>
    </row>
    <row r="480" spans="9:43" x14ac:dyDescent="0.3"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  <c r="AG480" s="46"/>
      <c r="AH480" s="46"/>
      <c r="AI480" s="46"/>
      <c r="AJ480" s="46"/>
      <c r="AK480" s="46"/>
      <c r="AL480" s="46"/>
      <c r="AM480" s="46"/>
      <c r="AN480" s="46"/>
      <c r="AO480" s="46"/>
      <c r="AP480" s="46"/>
      <c r="AQ480" s="46"/>
    </row>
    <row r="481" spans="9:43" x14ac:dyDescent="0.3"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  <c r="AG481" s="46"/>
      <c r="AH481" s="46"/>
      <c r="AI481" s="46"/>
      <c r="AJ481" s="46"/>
      <c r="AK481" s="46"/>
      <c r="AL481" s="46"/>
      <c r="AM481" s="46"/>
      <c r="AN481" s="46"/>
      <c r="AO481" s="46"/>
      <c r="AP481" s="46"/>
      <c r="AQ481" s="46"/>
    </row>
    <row r="482" spans="9:43" x14ac:dyDescent="0.3"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  <c r="AG482" s="46"/>
      <c r="AH482" s="46"/>
      <c r="AI482" s="46"/>
      <c r="AJ482" s="46"/>
      <c r="AK482" s="46"/>
      <c r="AL482" s="46"/>
      <c r="AM482" s="46"/>
      <c r="AN482" s="46"/>
      <c r="AO482" s="46"/>
      <c r="AP482" s="46"/>
      <c r="AQ482" s="46"/>
    </row>
    <row r="483" spans="9:43" x14ac:dyDescent="0.3"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  <c r="AG483" s="46"/>
      <c r="AH483" s="46"/>
      <c r="AI483" s="46"/>
      <c r="AJ483" s="46"/>
      <c r="AK483" s="46"/>
      <c r="AL483" s="46"/>
      <c r="AM483" s="46"/>
      <c r="AN483" s="46"/>
      <c r="AO483" s="46"/>
      <c r="AP483" s="46"/>
      <c r="AQ483" s="46"/>
    </row>
    <row r="484" spans="9:43" x14ac:dyDescent="0.3"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  <c r="AG484" s="46"/>
      <c r="AH484" s="46"/>
      <c r="AI484" s="46"/>
      <c r="AJ484" s="46"/>
      <c r="AK484" s="46"/>
      <c r="AL484" s="46"/>
      <c r="AM484" s="46"/>
      <c r="AN484" s="46"/>
      <c r="AO484" s="46"/>
      <c r="AP484" s="46"/>
      <c r="AQ484" s="46"/>
    </row>
    <row r="485" spans="9:43" x14ac:dyDescent="0.3"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  <c r="AG485" s="46"/>
      <c r="AH485" s="46"/>
      <c r="AI485" s="46"/>
      <c r="AJ485" s="46"/>
      <c r="AK485" s="46"/>
      <c r="AL485" s="46"/>
      <c r="AM485" s="46"/>
      <c r="AN485" s="46"/>
      <c r="AO485" s="46"/>
      <c r="AP485" s="46"/>
      <c r="AQ485" s="46"/>
    </row>
    <row r="486" spans="9:43" x14ac:dyDescent="0.3"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  <c r="AG486" s="46"/>
      <c r="AH486" s="46"/>
      <c r="AI486" s="46"/>
      <c r="AJ486" s="46"/>
      <c r="AK486" s="46"/>
      <c r="AL486" s="46"/>
      <c r="AM486" s="46"/>
      <c r="AN486" s="46"/>
      <c r="AO486" s="46"/>
      <c r="AP486" s="46"/>
      <c r="AQ486" s="46"/>
    </row>
    <row r="487" spans="9:43" x14ac:dyDescent="0.3"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  <c r="AG487" s="46"/>
      <c r="AH487" s="46"/>
      <c r="AI487" s="46"/>
      <c r="AJ487" s="46"/>
      <c r="AK487" s="46"/>
      <c r="AL487" s="46"/>
      <c r="AM487" s="46"/>
      <c r="AN487" s="46"/>
      <c r="AO487" s="46"/>
      <c r="AP487" s="46"/>
      <c r="AQ487" s="46"/>
    </row>
    <row r="488" spans="9:43" x14ac:dyDescent="0.3"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  <c r="AG488" s="46"/>
      <c r="AH488" s="46"/>
      <c r="AI488" s="46"/>
      <c r="AJ488" s="46"/>
      <c r="AK488" s="46"/>
      <c r="AL488" s="46"/>
      <c r="AM488" s="46"/>
      <c r="AN488" s="46"/>
      <c r="AO488" s="46"/>
      <c r="AP488" s="46"/>
      <c r="AQ488" s="46"/>
    </row>
    <row r="489" spans="9:43" x14ac:dyDescent="0.3"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  <c r="AG489" s="46"/>
      <c r="AH489" s="46"/>
      <c r="AI489" s="46"/>
      <c r="AJ489" s="46"/>
      <c r="AK489" s="46"/>
      <c r="AL489" s="46"/>
      <c r="AM489" s="46"/>
      <c r="AN489" s="46"/>
      <c r="AO489" s="46"/>
      <c r="AP489" s="46"/>
      <c r="AQ489" s="46"/>
    </row>
    <row r="490" spans="9:43" x14ac:dyDescent="0.3"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  <c r="AG490" s="46"/>
      <c r="AH490" s="46"/>
      <c r="AI490" s="46"/>
      <c r="AJ490" s="46"/>
      <c r="AK490" s="46"/>
      <c r="AL490" s="46"/>
      <c r="AM490" s="46"/>
      <c r="AN490" s="46"/>
      <c r="AO490" s="46"/>
      <c r="AP490" s="46"/>
      <c r="AQ490" s="46"/>
    </row>
    <row r="491" spans="9:43" x14ac:dyDescent="0.3"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  <c r="AG491" s="46"/>
      <c r="AH491" s="46"/>
      <c r="AI491" s="46"/>
      <c r="AJ491" s="46"/>
      <c r="AK491" s="46"/>
      <c r="AL491" s="46"/>
      <c r="AM491" s="46"/>
      <c r="AN491" s="46"/>
      <c r="AO491" s="46"/>
      <c r="AP491" s="46"/>
      <c r="AQ491" s="46"/>
    </row>
    <row r="492" spans="9:43" x14ac:dyDescent="0.3"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  <c r="AG492" s="46"/>
      <c r="AH492" s="46"/>
      <c r="AI492" s="46"/>
      <c r="AJ492" s="46"/>
      <c r="AK492" s="46"/>
      <c r="AL492" s="46"/>
      <c r="AM492" s="46"/>
      <c r="AN492" s="46"/>
      <c r="AO492" s="46"/>
      <c r="AP492" s="46"/>
      <c r="AQ492" s="46"/>
    </row>
    <row r="493" spans="9:43" x14ac:dyDescent="0.3"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  <c r="AG493" s="46"/>
      <c r="AH493" s="46"/>
      <c r="AI493" s="46"/>
      <c r="AJ493" s="46"/>
      <c r="AK493" s="46"/>
      <c r="AL493" s="46"/>
      <c r="AM493" s="46"/>
      <c r="AN493" s="46"/>
      <c r="AO493" s="46"/>
      <c r="AP493" s="46"/>
      <c r="AQ493" s="46"/>
    </row>
    <row r="494" spans="9:43" x14ac:dyDescent="0.3"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  <c r="AG494" s="46"/>
      <c r="AH494" s="46"/>
      <c r="AI494" s="46"/>
      <c r="AJ494" s="46"/>
      <c r="AK494" s="46"/>
      <c r="AL494" s="46"/>
      <c r="AM494" s="46"/>
      <c r="AN494" s="46"/>
      <c r="AO494" s="46"/>
      <c r="AP494" s="46"/>
      <c r="AQ494" s="46"/>
    </row>
    <row r="495" spans="9:43" x14ac:dyDescent="0.3"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  <c r="AG495" s="46"/>
      <c r="AH495" s="46"/>
      <c r="AI495" s="46"/>
      <c r="AJ495" s="46"/>
      <c r="AK495" s="46"/>
      <c r="AL495" s="46"/>
      <c r="AM495" s="46"/>
      <c r="AN495" s="46"/>
      <c r="AO495" s="46"/>
      <c r="AP495" s="46"/>
      <c r="AQ495" s="46"/>
    </row>
    <row r="496" spans="9:43" x14ac:dyDescent="0.3"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  <c r="AG496" s="46"/>
      <c r="AH496" s="46"/>
      <c r="AI496" s="46"/>
      <c r="AJ496" s="46"/>
      <c r="AK496" s="46"/>
      <c r="AL496" s="46"/>
      <c r="AM496" s="46"/>
      <c r="AN496" s="46"/>
      <c r="AO496" s="46"/>
      <c r="AP496" s="46"/>
      <c r="AQ496" s="46"/>
    </row>
    <row r="497" spans="9:43" x14ac:dyDescent="0.3"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  <c r="AG497" s="46"/>
      <c r="AH497" s="46"/>
      <c r="AI497" s="46"/>
      <c r="AJ497" s="46"/>
      <c r="AK497" s="46"/>
      <c r="AL497" s="46"/>
      <c r="AM497" s="46"/>
      <c r="AN497" s="46"/>
      <c r="AO497" s="46"/>
      <c r="AP497" s="46"/>
      <c r="AQ497" s="46"/>
    </row>
    <row r="498" spans="9:43" x14ac:dyDescent="0.3"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  <c r="AG498" s="46"/>
      <c r="AH498" s="46"/>
      <c r="AI498" s="46"/>
      <c r="AJ498" s="46"/>
      <c r="AK498" s="46"/>
      <c r="AL498" s="46"/>
      <c r="AM498" s="46"/>
      <c r="AN498" s="46"/>
      <c r="AO498" s="46"/>
      <c r="AP498" s="46"/>
      <c r="AQ498" s="46"/>
    </row>
    <row r="499" spans="9:43" x14ac:dyDescent="0.3"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  <c r="AG499" s="46"/>
      <c r="AH499" s="46"/>
      <c r="AI499" s="46"/>
      <c r="AJ499" s="46"/>
      <c r="AK499" s="46"/>
      <c r="AL499" s="46"/>
      <c r="AM499" s="46"/>
      <c r="AN499" s="46"/>
      <c r="AO499" s="46"/>
      <c r="AP499" s="46"/>
      <c r="AQ499" s="46"/>
    </row>
    <row r="500" spans="9:43" x14ac:dyDescent="0.3"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  <c r="AG500" s="46"/>
      <c r="AH500" s="46"/>
      <c r="AI500" s="46"/>
      <c r="AJ500" s="46"/>
      <c r="AK500" s="46"/>
      <c r="AL500" s="46"/>
      <c r="AM500" s="46"/>
      <c r="AN500" s="46"/>
      <c r="AO500" s="46"/>
      <c r="AP500" s="46"/>
      <c r="AQ500" s="46"/>
    </row>
    <row r="501" spans="9:43" x14ac:dyDescent="0.3"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  <c r="AG501" s="46"/>
      <c r="AH501" s="46"/>
      <c r="AI501" s="46"/>
      <c r="AJ501" s="46"/>
      <c r="AK501" s="46"/>
      <c r="AL501" s="46"/>
      <c r="AM501" s="46"/>
      <c r="AN501" s="46"/>
      <c r="AO501" s="46"/>
      <c r="AP501" s="46"/>
      <c r="AQ501" s="46"/>
    </row>
    <row r="502" spans="9:43" x14ac:dyDescent="0.3"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  <c r="AG502" s="46"/>
      <c r="AH502" s="46"/>
      <c r="AI502" s="46"/>
      <c r="AJ502" s="46"/>
      <c r="AK502" s="46"/>
      <c r="AL502" s="46"/>
      <c r="AM502" s="46"/>
      <c r="AN502" s="46"/>
      <c r="AO502" s="46"/>
      <c r="AP502" s="46"/>
      <c r="AQ502" s="46"/>
    </row>
    <row r="503" spans="9:43" x14ac:dyDescent="0.3"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  <c r="AG503" s="46"/>
      <c r="AH503" s="46"/>
      <c r="AI503" s="46"/>
      <c r="AJ503" s="46"/>
      <c r="AK503" s="46"/>
      <c r="AL503" s="46"/>
      <c r="AM503" s="46"/>
      <c r="AN503" s="46"/>
      <c r="AO503" s="46"/>
      <c r="AP503" s="46"/>
      <c r="AQ503" s="46"/>
    </row>
    <row r="504" spans="9:43" x14ac:dyDescent="0.3"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  <c r="AG504" s="46"/>
      <c r="AH504" s="46"/>
      <c r="AI504" s="46"/>
      <c r="AJ504" s="46"/>
      <c r="AK504" s="46"/>
      <c r="AL504" s="46"/>
      <c r="AM504" s="46"/>
      <c r="AN504" s="46"/>
      <c r="AO504" s="46"/>
      <c r="AP504" s="46"/>
      <c r="AQ504" s="46"/>
    </row>
    <row r="505" spans="9:43" x14ac:dyDescent="0.3"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  <c r="AG505" s="46"/>
      <c r="AH505" s="46"/>
      <c r="AI505" s="46"/>
      <c r="AJ505" s="46"/>
      <c r="AK505" s="46"/>
      <c r="AL505" s="46"/>
      <c r="AM505" s="46"/>
      <c r="AN505" s="46"/>
      <c r="AO505" s="46"/>
      <c r="AP505" s="46"/>
      <c r="AQ505" s="46"/>
    </row>
    <row r="506" spans="9:43" x14ac:dyDescent="0.3"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  <c r="AG506" s="46"/>
      <c r="AH506" s="46"/>
      <c r="AI506" s="46"/>
      <c r="AJ506" s="46"/>
      <c r="AK506" s="46"/>
      <c r="AL506" s="46"/>
      <c r="AM506" s="46"/>
      <c r="AN506" s="46"/>
      <c r="AO506" s="46"/>
      <c r="AP506" s="46"/>
      <c r="AQ506" s="46"/>
    </row>
    <row r="507" spans="9:43" x14ac:dyDescent="0.3"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  <c r="AG507" s="46"/>
      <c r="AH507" s="46"/>
      <c r="AI507" s="46"/>
      <c r="AJ507" s="46"/>
      <c r="AK507" s="46"/>
      <c r="AL507" s="46"/>
      <c r="AM507" s="46"/>
      <c r="AN507" s="46"/>
      <c r="AO507" s="46"/>
      <c r="AP507" s="46"/>
      <c r="AQ507" s="46"/>
    </row>
    <row r="508" spans="9:43" x14ac:dyDescent="0.3"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  <c r="AG508" s="46"/>
      <c r="AH508" s="46"/>
      <c r="AI508" s="46"/>
      <c r="AJ508" s="46"/>
      <c r="AK508" s="46"/>
      <c r="AL508" s="46"/>
      <c r="AM508" s="46"/>
      <c r="AN508" s="46"/>
      <c r="AO508" s="46"/>
      <c r="AP508" s="46"/>
      <c r="AQ508" s="46"/>
    </row>
    <row r="509" spans="9:43" x14ac:dyDescent="0.3"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  <c r="AG509" s="46"/>
      <c r="AH509" s="46"/>
      <c r="AI509" s="46"/>
      <c r="AJ509" s="46"/>
      <c r="AK509" s="46"/>
      <c r="AL509" s="46"/>
      <c r="AM509" s="46"/>
      <c r="AN509" s="46"/>
      <c r="AO509" s="46"/>
      <c r="AP509" s="46"/>
      <c r="AQ509" s="46"/>
    </row>
    <row r="510" spans="9:43" x14ac:dyDescent="0.3"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  <c r="AG510" s="46"/>
      <c r="AH510" s="46"/>
      <c r="AI510" s="46"/>
      <c r="AJ510" s="46"/>
      <c r="AK510" s="46"/>
      <c r="AL510" s="46"/>
      <c r="AM510" s="46"/>
      <c r="AN510" s="46"/>
      <c r="AO510" s="46"/>
      <c r="AP510" s="46"/>
      <c r="AQ510" s="46"/>
    </row>
    <row r="511" spans="9:43" x14ac:dyDescent="0.3"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  <c r="AG511" s="46"/>
      <c r="AH511" s="46"/>
      <c r="AI511" s="46"/>
      <c r="AJ511" s="46"/>
      <c r="AK511" s="46"/>
      <c r="AL511" s="46"/>
      <c r="AM511" s="46"/>
      <c r="AN511" s="46"/>
      <c r="AO511" s="46"/>
      <c r="AP511" s="46"/>
      <c r="AQ511" s="46"/>
    </row>
    <row r="512" spans="9:43" x14ac:dyDescent="0.3"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  <c r="AG512" s="46"/>
      <c r="AH512" s="46"/>
      <c r="AI512" s="46"/>
      <c r="AJ512" s="46"/>
      <c r="AK512" s="46"/>
      <c r="AL512" s="46"/>
      <c r="AM512" s="46"/>
      <c r="AN512" s="46"/>
      <c r="AO512" s="46"/>
      <c r="AP512" s="46"/>
      <c r="AQ512" s="46"/>
    </row>
    <row r="513" spans="9:43" x14ac:dyDescent="0.3"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  <c r="AG513" s="46"/>
      <c r="AH513" s="46"/>
      <c r="AI513" s="46"/>
      <c r="AJ513" s="46"/>
      <c r="AK513" s="46"/>
      <c r="AL513" s="46"/>
      <c r="AM513" s="46"/>
      <c r="AN513" s="46"/>
      <c r="AO513" s="46"/>
      <c r="AP513" s="46"/>
      <c r="AQ513" s="46"/>
    </row>
    <row r="514" spans="9:43" x14ac:dyDescent="0.3"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  <c r="AG514" s="46"/>
      <c r="AH514" s="46"/>
      <c r="AI514" s="46"/>
      <c r="AJ514" s="46"/>
      <c r="AK514" s="46"/>
      <c r="AL514" s="46"/>
      <c r="AM514" s="46"/>
      <c r="AN514" s="46"/>
      <c r="AO514" s="46"/>
      <c r="AP514" s="46"/>
      <c r="AQ514" s="46"/>
    </row>
    <row r="515" spans="9:43" x14ac:dyDescent="0.3"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  <c r="AG515" s="46"/>
      <c r="AH515" s="46"/>
      <c r="AI515" s="46"/>
      <c r="AJ515" s="46"/>
      <c r="AK515" s="46"/>
      <c r="AL515" s="46"/>
      <c r="AM515" s="46"/>
      <c r="AN515" s="46"/>
      <c r="AO515" s="46"/>
      <c r="AP515" s="46"/>
      <c r="AQ515" s="46"/>
    </row>
    <row r="516" spans="9:43" x14ac:dyDescent="0.3"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  <c r="AG516" s="46"/>
      <c r="AH516" s="46"/>
      <c r="AI516" s="46"/>
      <c r="AJ516" s="46"/>
      <c r="AK516" s="46"/>
      <c r="AL516" s="46"/>
      <c r="AM516" s="46"/>
      <c r="AN516" s="46"/>
      <c r="AO516" s="46"/>
      <c r="AP516" s="46"/>
      <c r="AQ516" s="46"/>
    </row>
    <row r="517" spans="9:43" x14ac:dyDescent="0.3"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  <c r="AG517" s="46"/>
      <c r="AH517" s="46"/>
      <c r="AI517" s="46"/>
      <c r="AJ517" s="46"/>
      <c r="AK517" s="46"/>
      <c r="AL517" s="46"/>
      <c r="AM517" s="46"/>
      <c r="AN517" s="46"/>
      <c r="AO517" s="46"/>
      <c r="AP517" s="46"/>
      <c r="AQ517" s="46"/>
    </row>
    <row r="518" spans="9:43" x14ac:dyDescent="0.3"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  <c r="AG518" s="46"/>
      <c r="AH518" s="46"/>
      <c r="AI518" s="46"/>
      <c r="AJ518" s="46"/>
      <c r="AK518" s="46"/>
      <c r="AL518" s="46"/>
      <c r="AM518" s="46"/>
      <c r="AN518" s="46"/>
      <c r="AO518" s="46"/>
      <c r="AP518" s="46"/>
      <c r="AQ518" s="46"/>
    </row>
    <row r="519" spans="9:43" x14ac:dyDescent="0.3"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  <c r="AG519" s="46"/>
      <c r="AH519" s="46"/>
      <c r="AI519" s="46"/>
      <c r="AJ519" s="46"/>
      <c r="AK519" s="46"/>
      <c r="AL519" s="46"/>
      <c r="AM519" s="46"/>
      <c r="AN519" s="46"/>
      <c r="AO519" s="46"/>
      <c r="AP519" s="46"/>
      <c r="AQ519" s="46"/>
    </row>
    <row r="520" spans="9:43" x14ac:dyDescent="0.3"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  <c r="AG520" s="46"/>
      <c r="AH520" s="46"/>
      <c r="AI520" s="46"/>
      <c r="AJ520" s="46"/>
      <c r="AK520" s="46"/>
      <c r="AL520" s="46"/>
      <c r="AM520" s="46"/>
      <c r="AN520" s="46"/>
      <c r="AO520" s="46"/>
      <c r="AP520" s="46"/>
      <c r="AQ520" s="46"/>
    </row>
    <row r="521" spans="9:43" x14ac:dyDescent="0.3"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  <c r="AG521" s="46"/>
      <c r="AH521" s="46"/>
      <c r="AI521" s="46"/>
      <c r="AJ521" s="46"/>
      <c r="AK521" s="46"/>
      <c r="AL521" s="46"/>
      <c r="AM521" s="46"/>
      <c r="AN521" s="46"/>
      <c r="AO521" s="46"/>
      <c r="AP521" s="46"/>
      <c r="AQ521" s="46"/>
    </row>
    <row r="522" spans="9:43" x14ac:dyDescent="0.3"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  <c r="AG522" s="46"/>
      <c r="AH522" s="46"/>
      <c r="AI522" s="46"/>
      <c r="AJ522" s="46"/>
      <c r="AK522" s="46"/>
      <c r="AL522" s="46"/>
      <c r="AM522" s="46"/>
      <c r="AN522" s="46"/>
      <c r="AO522" s="46"/>
      <c r="AP522" s="46"/>
      <c r="AQ522" s="46"/>
    </row>
    <row r="523" spans="9:43" x14ac:dyDescent="0.3"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  <c r="AG523" s="46"/>
      <c r="AH523" s="46"/>
      <c r="AI523" s="46"/>
      <c r="AJ523" s="46"/>
      <c r="AK523" s="46"/>
      <c r="AL523" s="46"/>
      <c r="AM523" s="46"/>
      <c r="AN523" s="46"/>
      <c r="AO523" s="46"/>
      <c r="AP523" s="46"/>
      <c r="AQ523" s="46"/>
    </row>
    <row r="524" spans="9:43" x14ac:dyDescent="0.3"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  <c r="AG524" s="46"/>
      <c r="AH524" s="46"/>
      <c r="AI524" s="46"/>
      <c r="AJ524" s="46"/>
      <c r="AK524" s="46"/>
      <c r="AL524" s="46"/>
      <c r="AM524" s="46"/>
      <c r="AN524" s="46"/>
      <c r="AO524" s="46"/>
      <c r="AP524" s="46"/>
      <c r="AQ524" s="46"/>
    </row>
    <row r="525" spans="9:43" x14ac:dyDescent="0.3"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  <c r="AG525" s="46"/>
      <c r="AH525" s="46"/>
      <c r="AI525" s="46"/>
      <c r="AJ525" s="46"/>
      <c r="AK525" s="46"/>
      <c r="AL525" s="46"/>
      <c r="AM525" s="46"/>
      <c r="AN525" s="46"/>
      <c r="AO525" s="46"/>
      <c r="AP525" s="46"/>
      <c r="AQ525" s="46"/>
    </row>
    <row r="526" spans="9:43" x14ac:dyDescent="0.3"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  <c r="AG526" s="46"/>
      <c r="AH526" s="46"/>
      <c r="AI526" s="46"/>
      <c r="AJ526" s="46"/>
      <c r="AK526" s="46"/>
      <c r="AL526" s="46"/>
      <c r="AM526" s="46"/>
      <c r="AN526" s="46"/>
      <c r="AO526" s="46"/>
      <c r="AP526" s="46"/>
      <c r="AQ526" s="46"/>
    </row>
    <row r="527" spans="9:43" x14ac:dyDescent="0.3"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  <c r="AG527" s="46"/>
      <c r="AH527" s="46"/>
      <c r="AI527" s="46"/>
      <c r="AJ527" s="46"/>
      <c r="AK527" s="46"/>
      <c r="AL527" s="46"/>
      <c r="AM527" s="46"/>
      <c r="AN527" s="46"/>
      <c r="AO527" s="46"/>
      <c r="AP527" s="46"/>
      <c r="AQ527" s="46"/>
    </row>
    <row r="528" spans="9:43" x14ac:dyDescent="0.3"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  <c r="AG528" s="46"/>
      <c r="AH528" s="46"/>
      <c r="AI528" s="46"/>
      <c r="AJ528" s="46"/>
      <c r="AK528" s="46"/>
      <c r="AL528" s="46"/>
      <c r="AM528" s="46"/>
      <c r="AN528" s="46"/>
      <c r="AO528" s="46"/>
      <c r="AP528" s="46"/>
      <c r="AQ528" s="46"/>
    </row>
    <row r="529" spans="9:43" x14ac:dyDescent="0.3"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  <c r="AG529" s="46"/>
      <c r="AH529" s="46"/>
      <c r="AI529" s="46"/>
      <c r="AJ529" s="46"/>
      <c r="AK529" s="46"/>
      <c r="AL529" s="46"/>
      <c r="AM529" s="46"/>
      <c r="AN529" s="46"/>
      <c r="AO529" s="46"/>
      <c r="AP529" s="46"/>
      <c r="AQ529" s="46"/>
    </row>
    <row r="530" spans="9:43" x14ac:dyDescent="0.3"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  <c r="AG530" s="46"/>
      <c r="AH530" s="46"/>
      <c r="AI530" s="46"/>
      <c r="AJ530" s="46"/>
      <c r="AK530" s="46"/>
      <c r="AL530" s="46"/>
      <c r="AM530" s="46"/>
      <c r="AN530" s="46"/>
      <c r="AO530" s="46"/>
      <c r="AP530" s="46"/>
      <c r="AQ530" s="46"/>
    </row>
    <row r="531" spans="9:43" x14ac:dyDescent="0.3"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  <c r="AG531" s="46"/>
      <c r="AH531" s="46"/>
      <c r="AI531" s="46"/>
      <c r="AJ531" s="46"/>
      <c r="AK531" s="46"/>
      <c r="AL531" s="46"/>
      <c r="AM531" s="46"/>
      <c r="AN531" s="46"/>
      <c r="AO531" s="46"/>
      <c r="AP531" s="46"/>
      <c r="AQ531" s="46"/>
    </row>
    <row r="532" spans="9:43" x14ac:dyDescent="0.3"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  <c r="AG532" s="46"/>
      <c r="AH532" s="46"/>
      <c r="AI532" s="46"/>
      <c r="AJ532" s="46"/>
      <c r="AK532" s="46"/>
      <c r="AL532" s="46"/>
      <c r="AM532" s="46"/>
      <c r="AN532" s="46"/>
      <c r="AO532" s="46"/>
      <c r="AP532" s="46"/>
      <c r="AQ532" s="46"/>
    </row>
    <row r="533" spans="9:43" x14ac:dyDescent="0.3"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  <c r="AG533" s="46"/>
      <c r="AH533" s="46"/>
      <c r="AI533" s="46"/>
      <c r="AJ533" s="46"/>
      <c r="AK533" s="46"/>
      <c r="AL533" s="46"/>
      <c r="AM533" s="46"/>
      <c r="AN533" s="46"/>
      <c r="AO533" s="46"/>
      <c r="AP533" s="46"/>
      <c r="AQ533" s="46"/>
    </row>
    <row r="534" spans="9:43" x14ac:dyDescent="0.3"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  <c r="AG534" s="46"/>
      <c r="AH534" s="46"/>
      <c r="AI534" s="46"/>
      <c r="AJ534" s="46"/>
      <c r="AK534" s="46"/>
      <c r="AL534" s="46"/>
      <c r="AM534" s="46"/>
      <c r="AN534" s="46"/>
      <c r="AO534" s="46"/>
      <c r="AP534" s="46"/>
      <c r="AQ534" s="46"/>
    </row>
    <row r="535" spans="9:43" x14ac:dyDescent="0.3"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  <c r="AG535" s="46"/>
      <c r="AH535" s="46"/>
      <c r="AI535" s="46"/>
      <c r="AJ535" s="46"/>
      <c r="AK535" s="46"/>
      <c r="AL535" s="46"/>
      <c r="AM535" s="46"/>
      <c r="AN535" s="46"/>
      <c r="AO535" s="46"/>
      <c r="AP535" s="46"/>
      <c r="AQ535" s="46"/>
    </row>
    <row r="536" spans="9:43" x14ac:dyDescent="0.3"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  <c r="AG536" s="46"/>
      <c r="AH536" s="46"/>
      <c r="AI536" s="46"/>
      <c r="AJ536" s="46"/>
      <c r="AK536" s="46"/>
      <c r="AL536" s="46"/>
      <c r="AM536" s="46"/>
      <c r="AN536" s="46"/>
      <c r="AO536" s="46"/>
      <c r="AP536" s="46"/>
      <c r="AQ536" s="46"/>
    </row>
    <row r="537" spans="9:43" x14ac:dyDescent="0.3"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  <c r="AG537" s="46"/>
      <c r="AH537" s="46"/>
      <c r="AI537" s="46"/>
      <c r="AJ537" s="46"/>
      <c r="AK537" s="46"/>
      <c r="AL537" s="46"/>
      <c r="AM537" s="46"/>
      <c r="AN537" s="46"/>
      <c r="AO537" s="46"/>
      <c r="AP537" s="46"/>
      <c r="AQ537" s="46"/>
    </row>
    <row r="538" spans="9:43" x14ac:dyDescent="0.3"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  <c r="AG538" s="46"/>
      <c r="AH538" s="46"/>
      <c r="AI538" s="46"/>
      <c r="AJ538" s="46"/>
      <c r="AK538" s="46"/>
      <c r="AL538" s="46"/>
      <c r="AM538" s="46"/>
      <c r="AN538" s="46"/>
      <c r="AO538" s="46"/>
      <c r="AP538" s="46"/>
      <c r="AQ538" s="46"/>
    </row>
    <row r="539" spans="9:43" x14ac:dyDescent="0.3"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  <c r="AG539" s="46"/>
      <c r="AH539" s="46"/>
      <c r="AI539" s="46"/>
      <c r="AJ539" s="46"/>
      <c r="AK539" s="46"/>
      <c r="AL539" s="46"/>
      <c r="AM539" s="46"/>
      <c r="AN539" s="46"/>
      <c r="AO539" s="46"/>
      <c r="AP539" s="46"/>
      <c r="AQ539" s="46"/>
    </row>
    <row r="540" spans="9:43" x14ac:dyDescent="0.3"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  <c r="AG540" s="46"/>
      <c r="AH540" s="46"/>
      <c r="AI540" s="46"/>
      <c r="AJ540" s="46"/>
      <c r="AK540" s="46"/>
      <c r="AL540" s="46"/>
      <c r="AM540" s="46"/>
      <c r="AN540" s="46"/>
      <c r="AO540" s="46"/>
      <c r="AP540" s="46"/>
      <c r="AQ540" s="46"/>
    </row>
    <row r="541" spans="9:43" x14ac:dyDescent="0.3"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  <c r="AG541" s="46"/>
      <c r="AH541" s="46"/>
      <c r="AI541" s="46"/>
      <c r="AJ541" s="46"/>
      <c r="AK541" s="46"/>
      <c r="AL541" s="46"/>
      <c r="AM541" s="46"/>
      <c r="AN541" s="46"/>
      <c r="AO541" s="46"/>
      <c r="AP541" s="46"/>
      <c r="AQ541" s="46"/>
    </row>
    <row r="542" spans="9:43" x14ac:dyDescent="0.3"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  <c r="AG542" s="46"/>
      <c r="AH542" s="46"/>
      <c r="AI542" s="46"/>
      <c r="AJ542" s="46"/>
      <c r="AK542" s="46"/>
      <c r="AL542" s="46"/>
      <c r="AM542" s="46"/>
      <c r="AN542" s="46"/>
      <c r="AO542" s="46"/>
      <c r="AP542" s="46"/>
      <c r="AQ542" s="46"/>
    </row>
    <row r="543" spans="9:43" x14ac:dyDescent="0.3"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  <c r="AG543" s="46"/>
      <c r="AH543" s="46"/>
      <c r="AI543" s="46"/>
      <c r="AJ543" s="46"/>
      <c r="AK543" s="46"/>
      <c r="AL543" s="46"/>
      <c r="AM543" s="46"/>
      <c r="AN543" s="46"/>
      <c r="AO543" s="46"/>
      <c r="AP543" s="46"/>
      <c r="AQ543" s="46"/>
    </row>
    <row r="544" spans="9:43" x14ac:dyDescent="0.3"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  <c r="AG544" s="46"/>
      <c r="AH544" s="46"/>
      <c r="AI544" s="46"/>
      <c r="AJ544" s="46"/>
      <c r="AK544" s="46"/>
      <c r="AL544" s="46"/>
      <c r="AM544" s="46"/>
      <c r="AN544" s="46"/>
      <c r="AO544" s="46"/>
      <c r="AP544" s="46"/>
      <c r="AQ544" s="46"/>
    </row>
    <row r="545" spans="9:43" x14ac:dyDescent="0.3"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  <c r="AG545" s="46"/>
      <c r="AH545" s="46"/>
      <c r="AI545" s="46"/>
      <c r="AJ545" s="46"/>
      <c r="AK545" s="46"/>
      <c r="AL545" s="46"/>
      <c r="AM545" s="46"/>
      <c r="AN545" s="46"/>
      <c r="AO545" s="46"/>
      <c r="AP545" s="46"/>
      <c r="AQ545" s="46"/>
    </row>
    <row r="546" spans="9:43" x14ac:dyDescent="0.3"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  <c r="AG546" s="46"/>
      <c r="AH546" s="46"/>
      <c r="AI546" s="46"/>
      <c r="AJ546" s="46"/>
      <c r="AK546" s="46"/>
      <c r="AL546" s="46"/>
      <c r="AM546" s="46"/>
      <c r="AN546" s="46"/>
      <c r="AO546" s="46"/>
      <c r="AP546" s="46"/>
      <c r="AQ546" s="46"/>
    </row>
    <row r="547" spans="9:43" x14ac:dyDescent="0.3"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  <c r="AG547" s="46"/>
      <c r="AH547" s="46"/>
      <c r="AI547" s="46"/>
      <c r="AJ547" s="46"/>
      <c r="AK547" s="46"/>
      <c r="AL547" s="46"/>
      <c r="AM547" s="46"/>
      <c r="AN547" s="46"/>
      <c r="AO547" s="46"/>
      <c r="AP547" s="46"/>
      <c r="AQ547" s="46"/>
    </row>
    <row r="548" spans="9:43" x14ac:dyDescent="0.3"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  <c r="AG548" s="46"/>
      <c r="AH548" s="46"/>
      <c r="AI548" s="46"/>
      <c r="AJ548" s="46"/>
      <c r="AK548" s="46"/>
      <c r="AL548" s="46"/>
      <c r="AM548" s="46"/>
      <c r="AN548" s="46"/>
      <c r="AO548" s="46"/>
      <c r="AP548" s="46"/>
      <c r="AQ548" s="46"/>
    </row>
    <row r="549" spans="9:43" x14ac:dyDescent="0.3"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  <c r="AG549" s="46"/>
      <c r="AH549" s="46"/>
      <c r="AI549" s="46"/>
      <c r="AJ549" s="46"/>
      <c r="AK549" s="46"/>
      <c r="AL549" s="46"/>
      <c r="AM549" s="46"/>
      <c r="AN549" s="46"/>
      <c r="AO549" s="46"/>
      <c r="AP549" s="46"/>
      <c r="AQ549" s="46"/>
    </row>
    <row r="550" spans="9:43" x14ac:dyDescent="0.3"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  <c r="AG550" s="46"/>
      <c r="AH550" s="46"/>
      <c r="AI550" s="46"/>
      <c r="AJ550" s="46"/>
      <c r="AK550" s="46"/>
      <c r="AL550" s="46"/>
      <c r="AM550" s="46"/>
      <c r="AN550" s="46"/>
      <c r="AO550" s="46"/>
      <c r="AP550" s="46"/>
      <c r="AQ550" s="46"/>
    </row>
    <row r="551" spans="9:43" x14ac:dyDescent="0.3"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  <c r="AG551" s="46"/>
      <c r="AH551" s="46"/>
      <c r="AI551" s="46"/>
      <c r="AJ551" s="46"/>
      <c r="AK551" s="46"/>
      <c r="AL551" s="46"/>
      <c r="AM551" s="46"/>
      <c r="AN551" s="46"/>
      <c r="AO551" s="46"/>
      <c r="AP551" s="46"/>
      <c r="AQ551" s="46"/>
    </row>
    <row r="552" spans="9:43" x14ac:dyDescent="0.3"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  <c r="AG552" s="46"/>
      <c r="AH552" s="46"/>
      <c r="AI552" s="46"/>
      <c r="AJ552" s="46"/>
      <c r="AK552" s="46"/>
      <c r="AL552" s="46"/>
      <c r="AM552" s="46"/>
      <c r="AN552" s="46"/>
      <c r="AO552" s="46"/>
      <c r="AP552" s="46"/>
      <c r="AQ552" s="46"/>
    </row>
  </sheetData>
  <sheetProtection algorithmName="SHA-512" hashValue="m4W9seyF3xdMZRpSP/0KAILT1b6V7S2OdG2WwVmMLwYpRie6wJdkh1eooYEXUK8FMD92HqctKON9lEJ6+mrJqQ==" saltValue="67SpG3kG3ykjWPfkTOaAEA==" spinCount="100000" sheet="1" objects="1" scenarios="1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12</xdr:col>
                <xdr:colOff>495300</xdr:colOff>
                <xdr:row>2</xdr:row>
                <xdr:rowOff>60960</xdr:rowOff>
              </from>
              <to>
                <xdr:col>14</xdr:col>
                <xdr:colOff>731520</xdr:colOff>
                <xdr:row>5</xdr:row>
                <xdr:rowOff>114300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11" ma:contentTypeDescription="Create a new document." ma:contentTypeScope="" ma:versionID="aaa7edbff8db5c48637dee0f1f9124a1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24161358c598a41b8ad86a1e21137d0b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F77439A-FEEB-4F77-8CFF-C2458D33C5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77624F-8C8D-40D1-9016-57499E4C0B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680F75-71B1-481C-8F47-252B2CF92A1C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22375818-dcd7-42e4-9660-6b33e030de66"/>
    <ds:schemaRef ds:uri="http://schemas.openxmlformats.org/package/2006/metadata/core-properties"/>
    <ds:schemaRef ds:uri="9de94308-2297-4d04-a77d-26fce9df939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41</vt:i4>
      </vt:variant>
    </vt:vector>
  </HeadingPairs>
  <TitlesOfParts>
    <vt:vector size="43" baseType="lpstr">
      <vt:lpstr>conditions init+ trajectoires</vt:lpstr>
      <vt:lpstr>simulations en mouvement</vt:lpstr>
      <vt:lpstr>Aarseth_1</vt:lpstr>
      <vt:lpstr>Aarseth_2</vt:lpstr>
      <vt:lpstr>Aarseth_3</vt:lpstr>
      <vt:lpstr>ai_x</vt:lpstr>
      <vt:lpstr>ai_y</vt:lpstr>
      <vt:lpstr>bt</vt:lpstr>
      <vt:lpstr>dimmantion_vaiseau</vt:lpstr>
      <vt:lpstr>incantation</vt:lpstr>
      <vt:lpstr>M_4</vt:lpstr>
      <vt:lpstr>Masse_1</vt:lpstr>
      <vt:lpstr>Masse_2</vt:lpstr>
      <vt:lpstr>Masse_3</vt:lpstr>
      <vt:lpstr>pi_x</vt:lpstr>
      <vt:lpstr>pi_y</vt:lpstr>
      <vt:lpstr>pxj</vt:lpstr>
      <vt:lpstr>pyj</vt:lpstr>
      <vt:lpstr>q_1x</vt:lpstr>
      <vt:lpstr>q_1y</vt:lpstr>
      <vt:lpstr>q_2x</vt:lpstr>
      <vt:lpstr>q_2y</vt:lpstr>
      <vt:lpstr>q_3x</vt:lpstr>
      <vt:lpstr>q_3y</vt:lpstr>
      <vt:lpstr>q_4x</vt:lpstr>
      <vt:lpstr>q_4y</vt:lpstr>
      <vt:lpstr>r_1</vt:lpstr>
      <vt:lpstr>r_2</vt:lpstr>
      <vt:lpstr>r_3</vt:lpstr>
      <vt:lpstr>r_4</vt:lpstr>
      <vt:lpstr>V_4</vt:lpstr>
      <vt:lpstr>vi_x</vt:lpstr>
      <vt:lpstr>vi_y</vt:lpstr>
      <vt:lpstr>Volume_1</vt:lpstr>
      <vt:lpstr>Volume_2</vt:lpstr>
      <vt:lpstr>Volume_3</vt:lpstr>
      <vt:lpstr>vxj</vt:lpstr>
      <vt:lpstr>vyj</vt:lpstr>
      <vt:lpstr>λ_4</vt:lpstr>
      <vt:lpstr>ρ_1</vt:lpstr>
      <vt:lpstr>ρ_2</vt:lpstr>
      <vt:lpstr>ρ_3</vt:lpstr>
      <vt:lpstr>ρ_4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 Landreville</dc:creator>
  <cp:lastModifiedBy>Yuta Landreville</cp:lastModifiedBy>
  <dcterms:created xsi:type="dcterms:W3CDTF">2022-11-24T13:38:54Z</dcterms:created>
  <dcterms:modified xsi:type="dcterms:W3CDTF">2022-12-20T04:26:52Z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